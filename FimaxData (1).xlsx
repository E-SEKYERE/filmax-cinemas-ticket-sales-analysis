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7baf18f3c7410612/Desktop/10ALYTICS/EXCEL PROJECTS/FilMax Project/"/>
    </mc:Choice>
  </mc:AlternateContent>
  <xr:revisionPtr revIDLastSave="12" documentId="8_{1224B3FA-EF66-476A-96BE-AFB503B810B1}" xr6:coauthVersionLast="47" xr6:coauthVersionMax="47" xr10:uidLastSave="{C2B9A6B6-2C9F-437F-AA60-F0AF80B24BD3}"/>
  <bookViews>
    <workbookView minimized="1" xWindow="5676" yWindow="3708" windowWidth="11040" windowHeight="8880" xr2:uid="{321A61DE-0ADE-4744-8A84-6FF170A00BF6}"/>
  </bookViews>
  <sheets>
    <sheet name="Data" sheetId="1" r:id="rId1"/>
    <sheet name="Analysis" sheetId="2" r:id="rId2"/>
    <sheet name="Sheet1" sheetId="3" r:id="rId3"/>
    <sheet name="Light Mode" sheetId="4" r:id="rId4"/>
    <sheet name="Dark Mode" sheetId="5" r:id="rId5"/>
  </sheets>
  <definedNames>
    <definedName name="_xlnm._FilterDatabase" localSheetId="0" hidden="1">Data!$A$1:$L$1</definedName>
    <definedName name="_xlchart.v5.0" hidden="1">Analysis!$K$16</definedName>
    <definedName name="_xlchart.v5.1" hidden="1">Analysis!$K$17:$K$20</definedName>
    <definedName name="_xlchart.v5.10" hidden="1">Analysis!$L$16</definedName>
    <definedName name="_xlchart.v5.11" hidden="1">Analysis!$L$17:$L$20</definedName>
    <definedName name="_xlchart.v5.2" hidden="1">Analysis!$L$16</definedName>
    <definedName name="_xlchart.v5.3" hidden="1">Analysis!$L$17:$L$20</definedName>
    <definedName name="_xlchart.v5.4" hidden="1">Analysis!$K$16</definedName>
    <definedName name="_xlchart.v5.5" hidden="1">Analysis!$K$17:$K$20</definedName>
    <definedName name="_xlchart.v5.6" hidden="1">Analysis!$L$16</definedName>
    <definedName name="_xlchart.v5.7" hidden="1">Analysis!$L$17:$L$20</definedName>
    <definedName name="_xlchart.v5.8" hidden="1">Analysis!$K$16</definedName>
    <definedName name="_xlchart.v5.9" hidden="1">Analysis!$K$17:$K$20</definedName>
    <definedName name="▼RevenueMoM">Analysis!$G$38</definedName>
    <definedName name="Date">Analysis!$D$50</definedName>
    <definedName name="Orders">Analysis!$C$39</definedName>
    <definedName name="OrdersMoM">Analysis!$G$39</definedName>
    <definedName name="Qty">Analysis!$C$40</definedName>
    <definedName name="QtyMoM">Analysis!$G$40</definedName>
    <definedName name="Revenue">Analysis!$C$38</definedName>
    <definedName name="RevenueMoM">Analysis!$G$40</definedName>
    <definedName name="Slicer_Month">#N/A</definedName>
  </definedNames>
  <calcPr calcId="191029" iterateDelta="1E-4"/>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2" l="1"/>
  <c r="G45" i="2"/>
  <c r="G46" i="2"/>
  <c r="G44" i="2"/>
  <c r="F45" i="2"/>
  <c r="F46" i="2"/>
  <c r="F44" i="2"/>
  <c r="D30" i="2" a="1"/>
  <c r="D30" i="2" s="1"/>
  <c r="K26" i="2" a="1"/>
  <c r="K26" i="2" s="1"/>
  <c r="K17" i="2" a="1"/>
  <c r="K17" i="2" s="1"/>
  <c r="K4" i="2" a="1"/>
  <c r="K4" i="2" s="1"/>
  <c r="D19" i="2" a="1"/>
  <c r="D19" i="2"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38" i="2"/>
  <c r="D39" i="2"/>
  <c r="E38" i="2"/>
  <c r="D40" i="2"/>
  <c r="C39" i="2"/>
  <c r="C40" i="2"/>
  <c r="C38" i="2"/>
  <c r="M24" i="2" l="1"/>
  <c r="F40" i="2"/>
  <c r="G40" i="2" s="1"/>
  <c r="F39" i="2"/>
  <c r="G39" i="2" s="1"/>
  <c r="F38" i="2"/>
  <c r="G38" i="2" s="1"/>
  <c r="M28" i="2" l="1"/>
  <c r="M29" i="2"/>
  <c r="M30" i="2"/>
  <c r="M26" i="2"/>
  <c r="M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<sst xmlns="http://schemas.openxmlformats.org/spreadsheetml/2006/main" count="10093" uniqueCount="69">
  <si>
    <t>Sales_ID</t>
  </si>
  <si>
    <t>Movie_Name</t>
  </si>
  <si>
    <t>Show_Date</t>
  </si>
  <si>
    <t>Show_Time</t>
  </si>
  <si>
    <t>Ticket_Category</t>
  </si>
  <si>
    <t>Tickets_Sold</t>
  </si>
  <si>
    <t>Ticket_Price</t>
  </si>
  <si>
    <t>Payment_Method</t>
  </si>
  <si>
    <t>Cinema_Branch</t>
  </si>
  <si>
    <t>Total_Revenue</t>
  </si>
  <si>
    <t>Barbie</t>
  </si>
  <si>
    <t>Evening</t>
  </si>
  <si>
    <t>VIP</t>
  </si>
  <si>
    <t>Mobile Wallet</t>
  </si>
  <si>
    <t>California</t>
  </si>
  <si>
    <t>Oppenheimer</t>
  </si>
  <si>
    <t>Late Night</t>
  </si>
  <si>
    <t>Regular</t>
  </si>
  <si>
    <t>New York</t>
  </si>
  <si>
    <t>John Wick 5</t>
  </si>
  <si>
    <t>Afternoon</t>
  </si>
  <si>
    <t>Card</t>
  </si>
  <si>
    <t>Couple</t>
  </si>
  <si>
    <t>Cash</t>
  </si>
  <si>
    <t>Guardians of the Galaxy Vol. 4</t>
  </si>
  <si>
    <t>Texas</t>
  </si>
  <si>
    <t>Avatar 3</t>
  </si>
  <si>
    <t>Florida</t>
  </si>
  <si>
    <t>Fast X</t>
  </si>
  <si>
    <t>Family</t>
  </si>
  <si>
    <t>Student</t>
  </si>
  <si>
    <t>The Flash</t>
  </si>
  <si>
    <t>Mission Impossible 8</t>
  </si>
  <si>
    <t>Morning</t>
  </si>
  <si>
    <t>Sum of Total_Revenue</t>
  </si>
  <si>
    <t>Sum of Tickets_Sold</t>
  </si>
  <si>
    <t>Row Labels</t>
  </si>
  <si>
    <t>Grand Total</t>
  </si>
  <si>
    <t>Count of Sales_ID</t>
  </si>
  <si>
    <t>Values</t>
  </si>
  <si>
    <t>Month</t>
  </si>
  <si>
    <t>Jul</t>
  </si>
  <si>
    <t>Weekday</t>
  </si>
  <si>
    <t>Mon</t>
  </si>
  <si>
    <t>Tue</t>
  </si>
  <si>
    <t>Wed</t>
  </si>
  <si>
    <t>Thu</t>
  </si>
  <si>
    <t>Fri</t>
  </si>
  <si>
    <t>Sat</t>
  </si>
  <si>
    <t>Sun</t>
  </si>
  <si>
    <t>Revenue</t>
  </si>
  <si>
    <t>Padding</t>
  </si>
  <si>
    <t>Movies</t>
  </si>
  <si>
    <t>Revenues</t>
  </si>
  <si>
    <t>State</t>
  </si>
  <si>
    <t>Ticket Category</t>
  </si>
  <si>
    <t>% Revenue</t>
  </si>
  <si>
    <t>Showtime</t>
  </si>
  <si>
    <t>Sales</t>
  </si>
  <si>
    <t>Orders</t>
  </si>
  <si>
    <t>Qty</t>
  </si>
  <si>
    <t>Total</t>
  </si>
  <si>
    <t>CM(Sep)</t>
  </si>
  <si>
    <t>PM(Aug)</t>
  </si>
  <si>
    <t>MoM</t>
  </si>
  <si>
    <t>CM(Aug)</t>
  </si>
  <si>
    <t>PM(Jul)</t>
  </si>
  <si>
    <t>▼▲</t>
  </si>
  <si>
    <t>Today's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</si>
</sst>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409]* #,##0.00_ ;_-[$$-409]* \-#,##0.00\ ;_-[$$-409]* &quot;-&quot;??_ ;_-@_ "/>
    <numFmt numFmtId="166" formatCode="_-* #,##0.0_-;\-* #,##0.0_-;_-* &quot;-&quot;??_-;_-@_-"/>
    <numFmt numFmtId="167" formatCode="&quot;£&quot;#,##0.00"/>
    <numFmt numFmtId="168" formatCode="_-[$$-409]* #,##0_ ;_-[$$-409]* \-#,##0\ ;_-[$$-409]* &quot;-&quot;??_ ;_-@_ "/>
    <numFmt numFmtId="169"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91A08E"/>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pivotButton="1" applyFont="1"/>
    <xf numFmtId="9" fontId="0" fillId="0" borderId="0" xfId="0" applyNumberFormat="1"/>
    <xf numFmtId="10" fontId="0" fillId="0" borderId="0" xfId="0" applyNumberFormat="1"/>
    <xf numFmtId="9" fontId="0" fillId="0" borderId="0" xfId="1" applyFont="1"/>
    <xf numFmtId="0" fontId="0" fillId="2" borderId="0" xfId="0" applyFill="1"/>
    <xf numFmtId="2" fontId="0" fillId="0" borderId="0" xfId="0" applyNumberFormat="1"/>
    <xf numFmtId="166" fontId="0" fillId="0" borderId="0" xfId="2" applyNumberFormat="1" applyFont="1"/>
    <xf numFmtId="164" fontId="0" fillId="0" borderId="0" xfId="2" applyNumberFormat="1" applyFont="1"/>
    <xf numFmtId="167" fontId="0" fillId="0" borderId="0" xfId="0" applyNumberFormat="1"/>
    <xf numFmtId="168" fontId="0" fillId="0" borderId="0" xfId="0" applyNumberFormat="1"/>
    <xf numFmtId="169" fontId="0" fillId="0" borderId="0" xfId="0" applyNumberFormat="1"/>
  </cellXfs>
  <cellStyles count="3">
    <cellStyle name="Comma" xfId="2" builtinId="3"/>
    <cellStyle name="Normal" xfId="0" builtinId="0"/>
    <cellStyle name="Percent" xfId="1" builtinId="5"/>
  </cellStyles>
  <dxfs count="13">
    <dxf>
      <font>
        <b/>
      </font>
    </dxf>
    <dxf>
      <numFmt numFmtId="164" formatCode="_-* #,##0_-;\-* #,##0_-;_-* &quot;-&quot;??_-;_-@_-"/>
    </dxf>
    <dxf>
      <numFmt numFmtId="164" formatCode="_-* #,##0_-;\-* #,##0_-;_-* &quot;-&quot;??_-;_-@_-"/>
    </dxf>
    <dxf>
      <numFmt numFmtId="165" formatCode="_-[$$-409]* #,##0.00_ ;_-[$$-409]* \-#,##0.00\ ;_-[$$-409]* &quot;-&quot;??_ ;_-@_ "/>
    </dxf>
    <dxf>
      <numFmt numFmtId="170" formatCode="&quot;£&quot;#,##0"/>
    </dxf>
    <dxf>
      <font>
        <b val="0"/>
      </font>
    </dxf>
    <dxf>
      <numFmt numFmtId="165" formatCode="_-[$$-409]* #,##0.00_ ;_-[$$-409]* \-#,##0.00\ ;_-[$$-409]* &quot;-&quot;??_ ;_-@_ "/>
    </dxf>
    <dxf>
      <font>
        <b/>
      </font>
    </dxf>
    <dxf>
      <font>
        <b/>
      </font>
    </dxf>
    <dxf>
      <numFmt numFmtId="19" formatCode="dd/mm/yyyy"/>
    </dxf>
    <dxf>
      <numFmt numFmtId="19" formatCode="dd/mm/yyyy"/>
    </dxf>
    <dxf>
      <numFmt numFmtId="19" formatCode="dd/mm/yyyy"/>
    </dxf>
    <dxf>
      <font>
        <b/>
        <i val="0"/>
      </font>
      <fill>
        <patternFill>
          <bgColor theme="1"/>
        </patternFill>
      </fill>
    </dxf>
  </dxfs>
  <tableStyles count="2" defaultTableStyle="TableStyleMedium2" defaultPivotStyle="PivotStyleLight16">
    <tableStyle name="Slicer Style 1" pivot="0" table="0" count="3" xr9:uid="{354E1586-F811-40E4-B6CB-110A676E92C9}"/>
    <tableStyle name="Slicer Style 2" pivot="0" table="0" count="4" xr9:uid="{606C847B-1B54-462D-A9E1-72ADBEE7FF40}">
      <tableStyleElement type="wholeTable" dxfId="12"/>
    </tableStyle>
  </tableStyles>
  <colors>
    <mruColors>
      <color rgb="FFD4DAD3"/>
      <color rgb="FF42573E"/>
      <color rgb="FF161616"/>
      <color rgb="FF91A08E"/>
    </mruColors>
  </colors>
  <extLst>
    <ext xmlns:x14="http://schemas.microsoft.com/office/spreadsheetml/2009/9/main" uri="{46F421CA-312F-682f-3DD2-61675219B42D}">
      <x14:dxfs count="6">
        <dxf>
          <border>
            <left style="thin">
              <color auto="1"/>
            </left>
            <right style="thin">
              <color auto="1"/>
            </right>
            <top style="thin">
              <color auto="1"/>
            </top>
            <bottom style="thin">
              <color auto="1"/>
            </bottom>
          </border>
        </dxf>
        <dxf>
          <font>
            <b/>
            <i val="0"/>
            <color rgb="FF42573E"/>
          </font>
          <fill>
            <patternFill>
              <bgColor theme="9" tint="0.59996337778862885"/>
            </patternFill>
          </fill>
        </dxf>
        <dxf>
          <font>
            <b/>
            <i val="0"/>
            <color theme="9" tint="0.79998168889431442"/>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color theme="0"/>
          </font>
          <fill>
            <patternFill>
              <bgColor rgb="FF42573E"/>
            </patternFill>
          </fill>
        </dxf>
        <dxf>
          <font>
            <b/>
            <i val="0"/>
            <color rgb="FF42573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3646160083648"/>
          <c:y val="0.23373260535829249"/>
          <c:w val="0.86486351706036746"/>
          <c:h val="0.61498432487605714"/>
        </c:manualLayout>
      </c:layout>
      <c:barChart>
        <c:barDir val="col"/>
        <c:grouping val="stacked"/>
        <c:varyColors val="0"/>
        <c:ser>
          <c:idx val="0"/>
          <c:order val="0"/>
          <c:tx>
            <c:strRef>
              <c:f>Analysis!$E$18</c:f>
              <c:strCache>
                <c:ptCount val="1"/>
                <c:pt idx="0">
                  <c:v>Revenue</c:v>
                </c:pt>
              </c:strCache>
            </c:strRef>
          </c:tx>
          <c:spPr>
            <a:solidFill>
              <a:srgbClr val="42573E"/>
            </a:solid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Analysis!$E$19:$E$25</c:f>
              <c:numCache>
                <c:formatCode>General</c:formatCode>
                <c:ptCount val="7"/>
                <c:pt idx="0">
                  <c:v>3715</c:v>
                </c:pt>
                <c:pt idx="1">
                  <c:v>3511</c:v>
                </c:pt>
                <c:pt idx="2">
                  <c:v>2567</c:v>
                </c:pt>
                <c:pt idx="3">
                  <c:v>3450</c:v>
                </c:pt>
                <c:pt idx="4">
                  <c:v>3053</c:v>
                </c:pt>
                <c:pt idx="5">
                  <c:v>7180</c:v>
                </c:pt>
                <c:pt idx="6">
                  <c:v>6613</c:v>
                </c:pt>
              </c:numCache>
            </c:numRef>
          </c:val>
          <c:extLst>
            <c:ext xmlns:c16="http://schemas.microsoft.com/office/drawing/2014/chart" uri="{C3380CC4-5D6E-409C-BE32-E72D297353CC}">
              <c16:uniqueId val="{00000000-F08B-4D5A-A13A-0499B5A50722}"/>
            </c:ext>
          </c:extLst>
        </c:ser>
        <c:ser>
          <c:idx val="1"/>
          <c:order val="1"/>
          <c:tx>
            <c:strRef>
              <c:f>Analysis!$F$18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F08B-4D5A-A13A-0499B5A50722}"/>
            </c:ext>
          </c:extLst>
        </c:ser>
        <c:dLbls>
          <c:showLegendKey val="0"/>
          <c:showVal val="0"/>
          <c:showCatName val="0"/>
          <c:showSerName val="0"/>
          <c:showPercent val="0"/>
          <c:showBubbleSize val="0"/>
        </c:dLbls>
        <c:gapWidth val="370"/>
        <c:overlap val="100"/>
        <c:axId val="1600482256"/>
        <c:axId val="1600481776"/>
      </c:barChart>
      <c:catAx>
        <c:axId val="160048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00481776"/>
        <c:crosses val="autoZero"/>
        <c:auto val="1"/>
        <c:lblAlgn val="ctr"/>
        <c:lblOffset val="100"/>
        <c:noMultiLvlLbl val="0"/>
      </c:catAx>
      <c:valAx>
        <c:axId val="1600481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00482256"/>
        <c:crosses val="autoZero"/>
        <c:crossBetween val="between"/>
        <c:majorUnit val="30000"/>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744712058051562"/>
          <c:y val="0.10357815442561205"/>
          <c:w val="0.549161455920951"/>
          <c:h val="0.4800673220932129"/>
        </c:manualLayout>
      </c:layout>
      <c:barChart>
        <c:barDir val="bar"/>
        <c:grouping val="stacked"/>
        <c:varyColors val="0"/>
        <c:ser>
          <c:idx val="0"/>
          <c:order val="0"/>
          <c:tx>
            <c:strRef>
              <c:f>Analysis!$L$3</c:f>
              <c:strCache>
                <c:ptCount val="1"/>
                <c:pt idx="0">
                  <c:v>Revenues</c:v>
                </c:pt>
              </c:strCache>
            </c:strRef>
          </c:tx>
          <c:spPr>
            <a:solidFill>
              <a:srgbClr val="42573E"/>
            </a:solid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Analysis!$L$4:$L$11</c:f>
              <c:numCache>
                <c:formatCode>General</c:formatCode>
                <c:ptCount val="8"/>
                <c:pt idx="0">
                  <c:v>2588</c:v>
                </c:pt>
                <c:pt idx="1">
                  <c:v>3129</c:v>
                </c:pt>
                <c:pt idx="2">
                  <c:v>3271</c:v>
                </c:pt>
                <c:pt idx="3">
                  <c:v>3316</c:v>
                </c:pt>
                <c:pt idx="4">
                  <c:v>3413</c:v>
                </c:pt>
                <c:pt idx="5">
                  <c:v>4290</c:v>
                </c:pt>
                <c:pt idx="6">
                  <c:v>4939</c:v>
                </c:pt>
                <c:pt idx="7">
                  <c:v>5143</c:v>
                </c:pt>
              </c:numCache>
            </c:numRef>
          </c:val>
          <c:extLst>
            <c:ext xmlns:c16="http://schemas.microsoft.com/office/drawing/2014/chart" uri="{C3380CC4-5D6E-409C-BE32-E72D297353CC}">
              <c16:uniqueId val="{00000000-C2AA-4949-AA19-A3A217D10D7B}"/>
            </c:ext>
          </c:extLst>
        </c:ser>
        <c:ser>
          <c:idx val="1"/>
          <c:order val="1"/>
          <c:tx>
            <c:strRef>
              <c:f>Analysis!$M$3</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Analysis!$M$4:$M$11</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C2AA-4949-AA19-A3A217D10D7B}"/>
            </c:ext>
          </c:extLst>
        </c:ser>
        <c:dLbls>
          <c:showLegendKey val="0"/>
          <c:showVal val="0"/>
          <c:showCatName val="0"/>
          <c:showSerName val="0"/>
          <c:showPercent val="0"/>
          <c:showBubbleSize val="0"/>
        </c:dLbls>
        <c:gapWidth val="150"/>
        <c:overlap val="100"/>
        <c:axId val="1134779840"/>
        <c:axId val="1134781760"/>
      </c:barChart>
      <c:catAx>
        <c:axId val="113477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34781760"/>
        <c:crosses val="autoZero"/>
        <c:auto val="1"/>
        <c:lblAlgn val="ctr"/>
        <c:lblOffset val="100"/>
        <c:noMultiLvlLbl val="0"/>
      </c:catAx>
      <c:valAx>
        <c:axId val="11347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4779840"/>
        <c:crosses val="autoZero"/>
        <c:crossBetween val="between"/>
        <c:majorUnit val="2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Analysis!$L$25</c:f>
              <c:strCache>
                <c:ptCount val="1"/>
                <c:pt idx="0">
                  <c:v>% Revenue</c:v>
                </c:pt>
              </c:strCache>
            </c:strRef>
          </c:tx>
          <c:spPr>
            <a:solidFill>
              <a:srgbClr val="42573E"/>
            </a:solidFill>
            <a:ln>
              <a:noFill/>
            </a:ln>
            <a:effectLst/>
          </c:spPr>
          <c:invertIfNegative val="0"/>
          <c:cat>
            <c:strRef>
              <c:f>Analysis!$J$26:$K$30</c:f>
              <c:strCache>
                <c:ptCount val="5"/>
                <c:pt idx="0">
                  <c:v>Regular</c:v>
                </c:pt>
                <c:pt idx="1">
                  <c:v>VIP</c:v>
                </c:pt>
                <c:pt idx="2">
                  <c:v>Family</c:v>
                </c:pt>
                <c:pt idx="3">
                  <c:v>Couple</c:v>
                </c:pt>
                <c:pt idx="4">
                  <c:v>Student</c:v>
                </c:pt>
              </c:strCache>
            </c:strRef>
          </c:cat>
          <c:val>
            <c:numRef>
              <c:f>Analysis!$L$26:$L$30</c:f>
              <c:numCache>
                <c:formatCode>0%</c:formatCode>
                <c:ptCount val="5"/>
                <c:pt idx="0">
                  <c:v>0.39841802652132008</c:v>
                </c:pt>
                <c:pt idx="1">
                  <c:v>0.22848881651101732</c:v>
                </c:pt>
                <c:pt idx="2">
                  <c:v>0.16850011632157932</c:v>
                </c:pt>
                <c:pt idx="3">
                  <c:v>0.12429791618199341</c:v>
                </c:pt>
                <c:pt idx="4">
                  <c:v>8.0295124464089873E-2</c:v>
                </c:pt>
              </c:numCache>
            </c:numRef>
          </c:val>
          <c:extLst>
            <c:ext xmlns:c16="http://schemas.microsoft.com/office/drawing/2014/chart" uri="{C3380CC4-5D6E-409C-BE32-E72D297353CC}">
              <c16:uniqueId val="{00000000-5CD5-4C4F-959E-ABB8396D5641}"/>
            </c:ext>
          </c:extLst>
        </c:ser>
        <c:ser>
          <c:idx val="1"/>
          <c:order val="1"/>
          <c:tx>
            <c:strRef>
              <c:f>Analysis!$M$25</c:f>
              <c:strCache>
                <c:ptCount val="1"/>
                <c:pt idx="0">
                  <c:v>Padding</c:v>
                </c:pt>
              </c:strCache>
            </c:strRef>
          </c:tx>
          <c:spPr>
            <a:solidFill>
              <a:schemeClr val="accent6">
                <a:lumMod val="20000"/>
                <a:lumOff val="80000"/>
                <a:alpha val="50000"/>
              </a:schemeClr>
            </a:solidFill>
            <a:ln>
              <a:solidFill>
                <a:schemeClr val="accent1">
                  <a:alpha val="50000"/>
                </a:schemeClr>
              </a:solidFill>
            </a:ln>
            <a:effectLst/>
          </c:spPr>
          <c:invertIfNegative val="0"/>
          <c:dLbls>
            <c:dLbl>
              <c:idx val="0"/>
              <c:layout>
                <c:manualLayout>
                  <c:x val="0.10335335335335336"/>
                  <c:y val="-8.21018062397372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D5-4C4F-959E-ABB8396D5641}"/>
                </c:ext>
              </c:extLst>
            </c:dLbl>
            <c:dLbl>
              <c:idx val="1"/>
              <c:layout>
                <c:manualLayout>
                  <c:x val="0.2333333333333332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D5-4C4F-959E-ABB8396D5641}"/>
                </c:ext>
              </c:extLst>
            </c:dLbl>
            <c:dLbl>
              <c:idx val="2"/>
              <c:layout>
                <c:manualLayout>
                  <c:x val="0.252777777777777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D5-4C4F-959E-ABB8396D5641}"/>
                </c:ext>
              </c:extLst>
            </c:dLbl>
            <c:dLbl>
              <c:idx val="3"/>
              <c:layout>
                <c:manualLayout>
                  <c:x val="0.30833333333333324"/>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D5-4C4F-959E-ABB8396D5641}"/>
                </c:ext>
              </c:extLst>
            </c:dLbl>
            <c:dLbl>
              <c:idx val="4"/>
              <c:layout>
                <c:manualLayout>
                  <c:x val="0.35277777777777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D5-4C4F-959E-ABB8396D564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Analysis!$J$26:$K$30</c:f>
              <c:strCache>
                <c:ptCount val="5"/>
                <c:pt idx="0">
                  <c:v>Regular</c:v>
                </c:pt>
                <c:pt idx="1">
                  <c:v>VIP</c:v>
                </c:pt>
                <c:pt idx="2">
                  <c:v>Family</c:v>
                </c:pt>
                <c:pt idx="3">
                  <c:v>Couple</c:v>
                </c:pt>
                <c:pt idx="4">
                  <c:v>Student</c:v>
                </c:pt>
              </c:strCache>
            </c:strRef>
          </c:cat>
          <c:val>
            <c:numRef>
              <c:f>Analysis!$M$26:$M$30</c:f>
              <c:numCache>
                <c:formatCode>0%</c:formatCode>
                <c:ptCount val="5"/>
                <c:pt idx="0">
                  <c:v>7.9683605304263994E-2</c:v>
                </c:pt>
                <c:pt idx="1">
                  <c:v>0.24961281531456675</c:v>
                </c:pt>
                <c:pt idx="2">
                  <c:v>0.30960151550400472</c:v>
                </c:pt>
                <c:pt idx="3">
                  <c:v>0.35380371564359064</c:v>
                </c:pt>
                <c:pt idx="4">
                  <c:v>0.3978065073614942</c:v>
                </c:pt>
              </c:numCache>
            </c:numRef>
          </c:val>
          <c:extLst>
            <c:ext xmlns:c16="http://schemas.microsoft.com/office/drawing/2014/chart" uri="{C3380CC4-5D6E-409C-BE32-E72D297353CC}">
              <c16:uniqueId val="{00000001-5CD5-4C4F-959E-ABB8396D5641}"/>
            </c:ext>
          </c:extLst>
        </c:ser>
        <c:dLbls>
          <c:showLegendKey val="0"/>
          <c:showVal val="0"/>
          <c:showCatName val="0"/>
          <c:showSerName val="0"/>
          <c:showPercent val="0"/>
          <c:showBubbleSize val="0"/>
        </c:dLbls>
        <c:gapWidth val="150"/>
        <c:overlap val="100"/>
        <c:axId val="1599395920"/>
        <c:axId val="1599396400"/>
      </c:barChart>
      <c:catAx>
        <c:axId val="159939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99396400"/>
        <c:crosses val="autoZero"/>
        <c:auto val="1"/>
        <c:lblAlgn val="ctr"/>
        <c:lblOffset val="100"/>
        <c:noMultiLvlLbl val="0"/>
      </c:catAx>
      <c:valAx>
        <c:axId val="1599396400"/>
        <c:scaling>
          <c:orientation val="minMax"/>
        </c:scaling>
        <c:delete val="1"/>
        <c:axPos val="b"/>
        <c:numFmt formatCode="0%" sourceLinked="1"/>
        <c:majorTickMark val="none"/>
        <c:minorTickMark val="none"/>
        <c:tickLblPos val="nextTo"/>
        <c:crossAx val="1599395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732655293088365"/>
          <c:y val="0.14814814814814814"/>
          <c:w val="0.47534689413823272"/>
          <c:h val="0.79224482356372117"/>
        </c:manualLayout>
      </c:layout>
      <c:doughnutChart>
        <c:varyColors val="1"/>
        <c:ser>
          <c:idx val="1"/>
          <c:order val="0"/>
          <c:tx>
            <c:strRef>
              <c:f>Analysis!$E$29</c:f>
              <c:strCache>
                <c:ptCount val="1"/>
                <c:pt idx="0">
                  <c:v>Sales</c:v>
                </c:pt>
              </c:strCache>
            </c:strRef>
          </c:tx>
          <c:dPt>
            <c:idx val="0"/>
            <c:bubble3D val="0"/>
            <c:spPr>
              <a:solidFill>
                <a:srgbClr val="42573E"/>
              </a:solidFill>
            </c:spPr>
            <c:extLst>
              <c:ext xmlns:c16="http://schemas.microsoft.com/office/drawing/2014/chart" uri="{C3380CC4-5D6E-409C-BE32-E72D297353CC}">
                <c16:uniqueId val="{000000A0-5FC6-4E58-9DBC-3F86263666DC}"/>
              </c:ext>
            </c:extLst>
          </c:dPt>
          <c:dPt>
            <c:idx val="1"/>
            <c:bubble3D val="0"/>
            <c:spPr>
              <a:solidFill>
                <a:schemeClr val="accent6">
                  <a:lumMod val="75000"/>
                  <a:alpha val="60000"/>
                </a:schemeClr>
              </a:solidFill>
            </c:spPr>
            <c:extLst>
              <c:ext xmlns:c16="http://schemas.microsoft.com/office/drawing/2014/chart" uri="{C3380CC4-5D6E-409C-BE32-E72D297353CC}">
                <c16:uniqueId val="{000000A1-5FC6-4E58-9DBC-3F86263666DC}"/>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A2-5FC6-4E58-9DBC-3F86263666DC}"/>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A3-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9F-5FC6-4E58-9DBC-3F86263666DC}"/>
            </c:ext>
          </c:extLst>
        </c:ser>
        <c:ser>
          <c:idx val="2"/>
          <c:order val="1"/>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A5-5FC6-4E58-9DBC-3F86263666DC}"/>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A6-5FC6-4E58-9DBC-3F86263666DC}"/>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A7-5FC6-4E58-9DBC-3F86263666DC}"/>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A8-5FC6-4E58-9DBC-3F86263666DC}"/>
              </c:ext>
            </c:extLst>
          </c:dPt>
          <c:dLbls>
            <c:dLbl>
              <c:idx val="0"/>
              <c:layout>
                <c:manualLayout>
                  <c:x val="-0.55453991468616692"/>
                  <c:y val="-0.32448377581120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5-5FC6-4E58-9DBC-3F86263666DC}"/>
                </c:ext>
              </c:extLst>
            </c:dLbl>
            <c:dLbl>
              <c:idx val="1"/>
              <c:layout>
                <c:manualLayout>
                  <c:x val="-0.36258379037172456"/>
                  <c:y val="-0.29990167158308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6-5FC6-4E58-9DBC-3F86263666DC}"/>
                </c:ext>
              </c:extLst>
            </c:dLbl>
            <c:dLbl>
              <c:idx val="2"/>
              <c:layout>
                <c:manualLayout>
                  <c:x val="-0.29250457038391225"/>
                  <c:y val="8.849557522123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7-5FC6-4E58-9DBC-3F86263666DC}"/>
                </c:ext>
              </c:extLst>
            </c:dLbl>
            <c:dLbl>
              <c:idx val="3"/>
              <c:layout>
                <c:manualLayout>
                  <c:x val="-0.3656307129798903"/>
                  <c:y val="0.46214355948869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8-5FC6-4E58-9DBC-3F86263666DC}"/>
                </c:ext>
              </c:extLst>
            </c:dLbl>
            <c:spPr>
              <a:noFill/>
              <a:ln>
                <a:noFill/>
              </a:ln>
              <a:effectLst/>
            </c:spPr>
            <c:txPr>
              <a:bodyPr wrap="square" lIns="38100" tIns="19050" rIns="38100" bIns="19050" anchor="ctr">
                <a:spAutoFit/>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A4-5FC6-4E58-9DBC-3F86263666DC}"/>
            </c:ext>
          </c:extLst>
        </c:ser>
        <c:ser>
          <c:idx val="3"/>
          <c:order val="2"/>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AA-5FC6-4E58-9DBC-3F86263666DC}"/>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AB-5FC6-4E58-9DBC-3F86263666DC}"/>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AC-5FC6-4E58-9DBC-3F86263666DC}"/>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AD-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A9-5FC6-4E58-9DBC-3F86263666DC}"/>
            </c:ext>
          </c:extLst>
        </c:ser>
        <c:ser>
          <c:idx val="4"/>
          <c:order val="3"/>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AF-5FC6-4E58-9DBC-3F86263666DC}"/>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B0-5FC6-4E58-9DBC-3F86263666DC}"/>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B1-5FC6-4E58-9DBC-3F86263666DC}"/>
              </c:ext>
            </c:extLst>
          </c:dPt>
          <c:dPt>
            <c:idx val="3"/>
            <c:bubble3D val="0"/>
            <c:spPr>
              <a:noFill/>
              <a:ln>
                <a:noFill/>
              </a:ln>
              <a:effectLst/>
            </c:spPr>
            <c:extLst>
              <c:ext xmlns:c16="http://schemas.microsoft.com/office/drawing/2014/chart" uri="{C3380CC4-5D6E-409C-BE32-E72D297353CC}">
                <c16:uniqueId val="{000000B2-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AE-5FC6-4E58-9DBC-3F86263666DC}"/>
            </c:ext>
          </c:extLst>
        </c:ser>
        <c:ser>
          <c:idx val="5"/>
          <c:order val="4"/>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B4-5FC6-4E58-9DBC-3F86263666DC}"/>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B5-5FC6-4E58-9DBC-3F86263666DC}"/>
              </c:ext>
            </c:extLst>
          </c:dPt>
          <c:dPt>
            <c:idx val="2"/>
            <c:bubble3D val="0"/>
            <c:spPr>
              <a:noFill/>
              <a:ln>
                <a:noFill/>
              </a:ln>
              <a:effectLst/>
            </c:spPr>
            <c:extLst>
              <c:ext xmlns:c16="http://schemas.microsoft.com/office/drawing/2014/chart" uri="{C3380CC4-5D6E-409C-BE32-E72D297353CC}">
                <c16:uniqueId val="{000000B6-5FC6-4E58-9DBC-3F86263666DC}"/>
              </c:ext>
            </c:extLst>
          </c:dPt>
          <c:dPt>
            <c:idx val="3"/>
            <c:bubble3D val="0"/>
            <c:spPr>
              <a:noFill/>
              <a:ln>
                <a:noFill/>
              </a:ln>
              <a:effectLst/>
            </c:spPr>
            <c:extLst>
              <c:ext xmlns:c16="http://schemas.microsoft.com/office/drawing/2014/chart" uri="{C3380CC4-5D6E-409C-BE32-E72D297353CC}">
                <c16:uniqueId val="{000000B7-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B3-5FC6-4E58-9DBC-3F86263666DC}"/>
            </c:ext>
          </c:extLst>
        </c:ser>
        <c:ser>
          <c:idx val="6"/>
          <c:order val="5"/>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B9-5FC6-4E58-9DBC-3F86263666DC}"/>
              </c:ext>
            </c:extLst>
          </c:dPt>
          <c:dPt>
            <c:idx val="1"/>
            <c:bubble3D val="0"/>
            <c:spPr>
              <a:noFill/>
              <a:ln>
                <a:noFill/>
              </a:ln>
              <a:effectLst/>
            </c:spPr>
            <c:extLst>
              <c:ext xmlns:c16="http://schemas.microsoft.com/office/drawing/2014/chart" uri="{C3380CC4-5D6E-409C-BE32-E72D297353CC}">
                <c16:uniqueId val="{000000BA-5FC6-4E58-9DBC-3F86263666DC}"/>
              </c:ext>
            </c:extLst>
          </c:dPt>
          <c:dPt>
            <c:idx val="2"/>
            <c:bubble3D val="0"/>
            <c:spPr>
              <a:noFill/>
              <a:ln>
                <a:noFill/>
              </a:ln>
              <a:effectLst/>
            </c:spPr>
            <c:extLst>
              <c:ext xmlns:c16="http://schemas.microsoft.com/office/drawing/2014/chart" uri="{C3380CC4-5D6E-409C-BE32-E72D297353CC}">
                <c16:uniqueId val="{000000BB-5FC6-4E58-9DBC-3F86263666DC}"/>
              </c:ext>
            </c:extLst>
          </c:dPt>
          <c:dPt>
            <c:idx val="3"/>
            <c:bubble3D val="0"/>
            <c:spPr>
              <a:noFill/>
              <a:ln>
                <a:noFill/>
              </a:ln>
              <a:effectLst/>
            </c:spPr>
            <c:extLst>
              <c:ext xmlns:c16="http://schemas.microsoft.com/office/drawing/2014/chart" uri="{C3380CC4-5D6E-409C-BE32-E72D297353CC}">
                <c16:uniqueId val="{000000BC-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B8-5FC6-4E58-9DBC-3F86263666DC}"/>
            </c:ext>
          </c:extLst>
        </c:ser>
        <c:ser>
          <c:idx val="0"/>
          <c:order val="6"/>
          <c:tx>
            <c:strRef>
              <c:f>Analysis!$E$29</c:f>
              <c:strCache>
                <c:ptCount val="1"/>
                <c:pt idx="0">
                  <c:v>Sales</c:v>
                </c:pt>
              </c:strCache>
            </c:strRef>
          </c:tx>
          <c:dPt>
            <c:idx val="0"/>
            <c:bubble3D val="0"/>
            <c:spPr>
              <a:noFill/>
              <a:ln>
                <a:noFill/>
              </a:ln>
              <a:effectLst/>
            </c:spPr>
            <c:extLst>
              <c:ext xmlns:c16="http://schemas.microsoft.com/office/drawing/2014/chart" uri="{C3380CC4-5D6E-409C-BE32-E72D297353CC}">
                <c16:uniqueId val="{00000097-5FC6-4E58-9DBC-3F86263666DC}"/>
              </c:ext>
            </c:extLst>
          </c:dPt>
          <c:dPt>
            <c:idx val="1"/>
            <c:bubble3D val="0"/>
            <c:spPr>
              <a:noFill/>
              <a:ln>
                <a:noFill/>
              </a:ln>
              <a:effectLst/>
            </c:spPr>
            <c:extLst>
              <c:ext xmlns:c16="http://schemas.microsoft.com/office/drawing/2014/chart" uri="{C3380CC4-5D6E-409C-BE32-E72D297353CC}">
                <c16:uniqueId val="{00000099-5FC6-4E58-9DBC-3F86263666DC}"/>
              </c:ext>
            </c:extLst>
          </c:dPt>
          <c:dPt>
            <c:idx val="2"/>
            <c:bubble3D val="0"/>
            <c:spPr>
              <a:noFill/>
              <a:ln>
                <a:noFill/>
              </a:ln>
              <a:effectLst/>
            </c:spPr>
            <c:extLst>
              <c:ext xmlns:c16="http://schemas.microsoft.com/office/drawing/2014/chart" uri="{C3380CC4-5D6E-409C-BE32-E72D297353CC}">
                <c16:uniqueId val="{0000009B-5FC6-4E58-9DBC-3F86263666DC}"/>
              </c:ext>
            </c:extLst>
          </c:dPt>
          <c:dPt>
            <c:idx val="3"/>
            <c:bubble3D val="0"/>
            <c:spPr>
              <a:noFill/>
              <a:ln>
                <a:noFill/>
              </a:ln>
              <a:effectLst/>
            </c:spPr>
            <c:extLst>
              <c:ext xmlns:c16="http://schemas.microsoft.com/office/drawing/2014/chart" uri="{C3380CC4-5D6E-409C-BE32-E72D297353CC}">
                <c16:uniqueId val="{0000009D-5FC6-4E58-9DBC-3F86263666DC}"/>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9E-5FC6-4E58-9DBC-3F86263666DC}"/>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b"/>
      <c:layout>
        <c:manualLayout>
          <c:xMode val="edge"/>
          <c:yMode val="edge"/>
          <c:x val="7.1359167398407919E-2"/>
          <c:y val="2.6676034964655971E-2"/>
          <c:w val="0.18202274715660541"/>
          <c:h val="0.83738480606590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311274769899036"/>
          <c:y val="0.15615668430790414"/>
          <c:w val="0.47534689413823272"/>
          <c:h val="0.79224482356372117"/>
        </c:manualLayout>
      </c:layout>
      <c:doughnutChart>
        <c:varyColors val="1"/>
        <c:ser>
          <c:idx val="1"/>
          <c:order val="0"/>
          <c:tx>
            <c:strRef>
              <c:f>Analysis!$E$29</c:f>
              <c:strCache>
                <c:ptCount val="1"/>
                <c:pt idx="0">
                  <c:v>Sales</c:v>
                </c:pt>
              </c:strCache>
            </c:strRef>
          </c:tx>
          <c:dPt>
            <c:idx val="0"/>
            <c:bubble3D val="0"/>
            <c:spPr>
              <a:solidFill>
                <a:srgbClr val="42573E"/>
              </a:solidFill>
            </c:spPr>
            <c:extLst>
              <c:ext xmlns:c16="http://schemas.microsoft.com/office/drawing/2014/chart" uri="{C3380CC4-5D6E-409C-BE32-E72D297353CC}">
                <c16:uniqueId val="{00000001-2F05-4A2F-9A76-6E16F8E605E3}"/>
              </c:ext>
            </c:extLst>
          </c:dPt>
          <c:dPt>
            <c:idx val="1"/>
            <c:bubble3D val="0"/>
            <c:spPr>
              <a:solidFill>
                <a:schemeClr val="accent6">
                  <a:lumMod val="75000"/>
                  <a:alpha val="60000"/>
                </a:schemeClr>
              </a:solidFill>
            </c:spPr>
            <c:extLst>
              <c:ext xmlns:c16="http://schemas.microsoft.com/office/drawing/2014/chart" uri="{C3380CC4-5D6E-409C-BE32-E72D297353CC}">
                <c16:uniqueId val="{00000003-2F05-4A2F-9A76-6E16F8E605E3}"/>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05-2F05-4A2F-9A76-6E16F8E605E3}"/>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07-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08-2F05-4A2F-9A76-6E16F8E605E3}"/>
            </c:ext>
          </c:extLst>
        </c:ser>
        <c:ser>
          <c:idx val="2"/>
          <c:order val="1"/>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0A-2F05-4A2F-9A76-6E16F8E605E3}"/>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0C-2F05-4A2F-9A76-6E16F8E605E3}"/>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0E-2F05-4A2F-9A76-6E16F8E605E3}"/>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0-2F05-4A2F-9A76-6E16F8E605E3}"/>
              </c:ext>
            </c:extLst>
          </c:dPt>
          <c:dLbls>
            <c:dLbl>
              <c:idx val="0"/>
              <c:layout>
                <c:manualLayout>
                  <c:x val="-0.55453991468616692"/>
                  <c:y val="-0.32448377581120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F05-4A2F-9A76-6E16F8E605E3}"/>
                </c:ext>
              </c:extLst>
            </c:dLbl>
            <c:dLbl>
              <c:idx val="1"/>
              <c:layout>
                <c:manualLayout>
                  <c:x val="-0.36258379037172456"/>
                  <c:y val="-0.29990167158308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F05-4A2F-9A76-6E16F8E605E3}"/>
                </c:ext>
              </c:extLst>
            </c:dLbl>
            <c:dLbl>
              <c:idx val="2"/>
              <c:layout>
                <c:manualLayout>
                  <c:x val="-0.29250457038391225"/>
                  <c:y val="8.849557522123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F05-4A2F-9A76-6E16F8E605E3}"/>
                </c:ext>
              </c:extLst>
            </c:dLbl>
            <c:dLbl>
              <c:idx val="3"/>
              <c:layout>
                <c:manualLayout>
                  <c:x val="-0.3656307129798903"/>
                  <c:y val="0.46214355948869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F05-4A2F-9A76-6E16F8E605E3}"/>
                </c:ext>
              </c:extLst>
            </c:dLbl>
            <c:spPr>
              <a:noFill/>
              <a:ln>
                <a:noFill/>
              </a:ln>
              <a:effectLst/>
            </c:spPr>
            <c:txPr>
              <a:bodyPr wrap="square" lIns="38100" tIns="19050" rIns="38100" bIns="19050" anchor="ctr">
                <a:spAutoFit/>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1-2F05-4A2F-9A76-6E16F8E605E3}"/>
            </c:ext>
          </c:extLst>
        </c:ser>
        <c:ser>
          <c:idx val="3"/>
          <c:order val="2"/>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13-2F05-4A2F-9A76-6E16F8E605E3}"/>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15-2F05-4A2F-9A76-6E16F8E605E3}"/>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17-2F05-4A2F-9A76-6E16F8E605E3}"/>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9-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A-2F05-4A2F-9A76-6E16F8E605E3}"/>
            </c:ext>
          </c:extLst>
        </c:ser>
        <c:ser>
          <c:idx val="4"/>
          <c:order val="3"/>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1C-2F05-4A2F-9A76-6E16F8E605E3}"/>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1E-2F05-4A2F-9A76-6E16F8E605E3}"/>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20-2F05-4A2F-9A76-6E16F8E605E3}"/>
              </c:ext>
            </c:extLst>
          </c:dPt>
          <c:dPt>
            <c:idx val="3"/>
            <c:bubble3D val="0"/>
            <c:spPr>
              <a:noFill/>
              <a:ln>
                <a:noFill/>
              </a:ln>
              <a:effectLst/>
            </c:spPr>
            <c:extLst>
              <c:ext xmlns:c16="http://schemas.microsoft.com/office/drawing/2014/chart" uri="{C3380CC4-5D6E-409C-BE32-E72D297353CC}">
                <c16:uniqueId val="{00000022-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3-2F05-4A2F-9A76-6E16F8E605E3}"/>
            </c:ext>
          </c:extLst>
        </c:ser>
        <c:ser>
          <c:idx val="5"/>
          <c:order val="4"/>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25-2F05-4A2F-9A76-6E16F8E605E3}"/>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27-2F05-4A2F-9A76-6E16F8E605E3}"/>
              </c:ext>
            </c:extLst>
          </c:dPt>
          <c:dPt>
            <c:idx val="2"/>
            <c:bubble3D val="0"/>
            <c:spPr>
              <a:noFill/>
              <a:ln>
                <a:noFill/>
              </a:ln>
              <a:effectLst/>
            </c:spPr>
            <c:extLst>
              <c:ext xmlns:c16="http://schemas.microsoft.com/office/drawing/2014/chart" uri="{C3380CC4-5D6E-409C-BE32-E72D297353CC}">
                <c16:uniqueId val="{00000029-2F05-4A2F-9A76-6E16F8E605E3}"/>
              </c:ext>
            </c:extLst>
          </c:dPt>
          <c:dPt>
            <c:idx val="3"/>
            <c:bubble3D val="0"/>
            <c:spPr>
              <a:noFill/>
              <a:ln>
                <a:noFill/>
              </a:ln>
              <a:effectLst/>
            </c:spPr>
            <c:extLst>
              <c:ext xmlns:c16="http://schemas.microsoft.com/office/drawing/2014/chart" uri="{C3380CC4-5D6E-409C-BE32-E72D297353CC}">
                <c16:uniqueId val="{0000002B-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C-2F05-4A2F-9A76-6E16F8E605E3}"/>
            </c:ext>
          </c:extLst>
        </c:ser>
        <c:ser>
          <c:idx val="6"/>
          <c:order val="5"/>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2E-2F05-4A2F-9A76-6E16F8E605E3}"/>
              </c:ext>
            </c:extLst>
          </c:dPt>
          <c:dPt>
            <c:idx val="1"/>
            <c:bubble3D val="0"/>
            <c:spPr>
              <a:noFill/>
              <a:ln>
                <a:noFill/>
              </a:ln>
              <a:effectLst/>
            </c:spPr>
            <c:extLst>
              <c:ext xmlns:c16="http://schemas.microsoft.com/office/drawing/2014/chart" uri="{C3380CC4-5D6E-409C-BE32-E72D297353CC}">
                <c16:uniqueId val="{00000030-2F05-4A2F-9A76-6E16F8E605E3}"/>
              </c:ext>
            </c:extLst>
          </c:dPt>
          <c:dPt>
            <c:idx val="2"/>
            <c:bubble3D val="0"/>
            <c:spPr>
              <a:noFill/>
              <a:ln>
                <a:noFill/>
              </a:ln>
              <a:effectLst/>
            </c:spPr>
            <c:extLst>
              <c:ext xmlns:c16="http://schemas.microsoft.com/office/drawing/2014/chart" uri="{C3380CC4-5D6E-409C-BE32-E72D297353CC}">
                <c16:uniqueId val="{00000032-2F05-4A2F-9A76-6E16F8E605E3}"/>
              </c:ext>
            </c:extLst>
          </c:dPt>
          <c:dPt>
            <c:idx val="3"/>
            <c:bubble3D val="0"/>
            <c:spPr>
              <a:noFill/>
              <a:ln>
                <a:noFill/>
              </a:ln>
              <a:effectLst/>
            </c:spPr>
            <c:extLst>
              <c:ext xmlns:c16="http://schemas.microsoft.com/office/drawing/2014/chart" uri="{C3380CC4-5D6E-409C-BE32-E72D297353CC}">
                <c16:uniqueId val="{00000034-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5-2F05-4A2F-9A76-6E16F8E605E3}"/>
            </c:ext>
          </c:extLst>
        </c:ser>
        <c:ser>
          <c:idx val="0"/>
          <c:order val="6"/>
          <c:tx>
            <c:strRef>
              <c:f>Analysis!$E$29</c:f>
              <c:strCache>
                <c:ptCount val="1"/>
                <c:pt idx="0">
                  <c:v>Sales</c:v>
                </c:pt>
              </c:strCache>
            </c:strRef>
          </c:tx>
          <c:dPt>
            <c:idx val="0"/>
            <c:bubble3D val="0"/>
            <c:spPr>
              <a:noFill/>
              <a:ln>
                <a:noFill/>
              </a:ln>
              <a:effectLst/>
            </c:spPr>
            <c:extLst>
              <c:ext xmlns:c16="http://schemas.microsoft.com/office/drawing/2014/chart" uri="{C3380CC4-5D6E-409C-BE32-E72D297353CC}">
                <c16:uniqueId val="{00000037-2F05-4A2F-9A76-6E16F8E605E3}"/>
              </c:ext>
            </c:extLst>
          </c:dPt>
          <c:dPt>
            <c:idx val="1"/>
            <c:bubble3D val="0"/>
            <c:spPr>
              <a:noFill/>
              <a:ln>
                <a:noFill/>
              </a:ln>
              <a:effectLst/>
            </c:spPr>
            <c:extLst>
              <c:ext xmlns:c16="http://schemas.microsoft.com/office/drawing/2014/chart" uri="{C3380CC4-5D6E-409C-BE32-E72D297353CC}">
                <c16:uniqueId val="{00000039-2F05-4A2F-9A76-6E16F8E605E3}"/>
              </c:ext>
            </c:extLst>
          </c:dPt>
          <c:dPt>
            <c:idx val="2"/>
            <c:bubble3D val="0"/>
            <c:spPr>
              <a:noFill/>
              <a:ln>
                <a:noFill/>
              </a:ln>
              <a:effectLst/>
            </c:spPr>
            <c:extLst>
              <c:ext xmlns:c16="http://schemas.microsoft.com/office/drawing/2014/chart" uri="{C3380CC4-5D6E-409C-BE32-E72D297353CC}">
                <c16:uniqueId val="{0000003B-2F05-4A2F-9A76-6E16F8E605E3}"/>
              </c:ext>
            </c:extLst>
          </c:dPt>
          <c:dPt>
            <c:idx val="3"/>
            <c:bubble3D val="0"/>
            <c:spPr>
              <a:noFill/>
              <a:ln>
                <a:noFill/>
              </a:ln>
              <a:effectLst/>
            </c:spPr>
            <c:extLst>
              <c:ext xmlns:c16="http://schemas.microsoft.com/office/drawing/2014/chart" uri="{C3380CC4-5D6E-409C-BE32-E72D297353CC}">
                <c16:uniqueId val="{0000003D-2F05-4A2F-9A76-6E16F8E605E3}"/>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E-2F05-4A2F-9A76-6E16F8E605E3}"/>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b"/>
      <c:layout>
        <c:manualLayout>
          <c:xMode val="edge"/>
          <c:yMode val="edge"/>
          <c:x val="7.1359167398407919E-2"/>
          <c:y val="2.6676034964655971E-2"/>
          <c:w val="0.27130838555894798"/>
          <c:h val="0.83738480606590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3646160083648"/>
          <c:y val="0.23373260535829249"/>
          <c:w val="0.86486351706036746"/>
          <c:h val="0.61498432487605714"/>
        </c:manualLayout>
      </c:layout>
      <c:barChart>
        <c:barDir val="col"/>
        <c:grouping val="stacked"/>
        <c:varyColors val="0"/>
        <c:ser>
          <c:idx val="0"/>
          <c:order val="0"/>
          <c:tx>
            <c:strRef>
              <c:f>Analysis!$E$18</c:f>
              <c:strCache>
                <c:ptCount val="1"/>
                <c:pt idx="0">
                  <c:v>Revenue</c:v>
                </c:pt>
              </c:strCache>
            </c:strRef>
          </c:tx>
          <c:spPr>
            <a:solidFill>
              <a:srgbClr val="42573E"/>
            </a:solid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Analysis!$E$19:$E$25</c:f>
              <c:numCache>
                <c:formatCode>General</c:formatCode>
                <c:ptCount val="7"/>
                <c:pt idx="0">
                  <c:v>3715</c:v>
                </c:pt>
                <c:pt idx="1">
                  <c:v>3511</c:v>
                </c:pt>
                <c:pt idx="2">
                  <c:v>2567</c:v>
                </c:pt>
                <c:pt idx="3">
                  <c:v>3450</c:v>
                </c:pt>
                <c:pt idx="4">
                  <c:v>3053</c:v>
                </c:pt>
                <c:pt idx="5">
                  <c:v>7180</c:v>
                </c:pt>
                <c:pt idx="6">
                  <c:v>6613</c:v>
                </c:pt>
              </c:numCache>
            </c:numRef>
          </c:val>
          <c:extLst>
            <c:ext xmlns:c16="http://schemas.microsoft.com/office/drawing/2014/chart" uri="{C3380CC4-5D6E-409C-BE32-E72D297353CC}">
              <c16:uniqueId val="{00000000-92B7-4B4D-8740-99E3F57FE62F}"/>
            </c:ext>
          </c:extLst>
        </c:ser>
        <c:ser>
          <c:idx val="1"/>
          <c:order val="1"/>
          <c:tx>
            <c:strRef>
              <c:f>Analysis!$F$18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92B7-4B4D-8740-99E3F57FE62F}"/>
            </c:ext>
          </c:extLst>
        </c:ser>
        <c:dLbls>
          <c:showLegendKey val="0"/>
          <c:showVal val="0"/>
          <c:showCatName val="0"/>
          <c:showSerName val="0"/>
          <c:showPercent val="0"/>
          <c:showBubbleSize val="0"/>
        </c:dLbls>
        <c:gapWidth val="370"/>
        <c:overlap val="100"/>
        <c:axId val="1600482256"/>
        <c:axId val="1600481776"/>
      </c:barChart>
      <c:catAx>
        <c:axId val="16004822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0481776"/>
        <c:crosses val="autoZero"/>
        <c:auto val="1"/>
        <c:lblAlgn val="ctr"/>
        <c:lblOffset val="100"/>
        <c:noMultiLvlLbl val="0"/>
      </c:catAx>
      <c:valAx>
        <c:axId val="1600481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82256"/>
        <c:crosses val="autoZero"/>
        <c:crossBetween val="between"/>
        <c:majorUnit val="30000"/>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307191394414042"/>
          <c:y val="0.15734312544908027"/>
          <c:w val="0.42557039655523637"/>
          <c:h val="0.74205541855170587"/>
        </c:manualLayout>
      </c:layout>
      <c:barChart>
        <c:barDir val="bar"/>
        <c:grouping val="stacked"/>
        <c:varyColors val="0"/>
        <c:ser>
          <c:idx val="0"/>
          <c:order val="0"/>
          <c:tx>
            <c:strRef>
              <c:f>Analysis!$L$3</c:f>
              <c:strCache>
                <c:ptCount val="1"/>
                <c:pt idx="0">
                  <c:v>Revenues</c:v>
                </c:pt>
              </c:strCache>
            </c:strRef>
          </c:tx>
          <c:spPr>
            <a:solidFill>
              <a:srgbClr val="42573E"/>
            </a:solid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Analysis!$L$4:$L$11</c:f>
              <c:numCache>
                <c:formatCode>General</c:formatCode>
                <c:ptCount val="8"/>
                <c:pt idx="0">
                  <c:v>2588</c:v>
                </c:pt>
                <c:pt idx="1">
                  <c:v>3129</c:v>
                </c:pt>
                <c:pt idx="2">
                  <c:v>3271</c:v>
                </c:pt>
                <c:pt idx="3">
                  <c:v>3316</c:v>
                </c:pt>
                <c:pt idx="4">
                  <c:v>3413</c:v>
                </c:pt>
                <c:pt idx="5">
                  <c:v>4290</c:v>
                </c:pt>
                <c:pt idx="6">
                  <c:v>4939</c:v>
                </c:pt>
                <c:pt idx="7">
                  <c:v>5143</c:v>
                </c:pt>
              </c:numCache>
            </c:numRef>
          </c:val>
          <c:extLst>
            <c:ext xmlns:c16="http://schemas.microsoft.com/office/drawing/2014/chart" uri="{C3380CC4-5D6E-409C-BE32-E72D297353CC}">
              <c16:uniqueId val="{00000000-4D7B-48F5-9763-B99A239B7B70}"/>
            </c:ext>
          </c:extLst>
        </c:ser>
        <c:ser>
          <c:idx val="1"/>
          <c:order val="1"/>
          <c:tx>
            <c:strRef>
              <c:f>Analysis!$M$3</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Analysis!$M$4:$M$11</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4D7B-48F5-9763-B99A239B7B70}"/>
            </c:ext>
          </c:extLst>
        </c:ser>
        <c:dLbls>
          <c:showLegendKey val="0"/>
          <c:showVal val="0"/>
          <c:showCatName val="0"/>
          <c:showSerName val="0"/>
          <c:showPercent val="0"/>
          <c:showBubbleSize val="0"/>
        </c:dLbls>
        <c:gapWidth val="150"/>
        <c:overlap val="100"/>
        <c:axId val="1134779840"/>
        <c:axId val="1134781760"/>
      </c:barChart>
      <c:catAx>
        <c:axId val="1134779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34781760"/>
        <c:crosses val="autoZero"/>
        <c:auto val="1"/>
        <c:lblAlgn val="l"/>
        <c:lblOffset val="100"/>
        <c:noMultiLvlLbl val="0"/>
      </c:catAx>
      <c:valAx>
        <c:axId val="11347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79840"/>
        <c:crosses val="autoZero"/>
        <c:crossBetween val="between"/>
        <c:majorUnit val="25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311274769899036"/>
          <c:y val="0.15615668430790414"/>
          <c:w val="0.51577809849240541"/>
          <c:h val="0.74004156695756773"/>
        </c:manualLayout>
      </c:layout>
      <c:doughnutChart>
        <c:varyColors val="1"/>
        <c:ser>
          <c:idx val="1"/>
          <c:order val="0"/>
          <c:tx>
            <c:strRef>
              <c:f>Analysis!$E$29</c:f>
              <c:strCache>
                <c:ptCount val="1"/>
                <c:pt idx="0">
                  <c:v>Sales</c:v>
                </c:pt>
              </c:strCache>
            </c:strRef>
          </c:tx>
          <c:dPt>
            <c:idx val="0"/>
            <c:bubble3D val="0"/>
            <c:spPr>
              <a:solidFill>
                <a:srgbClr val="42573E"/>
              </a:solidFill>
            </c:spPr>
            <c:extLst>
              <c:ext xmlns:c16="http://schemas.microsoft.com/office/drawing/2014/chart" uri="{C3380CC4-5D6E-409C-BE32-E72D297353CC}">
                <c16:uniqueId val="{00000001-E4DF-43E1-9538-785E6D16E556}"/>
              </c:ext>
            </c:extLst>
          </c:dPt>
          <c:dPt>
            <c:idx val="1"/>
            <c:bubble3D val="0"/>
            <c:spPr>
              <a:solidFill>
                <a:schemeClr val="accent6">
                  <a:lumMod val="75000"/>
                  <a:alpha val="60000"/>
                </a:schemeClr>
              </a:solidFill>
            </c:spPr>
            <c:extLst>
              <c:ext xmlns:c16="http://schemas.microsoft.com/office/drawing/2014/chart" uri="{C3380CC4-5D6E-409C-BE32-E72D297353CC}">
                <c16:uniqueId val="{00000003-E4DF-43E1-9538-785E6D16E556}"/>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05-E4DF-43E1-9538-785E6D16E556}"/>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07-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08-E4DF-43E1-9538-785E6D16E556}"/>
            </c:ext>
          </c:extLst>
        </c:ser>
        <c:ser>
          <c:idx val="2"/>
          <c:order val="1"/>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0A-E4DF-43E1-9538-785E6D16E556}"/>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0C-E4DF-43E1-9538-785E6D16E556}"/>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0E-E4DF-43E1-9538-785E6D16E556}"/>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0-E4DF-43E1-9538-785E6D16E556}"/>
              </c:ext>
            </c:extLst>
          </c:dPt>
          <c:dLbls>
            <c:dLbl>
              <c:idx val="0"/>
              <c:layout>
                <c:manualLayout>
                  <c:x val="-0.55453991468616692"/>
                  <c:y val="-0.32448377581120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DF-43E1-9538-785E6D16E556}"/>
                </c:ext>
              </c:extLst>
            </c:dLbl>
            <c:dLbl>
              <c:idx val="1"/>
              <c:layout>
                <c:manualLayout>
                  <c:x val="-0.36258379037172456"/>
                  <c:y val="-0.29990167158308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4DF-43E1-9538-785E6D16E556}"/>
                </c:ext>
              </c:extLst>
            </c:dLbl>
            <c:dLbl>
              <c:idx val="2"/>
              <c:layout>
                <c:manualLayout>
                  <c:x val="-0.29250457038391225"/>
                  <c:y val="8.849557522123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4DF-43E1-9538-785E6D16E556}"/>
                </c:ext>
              </c:extLst>
            </c:dLbl>
            <c:dLbl>
              <c:idx val="3"/>
              <c:layout>
                <c:manualLayout>
                  <c:x val="-0.3656307129798903"/>
                  <c:y val="0.46214355948869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DF-43E1-9538-785E6D16E556}"/>
                </c:ext>
              </c:extLst>
            </c:dLbl>
            <c:spPr>
              <a:noFill/>
              <a:ln>
                <a:noFill/>
              </a:ln>
              <a:effectLst/>
            </c:spPr>
            <c:txPr>
              <a:bodyPr wrap="square" lIns="38100" tIns="19050" rIns="38100" bIns="19050" anchor="ctr">
                <a:spAutoFit/>
              </a:bodyPr>
              <a:lstStyle/>
              <a:p>
                <a:pPr>
                  <a:defRPr sz="700"/>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1-E4DF-43E1-9538-785E6D16E556}"/>
            </c:ext>
          </c:extLst>
        </c:ser>
        <c:ser>
          <c:idx val="3"/>
          <c:order val="2"/>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13-E4DF-43E1-9538-785E6D16E556}"/>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15-E4DF-43E1-9538-785E6D16E556}"/>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17-E4DF-43E1-9538-785E6D16E556}"/>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9-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A-E4DF-43E1-9538-785E6D16E556}"/>
            </c:ext>
          </c:extLst>
        </c:ser>
        <c:ser>
          <c:idx val="4"/>
          <c:order val="3"/>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1C-E4DF-43E1-9538-785E6D16E556}"/>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1E-E4DF-43E1-9538-785E6D16E556}"/>
              </c:ext>
            </c:extLst>
          </c:dPt>
          <c:dPt>
            <c:idx val="2"/>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20-E4DF-43E1-9538-785E6D16E556}"/>
              </c:ext>
            </c:extLst>
          </c:dPt>
          <c:dPt>
            <c:idx val="3"/>
            <c:bubble3D val="0"/>
            <c:spPr>
              <a:noFill/>
              <a:ln>
                <a:noFill/>
              </a:ln>
              <a:effectLst/>
            </c:spPr>
            <c:extLst>
              <c:ext xmlns:c16="http://schemas.microsoft.com/office/drawing/2014/chart" uri="{C3380CC4-5D6E-409C-BE32-E72D297353CC}">
                <c16:uniqueId val="{00000022-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3-E4DF-43E1-9538-785E6D16E556}"/>
            </c:ext>
          </c:extLst>
        </c:ser>
        <c:ser>
          <c:idx val="5"/>
          <c:order val="4"/>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25-E4DF-43E1-9538-785E6D16E556}"/>
              </c:ext>
            </c:extLst>
          </c:dPt>
          <c:dPt>
            <c:idx val="1"/>
            <c:bubble3D val="0"/>
            <c:spPr>
              <a:solidFill>
                <a:schemeClr val="accent6">
                  <a:lumMod val="75000"/>
                  <a:alpha val="60000"/>
                </a:schemeClr>
              </a:solidFill>
              <a:ln>
                <a:noFill/>
              </a:ln>
              <a:effectLst/>
            </c:spPr>
            <c:extLst>
              <c:ext xmlns:c16="http://schemas.microsoft.com/office/drawing/2014/chart" uri="{C3380CC4-5D6E-409C-BE32-E72D297353CC}">
                <c16:uniqueId val="{00000027-E4DF-43E1-9538-785E6D16E556}"/>
              </c:ext>
            </c:extLst>
          </c:dPt>
          <c:dPt>
            <c:idx val="2"/>
            <c:bubble3D val="0"/>
            <c:spPr>
              <a:noFill/>
              <a:ln>
                <a:noFill/>
              </a:ln>
              <a:effectLst/>
            </c:spPr>
            <c:extLst>
              <c:ext xmlns:c16="http://schemas.microsoft.com/office/drawing/2014/chart" uri="{C3380CC4-5D6E-409C-BE32-E72D297353CC}">
                <c16:uniqueId val="{00000029-E4DF-43E1-9538-785E6D16E556}"/>
              </c:ext>
            </c:extLst>
          </c:dPt>
          <c:dPt>
            <c:idx val="3"/>
            <c:bubble3D val="0"/>
            <c:spPr>
              <a:noFill/>
              <a:ln>
                <a:noFill/>
              </a:ln>
              <a:effectLst/>
            </c:spPr>
            <c:extLst>
              <c:ext xmlns:c16="http://schemas.microsoft.com/office/drawing/2014/chart" uri="{C3380CC4-5D6E-409C-BE32-E72D297353CC}">
                <c16:uniqueId val="{0000002B-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C-E4DF-43E1-9538-785E6D16E556}"/>
            </c:ext>
          </c:extLst>
        </c:ser>
        <c:ser>
          <c:idx val="6"/>
          <c:order val="5"/>
          <c:tx>
            <c:strRef>
              <c:f>Analysis!$E$29</c:f>
              <c:strCache>
                <c:ptCount val="1"/>
                <c:pt idx="0">
                  <c:v>Sales</c:v>
                </c:pt>
              </c:strCache>
            </c:strRef>
          </c:tx>
          <c:dPt>
            <c:idx val="0"/>
            <c:bubble3D val="0"/>
            <c:spPr>
              <a:solidFill>
                <a:srgbClr val="42573E"/>
              </a:solidFill>
              <a:ln>
                <a:noFill/>
              </a:ln>
              <a:effectLst/>
            </c:spPr>
            <c:extLst>
              <c:ext xmlns:c16="http://schemas.microsoft.com/office/drawing/2014/chart" uri="{C3380CC4-5D6E-409C-BE32-E72D297353CC}">
                <c16:uniqueId val="{0000002E-E4DF-43E1-9538-785E6D16E556}"/>
              </c:ext>
            </c:extLst>
          </c:dPt>
          <c:dPt>
            <c:idx val="1"/>
            <c:bubble3D val="0"/>
            <c:spPr>
              <a:noFill/>
              <a:ln>
                <a:noFill/>
              </a:ln>
              <a:effectLst/>
            </c:spPr>
            <c:extLst>
              <c:ext xmlns:c16="http://schemas.microsoft.com/office/drawing/2014/chart" uri="{C3380CC4-5D6E-409C-BE32-E72D297353CC}">
                <c16:uniqueId val="{00000030-E4DF-43E1-9538-785E6D16E556}"/>
              </c:ext>
            </c:extLst>
          </c:dPt>
          <c:dPt>
            <c:idx val="2"/>
            <c:bubble3D val="0"/>
            <c:spPr>
              <a:noFill/>
              <a:ln>
                <a:noFill/>
              </a:ln>
              <a:effectLst/>
            </c:spPr>
            <c:extLst>
              <c:ext xmlns:c16="http://schemas.microsoft.com/office/drawing/2014/chart" uri="{C3380CC4-5D6E-409C-BE32-E72D297353CC}">
                <c16:uniqueId val="{00000032-E4DF-43E1-9538-785E6D16E556}"/>
              </c:ext>
            </c:extLst>
          </c:dPt>
          <c:dPt>
            <c:idx val="3"/>
            <c:bubble3D val="0"/>
            <c:spPr>
              <a:noFill/>
              <a:ln>
                <a:noFill/>
              </a:ln>
              <a:effectLst/>
            </c:spPr>
            <c:extLst>
              <c:ext xmlns:c16="http://schemas.microsoft.com/office/drawing/2014/chart" uri="{C3380CC4-5D6E-409C-BE32-E72D297353CC}">
                <c16:uniqueId val="{00000034-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5-E4DF-43E1-9538-785E6D16E556}"/>
            </c:ext>
          </c:extLst>
        </c:ser>
        <c:ser>
          <c:idx val="0"/>
          <c:order val="6"/>
          <c:tx>
            <c:strRef>
              <c:f>Analysis!$E$29</c:f>
              <c:strCache>
                <c:ptCount val="1"/>
                <c:pt idx="0">
                  <c:v>Sales</c:v>
                </c:pt>
              </c:strCache>
            </c:strRef>
          </c:tx>
          <c:dPt>
            <c:idx val="0"/>
            <c:bubble3D val="0"/>
            <c:spPr>
              <a:noFill/>
              <a:ln>
                <a:noFill/>
              </a:ln>
              <a:effectLst/>
            </c:spPr>
            <c:extLst>
              <c:ext xmlns:c16="http://schemas.microsoft.com/office/drawing/2014/chart" uri="{C3380CC4-5D6E-409C-BE32-E72D297353CC}">
                <c16:uniqueId val="{00000037-E4DF-43E1-9538-785E6D16E556}"/>
              </c:ext>
            </c:extLst>
          </c:dPt>
          <c:dPt>
            <c:idx val="1"/>
            <c:bubble3D val="0"/>
            <c:spPr>
              <a:noFill/>
              <a:ln>
                <a:noFill/>
              </a:ln>
              <a:effectLst/>
            </c:spPr>
            <c:extLst>
              <c:ext xmlns:c16="http://schemas.microsoft.com/office/drawing/2014/chart" uri="{C3380CC4-5D6E-409C-BE32-E72D297353CC}">
                <c16:uniqueId val="{00000039-E4DF-43E1-9538-785E6D16E556}"/>
              </c:ext>
            </c:extLst>
          </c:dPt>
          <c:dPt>
            <c:idx val="2"/>
            <c:bubble3D val="0"/>
            <c:spPr>
              <a:noFill/>
              <a:ln>
                <a:noFill/>
              </a:ln>
              <a:effectLst/>
            </c:spPr>
            <c:extLst>
              <c:ext xmlns:c16="http://schemas.microsoft.com/office/drawing/2014/chart" uri="{C3380CC4-5D6E-409C-BE32-E72D297353CC}">
                <c16:uniqueId val="{0000003B-E4DF-43E1-9538-785E6D16E556}"/>
              </c:ext>
            </c:extLst>
          </c:dPt>
          <c:dPt>
            <c:idx val="3"/>
            <c:bubble3D val="0"/>
            <c:spPr>
              <a:noFill/>
              <a:ln>
                <a:noFill/>
              </a:ln>
              <a:effectLst/>
            </c:spPr>
            <c:extLst>
              <c:ext xmlns:c16="http://schemas.microsoft.com/office/drawing/2014/chart" uri="{C3380CC4-5D6E-409C-BE32-E72D297353CC}">
                <c16:uniqueId val="{0000003D-E4DF-43E1-9538-785E6D16E556}"/>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E-E4DF-43E1-9538-785E6D16E556}"/>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b"/>
      <c:layout>
        <c:manualLayout>
          <c:xMode val="edge"/>
          <c:yMode val="edge"/>
          <c:x val="6.026447302867282E-2"/>
          <c:y val="3.914680826950738E-2"/>
          <c:w val="0.45100282276036252"/>
          <c:h val="0.8237534904364661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Analysis!$L$25</c:f>
              <c:strCache>
                <c:ptCount val="1"/>
                <c:pt idx="0">
                  <c:v>% Revenue</c:v>
                </c:pt>
              </c:strCache>
            </c:strRef>
          </c:tx>
          <c:spPr>
            <a:solidFill>
              <a:srgbClr val="42573E"/>
            </a:solidFill>
            <a:ln>
              <a:noFill/>
            </a:ln>
            <a:effectLst/>
          </c:spPr>
          <c:invertIfNegative val="0"/>
          <c:cat>
            <c:strRef>
              <c:f>Analysis!$J$26:$K$30</c:f>
              <c:strCache>
                <c:ptCount val="5"/>
                <c:pt idx="0">
                  <c:v>Regular</c:v>
                </c:pt>
                <c:pt idx="1">
                  <c:v>VIP</c:v>
                </c:pt>
                <c:pt idx="2">
                  <c:v>Family</c:v>
                </c:pt>
                <c:pt idx="3">
                  <c:v>Couple</c:v>
                </c:pt>
                <c:pt idx="4">
                  <c:v>Student</c:v>
                </c:pt>
              </c:strCache>
            </c:strRef>
          </c:cat>
          <c:val>
            <c:numRef>
              <c:f>Analysis!$L$26:$L$30</c:f>
              <c:numCache>
                <c:formatCode>0%</c:formatCode>
                <c:ptCount val="5"/>
                <c:pt idx="0">
                  <c:v>0.39841802652132008</c:v>
                </c:pt>
                <c:pt idx="1">
                  <c:v>0.22848881651101732</c:v>
                </c:pt>
                <c:pt idx="2">
                  <c:v>0.16850011632157932</c:v>
                </c:pt>
                <c:pt idx="3">
                  <c:v>0.12429791618199341</c:v>
                </c:pt>
                <c:pt idx="4">
                  <c:v>8.0295124464089873E-2</c:v>
                </c:pt>
              </c:numCache>
            </c:numRef>
          </c:val>
          <c:extLst>
            <c:ext xmlns:c16="http://schemas.microsoft.com/office/drawing/2014/chart" uri="{C3380CC4-5D6E-409C-BE32-E72D297353CC}">
              <c16:uniqueId val="{00000000-48F8-4070-8DCF-8479F9DD51B0}"/>
            </c:ext>
          </c:extLst>
        </c:ser>
        <c:ser>
          <c:idx val="1"/>
          <c:order val="1"/>
          <c:tx>
            <c:strRef>
              <c:f>Analysis!$M$25</c:f>
              <c:strCache>
                <c:ptCount val="1"/>
                <c:pt idx="0">
                  <c:v>Padding</c:v>
                </c:pt>
              </c:strCache>
            </c:strRef>
          </c:tx>
          <c:spPr>
            <a:solidFill>
              <a:srgbClr val="D4DAD3">
                <a:alpha val="49804"/>
              </a:srgbClr>
            </a:solidFill>
            <a:ln>
              <a:solidFill>
                <a:schemeClr val="accent1">
                  <a:alpha val="50000"/>
                </a:schemeClr>
              </a:solidFill>
            </a:ln>
            <a:effectLst/>
          </c:spPr>
          <c:invertIfNegative val="0"/>
          <c:dLbls>
            <c:dLbl>
              <c:idx val="0"/>
              <c:layout>
                <c:manualLayout>
                  <c:x val="0.10335335335335336"/>
                  <c:y val="-8.21018062397372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F8-4070-8DCF-8479F9DD51B0}"/>
                </c:ext>
              </c:extLst>
            </c:dLbl>
            <c:dLbl>
              <c:idx val="1"/>
              <c:layout>
                <c:manualLayout>
                  <c:x val="0.2333333333333332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F8-4070-8DCF-8479F9DD51B0}"/>
                </c:ext>
              </c:extLst>
            </c:dLbl>
            <c:dLbl>
              <c:idx val="2"/>
              <c:layout>
                <c:manualLayout>
                  <c:x val="0.252777777777777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F8-4070-8DCF-8479F9DD51B0}"/>
                </c:ext>
              </c:extLst>
            </c:dLbl>
            <c:dLbl>
              <c:idx val="3"/>
              <c:layout>
                <c:manualLayout>
                  <c:x val="0.30833333333333324"/>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F8-4070-8DCF-8479F9DD51B0}"/>
                </c:ext>
              </c:extLst>
            </c:dLbl>
            <c:dLbl>
              <c:idx val="4"/>
              <c:layout>
                <c:manualLayout>
                  <c:x val="0.35277777777777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F8-4070-8DCF-8479F9DD51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Analysis!$J$26:$K$30</c:f>
              <c:strCache>
                <c:ptCount val="5"/>
                <c:pt idx="0">
                  <c:v>Regular</c:v>
                </c:pt>
                <c:pt idx="1">
                  <c:v>VIP</c:v>
                </c:pt>
                <c:pt idx="2">
                  <c:v>Family</c:v>
                </c:pt>
                <c:pt idx="3">
                  <c:v>Couple</c:v>
                </c:pt>
                <c:pt idx="4">
                  <c:v>Student</c:v>
                </c:pt>
              </c:strCache>
            </c:strRef>
          </c:cat>
          <c:val>
            <c:numRef>
              <c:f>Analysis!$M$26:$M$30</c:f>
              <c:numCache>
                <c:formatCode>0%</c:formatCode>
                <c:ptCount val="5"/>
                <c:pt idx="0">
                  <c:v>7.9683605304263994E-2</c:v>
                </c:pt>
                <c:pt idx="1">
                  <c:v>0.24961281531456675</c:v>
                </c:pt>
                <c:pt idx="2">
                  <c:v>0.30960151550400472</c:v>
                </c:pt>
                <c:pt idx="3">
                  <c:v>0.35380371564359064</c:v>
                </c:pt>
                <c:pt idx="4">
                  <c:v>0.3978065073614942</c:v>
                </c:pt>
              </c:numCache>
            </c:numRef>
          </c:val>
          <c:extLst>
            <c:ext xmlns:c16="http://schemas.microsoft.com/office/drawing/2014/chart" uri="{C3380CC4-5D6E-409C-BE32-E72D297353CC}">
              <c16:uniqueId val="{00000006-48F8-4070-8DCF-8479F9DD51B0}"/>
            </c:ext>
          </c:extLst>
        </c:ser>
        <c:dLbls>
          <c:showLegendKey val="0"/>
          <c:showVal val="0"/>
          <c:showCatName val="0"/>
          <c:showSerName val="0"/>
          <c:showPercent val="0"/>
          <c:showBubbleSize val="0"/>
        </c:dLbls>
        <c:gapWidth val="150"/>
        <c:overlap val="100"/>
        <c:axId val="1599395920"/>
        <c:axId val="1599396400"/>
      </c:barChart>
      <c:catAx>
        <c:axId val="15993959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96400"/>
        <c:crosses val="autoZero"/>
        <c:auto val="1"/>
        <c:lblAlgn val="ctr"/>
        <c:lblOffset val="100"/>
        <c:noMultiLvlLbl val="0"/>
      </c:catAx>
      <c:valAx>
        <c:axId val="1599396400"/>
        <c:scaling>
          <c:orientation val="minMax"/>
        </c:scaling>
        <c:delete val="1"/>
        <c:axPos val="b"/>
        <c:numFmt formatCode="0%" sourceLinked="1"/>
        <c:majorTickMark val="none"/>
        <c:minorTickMark val="none"/>
        <c:tickLblPos val="nextTo"/>
        <c:crossAx val="15993959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3646160083648"/>
          <c:y val="0.23373260535829249"/>
          <c:w val="0.86486351706036746"/>
          <c:h val="0.61498432487605714"/>
        </c:manualLayout>
      </c:layout>
      <c:barChart>
        <c:barDir val="col"/>
        <c:grouping val="stacked"/>
        <c:varyColors val="0"/>
        <c:ser>
          <c:idx val="0"/>
          <c:order val="0"/>
          <c:tx>
            <c:strRef>
              <c:f>Analysis!$E$18</c:f>
              <c:strCache>
                <c:ptCount val="1"/>
                <c:pt idx="0">
                  <c:v>Revenue</c:v>
                </c:pt>
              </c:strCache>
            </c:strRef>
          </c:tx>
          <c:spPr>
            <a:solidFill>
              <a:schemeClr val="accent6">
                <a:lumMod val="40000"/>
                <a:lumOff val="60000"/>
              </a:schemeClr>
            </a:solid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Analysis!$E$19:$E$25</c:f>
              <c:numCache>
                <c:formatCode>General</c:formatCode>
                <c:ptCount val="7"/>
                <c:pt idx="0">
                  <c:v>3715</c:v>
                </c:pt>
                <c:pt idx="1">
                  <c:v>3511</c:v>
                </c:pt>
                <c:pt idx="2">
                  <c:v>2567</c:v>
                </c:pt>
                <c:pt idx="3">
                  <c:v>3450</c:v>
                </c:pt>
                <c:pt idx="4">
                  <c:v>3053</c:v>
                </c:pt>
                <c:pt idx="5">
                  <c:v>7180</c:v>
                </c:pt>
                <c:pt idx="6">
                  <c:v>6613</c:v>
                </c:pt>
              </c:numCache>
            </c:numRef>
          </c:val>
          <c:extLst>
            <c:ext xmlns:c16="http://schemas.microsoft.com/office/drawing/2014/chart" uri="{C3380CC4-5D6E-409C-BE32-E72D297353CC}">
              <c16:uniqueId val="{00000000-6AEB-450D-9FB4-13769C213436}"/>
            </c:ext>
          </c:extLst>
        </c:ser>
        <c:ser>
          <c:idx val="1"/>
          <c:order val="1"/>
          <c:tx>
            <c:strRef>
              <c:f>Analysis!$F$18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Analysis!$D$19:$D$25</c:f>
              <c:strCache>
                <c:ptCount val="7"/>
                <c:pt idx="0">
                  <c:v>Mon</c:v>
                </c:pt>
                <c:pt idx="1">
                  <c:v>Tue</c:v>
                </c:pt>
                <c:pt idx="2">
                  <c:v>Wed</c:v>
                </c:pt>
                <c:pt idx="3">
                  <c:v>Thu</c:v>
                </c:pt>
                <c:pt idx="4">
                  <c:v>Fri</c:v>
                </c:pt>
                <c:pt idx="5">
                  <c:v>Sat</c:v>
                </c:pt>
                <c:pt idx="6">
                  <c:v>Sun</c:v>
                </c:pt>
              </c:strCache>
            </c:strRef>
          </c:cat>
          <c:val>
            <c:numRef>
              <c:f>Analysis!$F$19:$F$25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6AEB-450D-9FB4-13769C213436}"/>
            </c:ext>
          </c:extLst>
        </c:ser>
        <c:dLbls>
          <c:showLegendKey val="0"/>
          <c:showVal val="0"/>
          <c:showCatName val="0"/>
          <c:showSerName val="0"/>
          <c:showPercent val="0"/>
          <c:showBubbleSize val="0"/>
        </c:dLbls>
        <c:gapWidth val="370"/>
        <c:overlap val="100"/>
        <c:axId val="1600482256"/>
        <c:axId val="1600481776"/>
      </c:barChart>
      <c:catAx>
        <c:axId val="16004822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mn-lt"/>
                <a:ea typeface="+mn-ea"/>
                <a:cs typeface="+mn-cs"/>
              </a:defRPr>
            </a:pPr>
            <a:endParaRPr lang="en-US"/>
          </a:p>
        </c:txPr>
        <c:crossAx val="1600481776"/>
        <c:crosses val="autoZero"/>
        <c:auto val="1"/>
        <c:lblAlgn val="ctr"/>
        <c:lblOffset val="100"/>
        <c:noMultiLvlLbl val="0"/>
      </c:catAx>
      <c:valAx>
        <c:axId val="1600481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600482256"/>
        <c:crosses val="autoZero"/>
        <c:crossBetween val="between"/>
        <c:majorUnit val="30000"/>
      </c:valAx>
      <c:spPr>
        <a:solidFill>
          <a:srgbClr val="161616"/>
        </a:solid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1307191394414042"/>
          <c:y val="0.15734312544908027"/>
          <c:w val="0.42557039655523637"/>
          <c:h val="0.74205541855170587"/>
        </c:manualLayout>
      </c:layout>
      <c:barChart>
        <c:barDir val="bar"/>
        <c:grouping val="stacked"/>
        <c:varyColors val="0"/>
        <c:ser>
          <c:idx val="0"/>
          <c:order val="0"/>
          <c:tx>
            <c:strRef>
              <c:f>Analysis!$L$3</c:f>
              <c:strCache>
                <c:ptCount val="1"/>
                <c:pt idx="0">
                  <c:v>Revenues</c:v>
                </c:pt>
              </c:strCache>
            </c:strRef>
          </c:tx>
          <c:spPr>
            <a:solidFill>
              <a:schemeClr val="accent6">
                <a:lumMod val="40000"/>
                <a:lumOff val="60000"/>
              </a:schemeClr>
            </a:solid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Analysis!$L$4:$L$11</c:f>
              <c:numCache>
                <c:formatCode>General</c:formatCode>
                <c:ptCount val="8"/>
                <c:pt idx="0">
                  <c:v>2588</c:v>
                </c:pt>
                <c:pt idx="1">
                  <c:v>3129</c:v>
                </c:pt>
                <c:pt idx="2">
                  <c:v>3271</c:v>
                </c:pt>
                <c:pt idx="3">
                  <c:v>3316</c:v>
                </c:pt>
                <c:pt idx="4">
                  <c:v>3413</c:v>
                </c:pt>
                <c:pt idx="5">
                  <c:v>4290</c:v>
                </c:pt>
                <c:pt idx="6">
                  <c:v>4939</c:v>
                </c:pt>
                <c:pt idx="7">
                  <c:v>5143</c:v>
                </c:pt>
              </c:numCache>
            </c:numRef>
          </c:val>
          <c:extLst>
            <c:ext xmlns:c16="http://schemas.microsoft.com/office/drawing/2014/chart" uri="{C3380CC4-5D6E-409C-BE32-E72D297353CC}">
              <c16:uniqueId val="{00000000-4F68-4B91-9A4A-9A8556796B2A}"/>
            </c:ext>
          </c:extLst>
        </c:ser>
        <c:ser>
          <c:idx val="1"/>
          <c:order val="1"/>
          <c:tx>
            <c:strRef>
              <c:f>Analysis!$M$3</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Analysis!$K$4:$K$11</c:f>
              <c:strCache>
                <c:ptCount val="8"/>
                <c:pt idx="0">
                  <c:v>The Flash</c:v>
                </c:pt>
                <c:pt idx="1">
                  <c:v>John Wick 5</c:v>
                </c:pt>
                <c:pt idx="2">
                  <c:v>Fast X</c:v>
                </c:pt>
                <c:pt idx="3">
                  <c:v>Oppenheimer</c:v>
                </c:pt>
                <c:pt idx="4">
                  <c:v>Avatar 3</c:v>
                </c:pt>
                <c:pt idx="5">
                  <c:v>Barbie</c:v>
                </c:pt>
                <c:pt idx="6">
                  <c:v>Mission Impossible 8</c:v>
                </c:pt>
                <c:pt idx="7">
                  <c:v>Guardians of the Galaxy Vol. 4</c:v>
                </c:pt>
              </c:strCache>
            </c:strRef>
          </c:cat>
          <c:val>
            <c:numRef>
              <c:f>Analysis!$M$4:$M$11</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4F68-4B91-9A4A-9A8556796B2A}"/>
            </c:ext>
          </c:extLst>
        </c:ser>
        <c:dLbls>
          <c:showLegendKey val="0"/>
          <c:showVal val="0"/>
          <c:showCatName val="0"/>
          <c:showSerName val="0"/>
          <c:showPercent val="0"/>
          <c:showBubbleSize val="0"/>
        </c:dLbls>
        <c:gapWidth val="150"/>
        <c:overlap val="100"/>
        <c:axId val="1134779840"/>
        <c:axId val="1134781760"/>
      </c:barChart>
      <c:catAx>
        <c:axId val="1134779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mn-lt"/>
                <a:ea typeface="+mn-ea"/>
                <a:cs typeface="+mn-cs"/>
              </a:defRPr>
            </a:pPr>
            <a:endParaRPr lang="en-US"/>
          </a:p>
        </c:txPr>
        <c:crossAx val="1134781760"/>
        <c:crosses val="autoZero"/>
        <c:auto val="1"/>
        <c:lblAlgn val="l"/>
        <c:lblOffset val="100"/>
        <c:noMultiLvlLbl val="0"/>
      </c:catAx>
      <c:valAx>
        <c:axId val="11347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134779840"/>
        <c:crosses val="autoZero"/>
        <c:crossBetween val="between"/>
        <c:majorUnit val="25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311274769899036"/>
          <c:y val="0.15615668430790414"/>
          <c:w val="0.51577809849240541"/>
          <c:h val="0.74004156695756773"/>
        </c:manualLayout>
      </c:layout>
      <c:doughnutChart>
        <c:varyColors val="1"/>
        <c:ser>
          <c:idx val="1"/>
          <c:order val="0"/>
          <c:tx>
            <c:strRef>
              <c:f>Analysis!$E$29</c:f>
              <c:strCache>
                <c:ptCount val="1"/>
                <c:pt idx="0">
                  <c:v>Sales</c:v>
                </c:pt>
              </c:strCache>
            </c:strRef>
          </c:tx>
          <c:dPt>
            <c:idx val="0"/>
            <c:bubble3D val="0"/>
            <c:spPr>
              <a:solidFill>
                <a:srgbClr val="42573E"/>
              </a:solidFill>
            </c:spPr>
            <c:extLst>
              <c:ext xmlns:c16="http://schemas.microsoft.com/office/drawing/2014/chart" uri="{C3380CC4-5D6E-409C-BE32-E72D297353CC}">
                <c16:uniqueId val="{00000001-66FA-4AA3-BF4E-B0EB3E2DAC58}"/>
              </c:ext>
            </c:extLst>
          </c:dPt>
          <c:dPt>
            <c:idx val="1"/>
            <c:bubble3D val="0"/>
            <c:spPr>
              <a:solidFill>
                <a:schemeClr val="accent6">
                  <a:lumMod val="60000"/>
                  <a:lumOff val="40000"/>
                  <a:alpha val="60000"/>
                </a:schemeClr>
              </a:solidFill>
            </c:spPr>
            <c:extLst>
              <c:ext xmlns:c16="http://schemas.microsoft.com/office/drawing/2014/chart" uri="{C3380CC4-5D6E-409C-BE32-E72D297353CC}">
                <c16:uniqueId val="{00000003-66FA-4AA3-BF4E-B0EB3E2DAC58}"/>
              </c:ext>
            </c:extLst>
          </c:dPt>
          <c:dPt>
            <c:idx val="2"/>
            <c:bubble3D val="0"/>
            <c:spPr>
              <a:solidFill>
                <a:schemeClr val="accent6">
                  <a:lumMod val="20000"/>
                  <a:lumOff val="80000"/>
                  <a:alpha val="60000"/>
                </a:schemeClr>
              </a:solidFill>
            </c:spPr>
            <c:extLst>
              <c:ext xmlns:c16="http://schemas.microsoft.com/office/drawing/2014/chart" uri="{C3380CC4-5D6E-409C-BE32-E72D297353CC}">
                <c16:uniqueId val="{00000005-66FA-4AA3-BF4E-B0EB3E2DAC58}"/>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07-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08-66FA-4AA3-BF4E-B0EB3E2DAC58}"/>
            </c:ext>
          </c:extLst>
        </c:ser>
        <c:ser>
          <c:idx val="2"/>
          <c:order val="1"/>
          <c:tx>
            <c:strRef>
              <c:f>Analysis!$E$29</c:f>
              <c:strCache>
                <c:ptCount val="1"/>
                <c:pt idx="0">
                  <c:v>Sales</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A-66FA-4AA3-BF4E-B0EB3E2DAC58}"/>
              </c:ext>
            </c:extLst>
          </c:dPt>
          <c:dPt>
            <c:idx val="1"/>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0C-66FA-4AA3-BF4E-B0EB3E2DAC58}"/>
              </c:ext>
            </c:extLst>
          </c:dPt>
          <c:dPt>
            <c:idx val="2"/>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0E-66FA-4AA3-BF4E-B0EB3E2DAC58}"/>
              </c:ext>
            </c:extLst>
          </c:dPt>
          <c:dPt>
            <c:idx val="3"/>
            <c:bubble3D val="0"/>
            <c:spPr>
              <a:solidFill>
                <a:schemeClr val="bg1">
                  <a:alpha val="60000"/>
                </a:schemeClr>
              </a:solidFill>
              <a:ln>
                <a:noFill/>
              </a:ln>
              <a:effectLst/>
            </c:spPr>
            <c:extLst>
              <c:ext xmlns:c16="http://schemas.microsoft.com/office/drawing/2014/chart" uri="{C3380CC4-5D6E-409C-BE32-E72D297353CC}">
                <c16:uniqueId val="{00000010-66FA-4AA3-BF4E-B0EB3E2DAC58}"/>
              </c:ext>
            </c:extLst>
          </c:dPt>
          <c:dLbls>
            <c:dLbl>
              <c:idx val="0"/>
              <c:layout>
                <c:manualLayout>
                  <c:x val="-0.55453991468616692"/>
                  <c:y val="-0.32448377581120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FA-4AA3-BF4E-B0EB3E2DAC58}"/>
                </c:ext>
              </c:extLst>
            </c:dLbl>
            <c:dLbl>
              <c:idx val="1"/>
              <c:layout>
                <c:manualLayout>
                  <c:x val="-0.36258379037172456"/>
                  <c:y val="-0.29990167158308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6FA-4AA3-BF4E-B0EB3E2DAC58}"/>
                </c:ext>
              </c:extLst>
            </c:dLbl>
            <c:dLbl>
              <c:idx val="2"/>
              <c:layout>
                <c:manualLayout>
                  <c:x val="-0.29250457038391225"/>
                  <c:y val="8.849557522123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6FA-4AA3-BF4E-B0EB3E2DAC58}"/>
                </c:ext>
              </c:extLst>
            </c:dLbl>
            <c:dLbl>
              <c:idx val="3"/>
              <c:layout>
                <c:manualLayout>
                  <c:x val="-0.3656307129798903"/>
                  <c:y val="0.462143559488692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6FA-4AA3-BF4E-B0EB3E2DAC58}"/>
                </c:ext>
              </c:extLst>
            </c:dLbl>
            <c:spPr>
              <a:noFill/>
              <a:ln>
                <a:noFill/>
              </a:ln>
              <a:effectLst/>
            </c:spPr>
            <c:txPr>
              <a:bodyPr wrap="square" lIns="38100" tIns="19050" rIns="38100" bIns="19050" anchor="ctr">
                <a:spAutoFit/>
              </a:bodyPr>
              <a:lstStyle/>
              <a:p>
                <a:pPr>
                  <a:defRPr sz="700">
                    <a:solidFill>
                      <a:schemeClr val="accent6">
                        <a:lumMod val="20000"/>
                        <a:lumOff val="8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1-66FA-4AA3-BF4E-B0EB3E2DAC58}"/>
            </c:ext>
          </c:extLst>
        </c:ser>
        <c:ser>
          <c:idx val="3"/>
          <c:order val="2"/>
          <c:tx>
            <c:strRef>
              <c:f>Analysis!$E$29</c:f>
              <c:strCache>
                <c:ptCount val="1"/>
                <c:pt idx="0">
                  <c:v>Sales</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13-66FA-4AA3-BF4E-B0EB3E2DAC58}"/>
              </c:ext>
            </c:extLst>
          </c:dPt>
          <c:dPt>
            <c:idx val="1"/>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15-66FA-4AA3-BF4E-B0EB3E2DAC58}"/>
              </c:ext>
            </c:extLst>
          </c:dPt>
          <c:dPt>
            <c:idx val="2"/>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7-66FA-4AA3-BF4E-B0EB3E2DAC58}"/>
              </c:ext>
            </c:extLst>
          </c:dPt>
          <c:dPt>
            <c:idx val="3"/>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19-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1A-66FA-4AA3-BF4E-B0EB3E2DAC58}"/>
            </c:ext>
          </c:extLst>
        </c:ser>
        <c:ser>
          <c:idx val="4"/>
          <c:order val="3"/>
          <c:tx>
            <c:strRef>
              <c:f>Analysis!$E$29</c:f>
              <c:strCache>
                <c:ptCount val="1"/>
                <c:pt idx="0">
                  <c:v>Sales</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1C-66FA-4AA3-BF4E-B0EB3E2DAC58}"/>
              </c:ext>
            </c:extLst>
          </c:dPt>
          <c:dPt>
            <c:idx val="1"/>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1E-66FA-4AA3-BF4E-B0EB3E2DAC58}"/>
              </c:ext>
            </c:extLst>
          </c:dPt>
          <c:dPt>
            <c:idx val="2"/>
            <c:bubble3D val="0"/>
            <c:spPr>
              <a:solidFill>
                <a:schemeClr val="accent6">
                  <a:lumMod val="20000"/>
                  <a:lumOff val="80000"/>
                  <a:alpha val="60000"/>
                </a:schemeClr>
              </a:solidFill>
              <a:ln>
                <a:noFill/>
              </a:ln>
              <a:effectLst/>
            </c:spPr>
            <c:extLst>
              <c:ext xmlns:c16="http://schemas.microsoft.com/office/drawing/2014/chart" uri="{C3380CC4-5D6E-409C-BE32-E72D297353CC}">
                <c16:uniqueId val="{00000020-66FA-4AA3-BF4E-B0EB3E2DAC58}"/>
              </c:ext>
            </c:extLst>
          </c:dPt>
          <c:dPt>
            <c:idx val="3"/>
            <c:bubble3D val="0"/>
            <c:spPr>
              <a:noFill/>
              <a:ln>
                <a:noFill/>
              </a:ln>
              <a:effectLst/>
            </c:spPr>
            <c:extLst>
              <c:ext xmlns:c16="http://schemas.microsoft.com/office/drawing/2014/chart" uri="{C3380CC4-5D6E-409C-BE32-E72D297353CC}">
                <c16:uniqueId val="{00000022-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3-66FA-4AA3-BF4E-B0EB3E2DAC58}"/>
            </c:ext>
          </c:extLst>
        </c:ser>
        <c:ser>
          <c:idx val="5"/>
          <c:order val="4"/>
          <c:tx>
            <c:strRef>
              <c:f>Analysis!$E$29</c:f>
              <c:strCache>
                <c:ptCount val="1"/>
                <c:pt idx="0">
                  <c:v>Sales</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25-66FA-4AA3-BF4E-B0EB3E2DAC58}"/>
              </c:ext>
            </c:extLst>
          </c:dPt>
          <c:dPt>
            <c:idx val="1"/>
            <c:bubble3D val="0"/>
            <c:spPr>
              <a:solidFill>
                <a:schemeClr val="accent6">
                  <a:lumMod val="60000"/>
                  <a:lumOff val="40000"/>
                  <a:alpha val="60000"/>
                </a:schemeClr>
              </a:solidFill>
              <a:ln>
                <a:noFill/>
              </a:ln>
              <a:effectLst/>
            </c:spPr>
            <c:extLst>
              <c:ext xmlns:c16="http://schemas.microsoft.com/office/drawing/2014/chart" uri="{C3380CC4-5D6E-409C-BE32-E72D297353CC}">
                <c16:uniqueId val="{00000027-66FA-4AA3-BF4E-B0EB3E2DAC58}"/>
              </c:ext>
            </c:extLst>
          </c:dPt>
          <c:dPt>
            <c:idx val="2"/>
            <c:bubble3D val="0"/>
            <c:spPr>
              <a:noFill/>
              <a:ln>
                <a:noFill/>
              </a:ln>
              <a:effectLst/>
            </c:spPr>
            <c:extLst>
              <c:ext xmlns:c16="http://schemas.microsoft.com/office/drawing/2014/chart" uri="{C3380CC4-5D6E-409C-BE32-E72D297353CC}">
                <c16:uniqueId val="{00000029-66FA-4AA3-BF4E-B0EB3E2DAC58}"/>
              </c:ext>
            </c:extLst>
          </c:dPt>
          <c:dPt>
            <c:idx val="3"/>
            <c:bubble3D val="0"/>
            <c:spPr>
              <a:noFill/>
              <a:ln>
                <a:noFill/>
              </a:ln>
              <a:effectLst/>
            </c:spPr>
            <c:extLst>
              <c:ext xmlns:c16="http://schemas.microsoft.com/office/drawing/2014/chart" uri="{C3380CC4-5D6E-409C-BE32-E72D297353CC}">
                <c16:uniqueId val="{0000002B-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2C-66FA-4AA3-BF4E-B0EB3E2DAC58}"/>
            </c:ext>
          </c:extLst>
        </c:ser>
        <c:ser>
          <c:idx val="6"/>
          <c:order val="5"/>
          <c:tx>
            <c:strRef>
              <c:f>Analysis!$E$29</c:f>
              <c:strCache>
                <c:ptCount val="1"/>
                <c:pt idx="0">
                  <c:v>Sales</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2E-66FA-4AA3-BF4E-B0EB3E2DAC58}"/>
              </c:ext>
            </c:extLst>
          </c:dPt>
          <c:dPt>
            <c:idx val="1"/>
            <c:bubble3D val="0"/>
            <c:spPr>
              <a:solidFill>
                <a:schemeClr val="accent6">
                  <a:lumMod val="75000"/>
                  <a:alpha val="75000"/>
                </a:schemeClr>
              </a:solidFill>
              <a:ln>
                <a:noFill/>
              </a:ln>
              <a:effectLst/>
            </c:spPr>
            <c:extLst>
              <c:ext xmlns:c16="http://schemas.microsoft.com/office/drawing/2014/chart" uri="{C3380CC4-5D6E-409C-BE32-E72D297353CC}">
                <c16:uniqueId val="{00000030-66FA-4AA3-BF4E-B0EB3E2DAC58}"/>
              </c:ext>
            </c:extLst>
          </c:dPt>
          <c:dPt>
            <c:idx val="2"/>
            <c:bubble3D val="0"/>
            <c:spPr>
              <a:noFill/>
              <a:ln>
                <a:noFill/>
              </a:ln>
              <a:effectLst/>
            </c:spPr>
            <c:extLst>
              <c:ext xmlns:c16="http://schemas.microsoft.com/office/drawing/2014/chart" uri="{C3380CC4-5D6E-409C-BE32-E72D297353CC}">
                <c16:uniqueId val="{00000032-66FA-4AA3-BF4E-B0EB3E2DAC58}"/>
              </c:ext>
            </c:extLst>
          </c:dPt>
          <c:dPt>
            <c:idx val="3"/>
            <c:bubble3D val="0"/>
            <c:spPr>
              <a:noFill/>
              <a:ln>
                <a:noFill/>
              </a:ln>
              <a:effectLst/>
            </c:spPr>
            <c:extLst>
              <c:ext xmlns:c16="http://schemas.microsoft.com/office/drawing/2014/chart" uri="{C3380CC4-5D6E-409C-BE32-E72D297353CC}">
                <c16:uniqueId val="{00000034-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5-66FA-4AA3-BF4E-B0EB3E2DAC58}"/>
            </c:ext>
          </c:extLst>
        </c:ser>
        <c:ser>
          <c:idx val="0"/>
          <c:order val="6"/>
          <c:tx>
            <c:strRef>
              <c:f>Analysis!$E$29</c:f>
              <c:strCache>
                <c:ptCount val="1"/>
                <c:pt idx="0">
                  <c:v>Sales</c:v>
                </c:pt>
              </c:strCache>
            </c:strRef>
          </c:tx>
          <c:dPt>
            <c:idx val="0"/>
            <c:bubble3D val="0"/>
            <c:spPr>
              <a:noFill/>
              <a:ln>
                <a:noFill/>
              </a:ln>
              <a:effectLst/>
            </c:spPr>
            <c:extLst>
              <c:ext xmlns:c16="http://schemas.microsoft.com/office/drawing/2014/chart" uri="{C3380CC4-5D6E-409C-BE32-E72D297353CC}">
                <c16:uniqueId val="{00000037-66FA-4AA3-BF4E-B0EB3E2DAC58}"/>
              </c:ext>
            </c:extLst>
          </c:dPt>
          <c:dPt>
            <c:idx val="1"/>
            <c:bubble3D val="0"/>
            <c:spPr>
              <a:noFill/>
              <a:ln>
                <a:noFill/>
              </a:ln>
              <a:effectLst/>
            </c:spPr>
            <c:extLst>
              <c:ext xmlns:c16="http://schemas.microsoft.com/office/drawing/2014/chart" uri="{C3380CC4-5D6E-409C-BE32-E72D297353CC}">
                <c16:uniqueId val="{00000039-66FA-4AA3-BF4E-B0EB3E2DAC58}"/>
              </c:ext>
            </c:extLst>
          </c:dPt>
          <c:dPt>
            <c:idx val="2"/>
            <c:bubble3D val="0"/>
            <c:spPr>
              <a:noFill/>
              <a:ln>
                <a:noFill/>
              </a:ln>
              <a:effectLst/>
            </c:spPr>
            <c:extLst>
              <c:ext xmlns:c16="http://schemas.microsoft.com/office/drawing/2014/chart" uri="{C3380CC4-5D6E-409C-BE32-E72D297353CC}">
                <c16:uniqueId val="{0000003B-66FA-4AA3-BF4E-B0EB3E2DAC58}"/>
              </c:ext>
            </c:extLst>
          </c:dPt>
          <c:dPt>
            <c:idx val="3"/>
            <c:bubble3D val="0"/>
            <c:spPr>
              <a:noFill/>
              <a:ln>
                <a:noFill/>
              </a:ln>
              <a:effectLst/>
            </c:spPr>
            <c:extLst>
              <c:ext xmlns:c16="http://schemas.microsoft.com/office/drawing/2014/chart" uri="{C3380CC4-5D6E-409C-BE32-E72D297353CC}">
                <c16:uniqueId val="{0000003D-66FA-4AA3-BF4E-B0EB3E2DAC58}"/>
              </c:ext>
            </c:extLst>
          </c:dPt>
          <c:cat>
            <c:strRef>
              <c:f>Analysis!$D$30:$D$33</c:f>
              <c:strCache>
                <c:ptCount val="4"/>
                <c:pt idx="0">
                  <c:v>Evening</c:v>
                </c:pt>
                <c:pt idx="1">
                  <c:v>Late Night</c:v>
                </c:pt>
                <c:pt idx="2">
                  <c:v>Morning</c:v>
                </c:pt>
                <c:pt idx="3">
                  <c:v>Afternoon</c:v>
                </c:pt>
              </c:strCache>
            </c:strRef>
          </c:cat>
          <c:val>
            <c:numRef>
              <c:f>Analysis!$E$30:$E$33</c:f>
              <c:numCache>
                <c:formatCode>General</c:formatCode>
                <c:ptCount val="4"/>
                <c:pt idx="0">
                  <c:v>305</c:v>
                </c:pt>
                <c:pt idx="1">
                  <c:v>126</c:v>
                </c:pt>
                <c:pt idx="2">
                  <c:v>104</c:v>
                </c:pt>
                <c:pt idx="3">
                  <c:v>103</c:v>
                </c:pt>
              </c:numCache>
            </c:numRef>
          </c:val>
          <c:extLst>
            <c:ext xmlns:c16="http://schemas.microsoft.com/office/drawing/2014/chart" uri="{C3380CC4-5D6E-409C-BE32-E72D297353CC}">
              <c16:uniqueId val="{0000003E-66FA-4AA3-BF4E-B0EB3E2DAC58}"/>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b"/>
      <c:layout>
        <c:manualLayout>
          <c:xMode val="edge"/>
          <c:yMode val="edge"/>
          <c:x val="6.026447302867282E-2"/>
          <c:y val="2.6465658798196481E-2"/>
          <c:w val="0.39990800238442797"/>
          <c:h val="0.8237534904364661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chart>
  <c:spPr>
    <a:solidFill>
      <a:srgbClr val="161616"/>
    </a:solidFill>
    <a:ln>
      <a:noFill/>
    </a:ln>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Analysis!$L$25</c:f>
              <c:strCache>
                <c:ptCount val="1"/>
                <c:pt idx="0">
                  <c:v>% Revenue</c:v>
                </c:pt>
              </c:strCache>
            </c:strRef>
          </c:tx>
          <c:spPr>
            <a:solidFill>
              <a:schemeClr val="accent6">
                <a:lumMod val="40000"/>
                <a:lumOff val="60000"/>
              </a:schemeClr>
            </a:solidFill>
            <a:ln>
              <a:noFill/>
            </a:ln>
            <a:effectLst/>
          </c:spPr>
          <c:invertIfNegative val="0"/>
          <c:cat>
            <c:strRef>
              <c:f>Analysis!$J$26:$K$30</c:f>
              <c:strCache>
                <c:ptCount val="5"/>
                <c:pt idx="0">
                  <c:v>Regular</c:v>
                </c:pt>
                <c:pt idx="1">
                  <c:v>VIP</c:v>
                </c:pt>
                <c:pt idx="2">
                  <c:v>Family</c:v>
                </c:pt>
                <c:pt idx="3">
                  <c:v>Couple</c:v>
                </c:pt>
                <c:pt idx="4">
                  <c:v>Student</c:v>
                </c:pt>
              </c:strCache>
            </c:strRef>
          </c:cat>
          <c:val>
            <c:numRef>
              <c:f>Analysis!$L$26:$L$30</c:f>
              <c:numCache>
                <c:formatCode>0%</c:formatCode>
                <c:ptCount val="5"/>
                <c:pt idx="0">
                  <c:v>0.39841802652132008</c:v>
                </c:pt>
                <c:pt idx="1">
                  <c:v>0.22848881651101732</c:v>
                </c:pt>
                <c:pt idx="2">
                  <c:v>0.16850011632157932</c:v>
                </c:pt>
                <c:pt idx="3">
                  <c:v>0.12429791618199341</c:v>
                </c:pt>
                <c:pt idx="4">
                  <c:v>8.0295124464089873E-2</c:v>
                </c:pt>
              </c:numCache>
            </c:numRef>
          </c:val>
          <c:extLst>
            <c:ext xmlns:c16="http://schemas.microsoft.com/office/drawing/2014/chart" uri="{C3380CC4-5D6E-409C-BE32-E72D297353CC}">
              <c16:uniqueId val="{00000000-3FE3-4EED-B503-8A6ABD169272}"/>
            </c:ext>
          </c:extLst>
        </c:ser>
        <c:ser>
          <c:idx val="1"/>
          <c:order val="1"/>
          <c:tx>
            <c:strRef>
              <c:f>Analysis!$M$25</c:f>
              <c:strCache>
                <c:ptCount val="1"/>
                <c:pt idx="0">
                  <c:v>Padding</c:v>
                </c:pt>
              </c:strCache>
            </c:strRef>
          </c:tx>
          <c:spPr>
            <a:solidFill>
              <a:schemeClr val="bg1">
                <a:alpha val="10000"/>
              </a:schemeClr>
            </a:solidFill>
            <a:ln>
              <a:noFill/>
            </a:ln>
            <a:effectLst/>
          </c:spPr>
          <c:invertIfNegative val="0"/>
          <c:dLbls>
            <c:dLbl>
              <c:idx val="0"/>
              <c:layout>
                <c:manualLayout>
                  <c:x val="0.10335335335335336"/>
                  <c:y val="-8.21018062397372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E3-4EED-B503-8A6ABD169272}"/>
                </c:ext>
              </c:extLst>
            </c:dLbl>
            <c:dLbl>
              <c:idx val="1"/>
              <c:layout>
                <c:manualLayout>
                  <c:x val="0.2333333333333332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E3-4EED-B503-8A6ABD169272}"/>
                </c:ext>
              </c:extLst>
            </c:dLbl>
            <c:dLbl>
              <c:idx val="2"/>
              <c:layout>
                <c:manualLayout>
                  <c:x val="0.252777777777777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E3-4EED-B503-8A6ABD169272}"/>
                </c:ext>
              </c:extLst>
            </c:dLbl>
            <c:dLbl>
              <c:idx val="3"/>
              <c:layout>
                <c:manualLayout>
                  <c:x val="0.30833333333333324"/>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E3-4EED-B503-8A6ABD169272}"/>
                </c:ext>
              </c:extLst>
            </c:dLbl>
            <c:dLbl>
              <c:idx val="4"/>
              <c:layout>
                <c:manualLayout>
                  <c:x val="0.352777777777777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E3-4EED-B503-8A6ABD1692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Analysis!$J$26:$K$30</c:f>
              <c:strCache>
                <c:ptCount val="5"/>
                <c:pt idx="0">
                  <c:v>Regular</c:v>
                </c:pt>
                <c:pt idx="1">
                  <c:v>VIP</c:v>
                </c:pt>
                <c:pt idx="2">
                  <c:v>Family</c:v>
                </c:pt>
                <c:pt idx="3">
                  <c:v>Couple</c:v>
                </c:pt>
                <c:pt idx="4">
                  <c:v>Student</c:v>
                </c:pt>
              </c:strCache>
            </c:strRef>
          </c:cat>
          <c:val>
            <c:numRef>
              <c:f>Analysis!$M$26:$M$30</c:f>
              <c:numCache>
                <c:formatCode>0%</c:formatCode>
                <c:ptCount val="5"/>
                <c:pt idx="0">
                  <c:v>7.9683605304263994E-2</c:v>
                </c:pt>
                <c:pt idx="1">
                  <c:v>0.24961281531456675</c:v>
                </c:pt>
                <c:pt idx="2">
                  <c:v>0.30960151550400472</c:v>
                </c:pt>
                <c:pt idx="3">
                  <c:v>0.35380371564359064</c:v>
                </c:pt>
                <c:pt idx="4">
                  <c:v>0.3978065073614942</c:v>
                </c:pt>
              </c:numCache>
            </c:numRef>
          </c:val>
          <c:extLst>
            <c:ext xmlns:c16="http://schemas.microsoft.com/office/drawing/2014/chart" uri="{C3380CC4-5D6E-409C-BE32-E72D297353CC}">
              <c16:uniqueId val="{00000006-3FE3-4EED-B503-8A6ABD169272}"/>
            </c:ext>
          </c:extLst>
        </c:ser>
        <c:dLbls>
          <c:showLegendKey val="0"/>
          <c:showVal val="0"/>
          <c:showCatName val="0"/>
          <c:showSerName val="0"/>
          <c:showPercent val="0"/>
          <c:showBubbleSize val="0"/>
        </c:dLbls>
        <c:gapWidth val="150"/>
        <c:overlap val="100"/>
        <c:axId val="1599395920"/>
        <c:axId val="1599396400"/>
      </c:barChart>
      <c:catAx>
        <c:axId val="15993959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99396400"/>
        <c:crosses val="autoZero"/>
        <c:auto val="1"/>
        <c:lblAlgn val="ctr"/>
        <c:lblOffset val="100"/>
        <c:noMultiLvlLbl val="0"/>
      </c:catAx>
      <c:valAx>
        <c:axId val="1599396400"/>
        <c:scaling>
          <c:orientation val="minMax"/>
        </c:scaling>
        <c:delete val="1"/>
        <c:axPos val="b"/>
        <c:numFmt formatCode="0%" sourceLinked="1"/>
        <c:majorTickMark val="none"/>
        <c:minorTickMark val="none"/>
        <c:tickLblPos val="nextTo"/>
        <c:crossAx val="1599395920"/>
        <c:crosses val="autoZero"/>
        <c:crossBetween val="between"/>
      </c:valAx>
      <c:spPr>
        <a:solidFill>
          <a:srgbClr val="161616"/>
        </a:solidFill>
        <a:ln>
          <a:noFill/>
        </a:ln>
        <a:effectLst/>
      </c:spPr>
    </c:plotArea>
    <c:plotVisOnly val="1"/>
    <c:dispBlanksAs val="gap"/>
    <c:showDLblsOverMax val="0"/>
  </c:chart>
  <c:spPr>
    <a:solidFill>
      <a:srgbClr val="161616"/>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A8A1DF7-2DC6-4CA2-BB88-1C1B7403F26C}">
          <cx:tx>
            <cx:txData>
              <cx:f>_xlchart.v5.2</cx:f>
              <cx:v>Revenue</cx:v>
            </cx:txData>
          </cx:tx>
          <cx:spPr>
            <a:solidFill>
              <a:schemeClr val="tx1">
                <a:lumMod val="50000"/>
                <a:lumOff val="50000"/>
              </a:schemeClr>
            </a:solidFill>
          </cx:spPr>
          <cx:dataId val="0"/>
          <cx:layoutPr>
            <cx:geography cultureLanguage="en-US" cultureRegion="GB" attribution="Powered by Bing">
              <cx:geoCache provider="{E9337A44-BEBE-4D9F-B70C-5C5E7DAFC167}">
                <cx:binary>1Htpb9w41u5fCfL5Ks2d4mB6gCtVlfcldpLu5Ivg2I5IbRQpav3175HLnYmre5wZ3BcXGCNIwaWF
5Fmf85zjv99Pf7uvHu/8m6mumu5v99Ovb3UI7d9++aW714/1XfeuNvfedvZbeHdv61/st2/m/vGX
B383mib/hSDMfrnXdz48Tm//8Xd4W/5oz+39XTC2ed8/+vnmseur0L1y7S8vvbl7qE2zMV3w5j7g
X99ePo5vPltfvn3z2AQT5g9z+/jr2xd3vX3zy+G7/rTumwq2FvoHeJaRd4oqwigl6OmHvn1T2SZ/
vhxJ/k7AFS4wU08/4o+1L+9qeP7f2dHTfu4eHvxj18GRnj5/fPLF/uHC57dv7m3fhFVuOYjw17cf
GxMeH97chrvw2L19Yzqb7m9I7XqIj7dPp/7lpeT/8feDL0AOB9/8oJxDof3s0p90s6usNw93f4jn
/101JH7HFeeY0b1mEH6pmpi8Y7GkjMTPN4Dq9maxV82/saG/1sz3Bw8Uszv/r1RMeleZb9Y35n9R
N1S+I5wJobDaK+dANxirdwJLIjHDe795qZt/b09/rZ4fnz3QUPp//ys19OFxugO3/t+KaRS/Y4LG
LMb4L5Wj1DsK8U5JSfa6if9Ye+84P93OX+vl+bEDlXz4/b9CJa8H3B818+LO/zDbUPWOI8olo3Kv
GQhZP2Yb0AzCMRVUPWcb9lIzB3ngX2/rrzV08PiLk/x/SjL/OgF9z9Kbu3C3fUrvP+Sg168+HRdA
x8Gjr3nUXnYnD7++JVjG6gdFri95kUgubBPumu/R84dnHu+68OvbCCP2DhEqYkVAr1hxUOv4uL+E
xTvEIEhSgTCSjJC3bxrrgwboAcpGCC4REXMIpjG4YWf7p0vsHRWMKwmohHMhGP6Oq65tNee2+S6P
59/fNH19bU0TOngxhWjc7u9bN8sBviCBKfyjPCYQGMCs2vu7GwBvcDv+P+1iS5Jls76SbatwWkV1
VCSjJjzlTpTzsbQlbXZ9mevCJIa2FzmporQyuX7osnixicxr0qYx0m460Yurm8R2Utwvnqht3ZiY
Jaxu53PrSl/9Zhbmzm23oIeC5pNKcF9OfYI4lvOmjoaBHplI2I8yBElOOqeG4XSixo8XvhXNVody
apKZVHNSzqK8aLFiKe6zkPA5Okf93JrEt3Ge4qJZyMbN/svQE78lRFcnbJjQnM5FjB8FRz1PZpqz
nYozTbbZ2HCdMqHNRTXY8aSvenkc+d6fDLYu2sSbZno/uOiIFD3ZWKJ+G5uJHumoCnVa53bd1bwU
v028a1Pa03bTz9O5Vtj442LBHuPNWOIsbHpbFVOXSOp5SHBD8oTYynfpEmXlghPQPEgZLT2+NsTw
U1Ys3XXXjoU4G7Hk9yCR+azsVJH5D4tol5PgWRexM+nzqdwWHictG8XUHvm41dWWTGS8sAWrDKuO
ZTVDUmh2YonrAacj0zrQ48JM2rop7cp26OXZ0k+NV0uKO4zJtB112Rd6SFTuJzKc4LrEajirRlUY
EZIJCxWXJ3kcSdluWkAFnwdK8E3XzdN15VQ0PahGtsU3VeDu25whMtJL0nS8xreyzvBOBCNtl7Qy
k7+3Y9WzxNVqOB/zsjwVTd+CoHyZ6XSu+uLEMNXQra/K9xhbv0Wm9kmmy/Gqm6shQcYUYJZTaTdz
W+ZpRDA+jYvSbvMcLbvFmPKotPoKm3a6CaJnZpNFFdkY5XWTVi7kp3EcJEsZBWmnpIizY9SgIWwr
OvOTekJ+t6ilu7Okre5JcJjuVNkJnni36CTEWVwleSg8TZpO4dOOhjFhNK9Oi9oU+Jg1/RddsCGk
i2X8OgIJ8sSyNv+Se4bO8oLVu3ri0dFAWbORsNxFJWh7hBc8vW9swEd6LOPiiuFMJrWLxz4pCSrP
CM7dmIykGzZxKZqTYUT80oSsIMkUKnYu4mI5bbIFJUuB5k3Z6zvYY7GLUY13fZVfCt315aZn4hxJ
2f2upzL7or1WO1svw1FbULYtXdmc9li2H4tuueSN5O9Xy77KcIc2EtFmKxy+WAo5J9q0IY1py3ex
aYkHCbTom8UzurK8zH/PW7OcecfGczuU1XFXiTaZjciPimIojzLTZUnm2u6BjGV31AqvbnMW8QQQ
DTmPS/lpIeiqoYVLZZSJ83IZ+HlrXHRcFN34G3d21ElRTuP5ZCj5XPN5mpJ+XmyejBWiN4Kwfoub
jn6LZKzrNIA0duVShJM+VPciZir1JuviTdTPTiXlINhtS8dJp0QO9p7Fc/6BFyxHiS09/xpqa44a
1XXwjjY6qeKKpJS2UeL6oToZkbCn5eTqNC6KYpsNxbSjTR4fT1xkydg2Q5z0Yip2gecYDL0P5gwr
3X8I2pdpBfL50E3uPZi1vYnJfK5GHaW8zNRxJHUbJzF18jT2kVGJYlX8MIlGX6sqNsdDZpsHaZDa
VGgmZdLWCIntbBlKZoRPMlHchNrHJzMdpk0J1n2LI9vWCR5ncqx6mqVjWD7GqMCbeeK5TKR05rKo
BojsPaJfbJWPSa37aDONmBWbCQn+mcej2lDcLjd2UiZl0o+/lbprEk4Le0GqtuySQU730dQM24HQ
8C0vxygtuVu2ttLd0cQI/Z00S321YKOuhilerueG2x2u8nBNvG/PsmhEtxL7pUw750u3s7bLt511
6C5ue79hU29vChbZkM6jpqku+ihhOOTfpiVHx83QyM+UhCXaLGBa2wVCTqrDPIgkzvW4aSxE/nj0
USLjQVwQt+QpeCTdsRyTj7lT7Vk8cn1qlW+vHdbDJjg0gGSVnh/N7MMtH3JXpI5ketOhuXKJxl2d
ZpMTCcYDOVn8PPcpI+6xrg3d4smqhHJiL6aiLdKIOn++NHZ8X8lo28+lunAD4SaRs9HZCRVReaER
dhtMXPGl6gbyoeiq9kK28XyLRtxNSSS0umFqCsdDHKYTO2WGJTZjYzpog6780Ja/1cq63/K48ddN
X2Wf2jIzZ/3kpkSP8fIRezZvNbLF0eyHeZvNwSVINJ3eMDitTadAUDhpqmVok1z2HxlDaE4M65pN
ZHiTCs7s1iGNrl0nc7qVcWZPmzFiIa3LcT7jxVyXqfGYbGPLKMgxjL+zSfKED1oczVM96LRw2XKK
DRb3BN4fpTZrzHUe9JiKAqnf5oV3x4gtkOjjBvVV0uWd2QlTinNp2vZDJgefJxH3okzyLDZsE4/T
ee+s33Ut65v0R8rkBai6t+3sAdo881Xff/3HB1vDvycO5Z9frnTXP3+7+IMne/Wuo0e7Vlrd4U0r
OP7+rn+yNSsg/U7dHEDcPbP2L/DvqxdfgOMXpcAfNccT0GWAFb8zan+CxgcVxQ+gen3uGR4L8Q6Q
LBVcQmmjMEPAoe3hMTAE7zgmCsWK/gGBn9GxxO8oZxJqIRJjwr9DYxwDYUc4sAoY2AUFFMN/Ao0p
IPMfkPEKujFBCpAxkUJBhgEM/iMyrnDhGzyW/DEG5NarLWlZG1UpagezfOK8b8s7Fnne7Ro3dzPb
BDJxPaWRzdDXvPGsAcMlUylPleZzvylV1LjjUdVVd1Hxuo1mSCMTb7/yMhST3URCVAVNcykZfpST
nfubSk+yuotj3mb3tKZOXObCuJYmNTYdbIW13NdXGqMwNpu84r5sEzvyuj4HPO1gy3ld4/mM1LQp
vkXdYOGZH1T6F/WDPJCRQkCQKi6YWgkfgg6qB4lr02uh48dstE3hjkPNKnZcsaHz8njp8mDGdDEt
sFAVygzJdq8vj6FEeqEjICooVEKMxhQ0BZt5qaOloHEHBY55KHBJS5MGSznViVIkcsXOT2Puw8br
kDOdRCxa2uZ6ZHTuSIrZIkZ6GoRuujKx1lGPLxWPHVz7ySYPDEliLCSwLgjQMKMMhPVyk7EjXZg7
Yb82FY/AKgqQxzImw4zCzM9oxsGSurz35V1d8AZ05NvaY34cR0U0lInToL/VlmYNTzVmqYYzNpWt
rX+2UShtf5QmbFRRIYmQMRSrUFseWPxEx6ZVzUK/dhkRUb0tQtdW/bVbgmmbdHSzg81Fsh7gmp1d
bWcAncsc3Y5tm510yldFntbLguazWrsmZEmjkMhC2nMUVTeiVvlSp4SqCYRMomLGzSlaVAVvLU02
Ope8LnkIHi/Og4DLYjE470rRrwHhpeAnbSKiPY0eROQHRDb5InPpdlXMAkVJ44MQX0qOsnDy+roH
XgGQlzLFJCEcERXTw3XbfrbSRjR+yGfwdpEMqK0AWrOMNABFC9ObqyaDNktItLaEiJ8c+1CNiEog
+FhMFIOaHqLXy2PnfDARmjR9iGQlHU05YFF+ByEsCid2MbK6NBG2+IKWbu5vyw4hqGA6bSoQyuuC
gFj8UgGcCAYMRiy4AGnQAwUEYVAxl012n6ml4f7IurbO5m2U1Z2aj+bYT6CV15f88+FjGQsmeAz8
CZBl6OXhtdRZVczIPzAxQnzdzVgsuNxxP/Yd25o4Y+KL70HqLumElOKLRfMAaHAwFrXjTwwBH7o+
4goxiE8QIikksvhgN7laCq7aEH3Vxss6Op6CXkNRPVkNjZx+LNjCUlN3M2mTSREKu+IG6f62bkUx
p02EfXOral37ZuO49eSmHkzTfX1dZqtf/5MDYuD3FAGQYkCzQPYEkuGlzPoxiz1yy/R18sGDEaC+
RCAsNI2UR8nk6RDdtqR0q9OE0a4fps37nwnrJRUF/iJwrIQCNoxyAf2dA7sF+TRuaIb2i+SWFzxt
UcxBIFnWK+VTvMgIQns2730Y2AK41j8ZdYuzGC5NY6DC7fqR/tys2GEsIYA2FKgTeA+6mvOBjMqp
7OpM2/ZL60GXbku7MmYXBGs6n9EOCkaXqGyolk+1nuZZJr32o9MphJ1R3ORuyaJjXwOf88lHfScu
YyNWgDCxoa7UUdnzNZjajioI+PMg+XDT+qJcPi2VKMcyQVW1Ji0DsRLCqW0UsAEJBay6fIrraYJI
SwFZwwdQa3mINy3vaLcTsl8jbTnlBgCGe1pexXk0j0lspwJeYQE8wM5N1KzYILS8Lu+mTjSu3anB
4+GWUbuEcw80jE+qqvakTqM8q6fjnEFy/dzETcY+DWjAkBJknAPOGFxjAaK8bqGHgQSkL4F/AAKc
ScEpPjANms1NjlVbfVlw3QG4nwiSQA+NtrDVCe3dCOb6+oqHPkEkeATBkD0wgwxyuGLnUafHmo6f
6dKvxjj2bHVC0skSUogYHBdfsoIuYIQj6UOXX0iAAWCnr29jhbMvfJNKIYiE8MkJIgxQ8kvfXOjQ
u0iJ+lPNmjrQJNieR4/WaQfYQZddg7c+k9ZcD12cAz5oNbf5No8DGWwSSzkCORZI7s6qLBa3E/VV
PCfdiMVwE+IImdTxZbJnYEQIyBPEMtMmLBN4Tc0agR3aQUOOO8mKMqx5emCcXhHIOu2c0NLTaTh6
/cT4IILHFMIkJD049drugJrg5YlLkelmhOrx49BDdae23HsCIHZYVrtlkOrZscbjBGY7lYrCRx6e
kG0k2tWkaV+MJLvNJrGaNHFmqf0xkFF0BTRu6RDeuWpoO3O08LkEr8vGesXUeI5r8E6JHbjR60ci
B5EthjwcQ/CGqAYaBJb1AFg52tSLLRryMQ6agm+FNl83ECLar6775McwagD0zC7T0+riECvXkOJb
IDruIo0BxuOJr18Bkd6Vd5UqJDs2Y7XKwc2jFZeZm+Auo+l6xDmvBRBTkfR018Z+oB1wIk0Lx/3J
0Q6wDhxNYWi0Y3AVxBmgjpfaClOJZdXb+SPNhzVSBe/AtJZqMfY+oLgkQI0H65ZPkjQrmq0ji0Eh
k6irfN4utQB+Zqdo1I8fASt5EMcoCwrWR4cFokljIgUmxsaqXaNbD2Hz2JB2hLAWIC/CgkB2IvgN
aiwMoqhzBqKA9oGOQsqBNwaX0IoU8NtePmsoLKGh872wvd5nyh+7KAc+GgO4hxwvCY+h7ER/Alx4
XJiYhYs+DLW0EB32IIvoeBrKFCpLnT9zDvspjb9YkRyko3VJRgFeIkhLSEDufil2VACrI9pJfuh6
DBYS5hDAoACpg3xY0TLLoakRWeg1CCCwQeDVkDVQYEDQAymNfqrCtRRdnBW7LLAYggE45HDjoSUJ
GaCOwPHD1ECielYbsMwNiHKq4gZ8BbxoVUcOXCuIPioMhg81F2q4Qba2sBNelpCbShHWOvV1aTN1
gKrg8GsSgCCBYYbgz7geQEkX5WiaP2g9iypLQl/SNs1GlBWXgizMz1unvQCWVBGiCp1474w7RVVP
Jw58qHbRmc/riF1ktZY0daOd8ntkKnQ8ZkCFb0rZ2OqBFdXib2oraph2WnA1XrEBo2nZxEWjeJs6
qPa6fjeOPB4uvdPZZBNRA7F+TpHHatNAKwWnxRR6nyV2it1SJLoZPJtSaNcM4AzD4se5SqYIaOVi
pwju2a2owszyFE24H/ujFnhfnEG1leXhJGgJdVQql2pcFihrwRTbk6mcsz5xXVuI3aCAc9vwOpqW
D6OwxHzqWZVnG8oCwekMVZKdE5GHTm2UAZI9zXmVH0ugYzfOonE5y1SD0BEesSa7POpijbZtaWv2
cQZus4w+Koum6cMUJhouoi400Q1kDNk/ANcm/MdFDnljk9ZarLv3alqqldQHdmMHTY+4tokqLSU6
lX7pXPwV10XcPGjS2pWIFmF2j6oP44jSsho7XByHrHE83gAa5ZU4yuqoFJcKy6gsjwbRkq7Sjzpu
aAApT5jGnl0s1A5g0tBy61r9HhqvQaBt07C2lSe9yoyuzhs+lS7fFkMeRug18Sw3Zpexeuz5TdYQ
6k5EwXQe78BWBAX6fFgQpPWqi82okjxiwoWNzvxSzCdj3kXaHI2mhmyTlmpkEGCH1vT8dxv1gncn
YBxjBIw6BdiCL/sWUJdKwkzjSVxVREr4CPsvI2OgsZYgBbWlhy5Rx9zXpXeKDKeF8G1OjvEUQacN
Wpi87OXR1BS4rhLOhjUvIh4ZOE5OOSSVuymbBVJpwbXi+dU8tmMrr4ssKsZqJ0sakfak7GcVD1ei
oBxaCE6ptTKWPnBdfpJ5lkXLGWNVB5KKZgch+wKittP8LKKZl9U5Ns7g6rooRuiUbccCAkG+tQZT
2DuErHVL8xBViGxRrmfjNqgtCx9vmoAi3vxOctLAenVRKfWxz2PnUg/VGEiWxL2BDJJiodeXwP4B
siTOqRXTM93B6dNW44aKXaHHVWK0CiV82E6H6Lap5RryodGWxzJVY7BgAEsDeOMoKF/Dfe3+qDrw
BcTnCgk/kEu6DFarNIZSp8FmVQ9uGbTBf8PVtMq5YaoALinqIw+qiJoy1uzROSho3M4bA0grHWM8
S5eaWPM+Wvt8ves/haLpTQPyivRij3S/MDxdxIVctwwtTd8utwIsC1agcMl9zaJpNTDho1Xz0NeG
7ypVr6IZBgy3QoqN3Qh7GJoOlk2fz+M9pe4rEG4avuNTa8VtyVmmaMpGBTQEdFk1Blk8W0+2dApe
KYtoPVwW5idh9GA1Pn3GuIovfP2Ndry8oMj46PZZ1NH+9j+EvL8P6lVSXkjS1rAB3ER6+Foa0Rp/
ZBo6w6EdWWDINMkJzQ26Bbosh/YH3yvKLkMAUwOerPf5SYPVnPEEl3qYxZWqewtSGkhdwS0EphRg
V1BsZwP06NC8gt685gS+rGSO3FfoO68StC14EMS1/Zk0MVCjpa1txIiP5z5euTS0V+3ePERWViAf
wQw8seWyWg8/iVmDnebYr8topgV8OUPHSeqPS2RYH07hpHQV796Qln7uYZdwyPUt0CXt4DkY+6Fg
XV3Q69b3Ao2WcYFfbEUtk9sI8aYsThbCJXTvcwS8CtqOprfg06rI1/q7G0G/ZpDEfcUib8B8Og6I
FQ7vBwC7Vx1w2esLybB+sCGP4aNq0OoO9cLX/Te9gEbXR2j7VrnZQTMS3qsdxTk9LrtZ4nBG97Zi
ik4FefQsclUMHrYDTdUSXgIZwMLiRWtKyPMDdotAHwG5FfGwaV0UGpOiLs9gcV5omD3chKoFhq0C
eg+IA1CT7k+kzVd37iG/wnfl3Isi3pUAFqf5lKqumuxxYBbVdVpBc7MekqzLgbzCCvdwvw6ugw8A
jby6rF0P/8/1CFQOhy4YEBYOuPzqcihDBqTA6AtYHevcDp9Ek01QBWTzstr+qCCUF7uJOgIRJva6
6uNtVUOKrbdT1GSqO4ExHL9MnxH0aSHe5JW1ZXn8TCcXodK+2PW6gnr3fmYdDBIft4UGcRzRJ59x
Nq5AYF02ltnyierYjuGjo6MexXHYH31SeQciou20lHCiMh87vhULwhDlYLZjFR+eYMzFp8Aurya+
Z/HirhxBArgn63mDMQQ+PBg43O8MEHJRYqoF2E3FSNmoBCiLWdQXtMUe7hAzXmvYgfcd2NWeZFkw
r3y26xvnM3KSZ26Bdyx7AiiDshy4K8dZCaxdhksofesaaqcmDRUQE/ysLsXqT4GNBkj4vIwDhEoq
shlyXjdDpIGBAypW4fWGrlQB6eMSuPiianJ43M8VnPLzCPAsi07HrPPeXCparFSZ7SHdXcgyoyK8
Z0A6z9l2yopo1jsxtrzqoG8bYcESCSSQ+MJyCu3RBJKhAuUvEVvgVKKp17RR82w1N088BuPbS7II
FvhQapChw+m48DqT78ulH6NbmOsIwCosrVPiC8RbsK9obBeQQMHQeoasbSII/lBerixVZQCvArJW
tR3bL0LN2uGvbKpEdSmEa+dsx4jtQvRtNLiYsi1kNFrxpKuAhY3SuMLSf4L+wViGDwi6yHmeZnym
eroZJWAb96AGMzjyGWaugJo48mU/1AqmXJau/LSwnjCb9JAdJij2YTwGMKWUXPW4ByuvC0XSAb6M
5JDIETpT0+b5JHtdurYAmjLlnM7rsZ7CTVUNa/xTc75GE0D/q/Oarl7vaJ44ZBgxWb/jGEVwx5zP
640ZBXai3kLlvjLspspacOUc0GJ2uYQZt9sCHHX1SlWvV55NFjAlRCLFodkDRPQTK7uG0yhP/TR7
KhNMPIqvey3z0SYjaoDDZfOSKXIyumb18jxaVjqwgz4RfDCAZeHELQjsG/rHoGDoMqw7Lw0M2315
Xoh7BSnNgalEt/uKrTHFIsukaNqevS/3AavcE40uxislGlVuJSE7Lzxjmzqvnc0S7UQf3faGt3Dm
MEIXbzg1JF9hnGYTrCGHat1W/+RwkS0hjyQZ71cnb8naZtw047TapMwWUpqEw+BEXW91UYE37vYC
ga7NGvTKGCZEIbx3OCrONKGVjH9CfB0U9MDlrCOHCBqrSgr8pyaQDsBkQ3eJ3GprBexa5vkE3jBa
CLMuYqsHVQMQLzoZjFv3/pPqDgrXH7jodXkYaoQJvHW+H9Y/KGx9P9lohAHC2+fQWAAHDLuAOgA8
6fWlDogm8CYEM5mwFlBW8L9Yy/ofRh/HuHQw/YebP2wElZO1qWszxq6kgs4JRGShV6X2BkZJbi3z
DFT2HBxf38tLCoEjBPYTYw6Hh3Y42PlBpyQbKAH6tshvFfR2xBfD8YrHuw7+ymELI5o/l/OfF4QJ
byAO1slUIBfVAa9Yao9wVaPsxk0NJIocpgrDiZxLCHPPnv36AfFK2/1TsesJgbtFXGISE5iKPSQy
pwomp5pQiZvniDHqZSXtZwETSHw3sS4edkWbLf59P9K52NR9s8Zz6iE0RN3CIB/9ZEcvLR12BKVU
rCB5ScUZUHQHROOsUDTKmbqbau9UI+A68PGpLzOI6yYeDKhAs34Gz1QUkgNAi0ivGyla6volHRxU
9jteU8tRMkFomVMI9Q5uB//I8KWZKdST6bjvqrT7MPv6IQ7VCIpjiCIOHROMcXzY64O86wKZouFS
d+UamZYnINR2vOnfz1HcM/jDlX+f6oJxYViPI1Dk+iOEOJCZnACNkBj1l89pb8q1KxJkIbLaxHcm
/4+oNY6A8scxMIsQuMFV/xQO6JgBEz2Y4nKflgAkr9qQZQV+0XRuTRivH3CNLz+YKRgEtJ8YeCDM
ozBgNA/4zHFeJuMXXh7LJvIlT2VdS/pFeHCY/yzUwathARpD2ytmUOnLw1BXZ6Se+1zkx3soMnBg
R8COiKvh4/VT4ZcMNLwdJjQUtITXv4dSAiLry1jXoKCzYmrVPSqApn52KyLKFSp6Wq/l5BgPTZ2i
mnkCM3++gk5HUgEU7dJAm0l+LEYEQfAn+9qPiPwgcOAwQQQKBnee2tbx4dABQtAvkgYmAD1Md+pu
S/i09up7xEhvv3VLA+3eFAb9gPNVSZ0tUMUmMDMZcH0GKAKm5vPUli0wUueEASeCruuM57k9ngGz
cHuZTabE05xmBFphnzvnaijPfEFY47Z11S8kpMgi0dWb2HOgAM/phC0V12rfZywFFEn0Kmtq7KYL
mIIfFIzy9IMwGLiaAkZIjqEAkqbeVP/Dztk1R4pj3foXMQEIgXQLZKadTqe/3XbdEHa5GsSnkJCQ
+PVnZVW/8Xb3TMzEnMsT56Yjutt2Aimkvdd61g5aiSXyR+GUBfi1Ju9+lTvoHBgOsfTn9vqrBep+
Ps21GWIcKWhZL+XJamPg91dTzNC/jLHB40bpl5rsTHR/KTKDXzWXBGKB7y2ULNpE3ulliDZgx4qP
okxl1rcm/x8pZsZx3uR/FFg/Kzs4fiue7zazS3GRzRaKF3qeLo13kk34yKFDt2OPIVwUUQOpHjT6
PPgMfdu/EJTjnJxTv/BEXrdpGFxECm0V9F//qz/kq9dkLkGOg+V+hDKUwf3I22ZhU1UEZqrXcMhn
AqopvueAKrN1V8/YdOZn6rndpmf4IBenDbUp4hHnadEwN56FhApel1jnMNv3jZqjqC2GCMXw7x4t
sWZHmro1/hZR5xd2hpxXyYeR87aLd+2ogxAdOjY0txQIYIDI2Y2Tx3dbri4GlZmHARQTW6BkjCgr
fOKr9dRxvegtB9SyCnT5HLBt4UQT6kMS9sv6mYZD55uyStAIjPmQjYN6G6EIBSZnv6zAP/bIGVRN
nZ7YgPOk3Y9Nn8YG1f3P+g+C/KV+9eNyOQx/LY3+Z5U6Zn2HVlKBFDcytypMhwg7bD1luIy46+J8
7QLLn3G4TOxJjjzo94OgNc2bul6fqBe0Lb1Yq4NILLkSIdmuB+XsFRSW6TFTaVw4TptzJpY+hJZt
1XOFRX2V1BRMPt6+5rNVsn+rQzGVjkcVeuSeLAc04ZC64pHeMBl+mzq8juMq01O6CllmSBXg2w0D
tW8zl+zaSZi7re2XcIduYdkxH5IeKzYdvjfSPMVRIm9UEtQ3g9XLjmpI48A06is7GV42fGUPmWxm
0EFSfAk9V2XfyDr3yTiWtOLzkW3xsPfVCHd6lDTBn2Z+LJJ2zPYr/uQ1Q5/4qdxkDqCnqq+Zd/2h
c1G/5Z63dN+04fQkE3gGeQ/pSOcBmeqX1W3sow9GConBDM8ri8UujJfwmIS8EfkUBOSUQD7cq0WP
P3SbVQ8QNQVonoXwrwgWFPqsSEaPNm4bsZd+DHYAgZdHbRMIIdgKSiQkzJFo5bucDisrqoxXDXsT
Nub+GmSE+a7jpI12k5EL2i8xND63SPD8YAvNhjKoAnUcODCJMomW9sFZ0qF/G6YbqpdoLirWTB9h
q+XJZUgX6DS6rNCKXrzd2q5HhzL7Nsw6ew1VPjiKjjRxybD7fUXrSsZ821iEUAN4x/dVzuuPOQhc
EYto+9C6nWKQDhJY47ZprNyml30OnkiZUm5r546pqec6DyMpzj7KsBGj1SvsSnpyTFjYy6Nys9rH
0sQ3tB9cDgX6la7+e2iq6pxEeH2sNksJyTMUeQ0gOCupn8guyZbxLJtEvXvpUCuGsN1rnZsObEZX
ZKKmMg8MST7gmE85ifvxMEHAyONwWB5cNHYPuvFLV3TLUr/MjZ/flJNDnM/OuKKKlGzzFtcHJ5hB
C8SL55qtSBxb73msm74YN9t+tIPccphPw+s4iTmX0kYPHObGtYwVK4wKq2MixuRDs9SdLtEfCzsk
MfhQpJQqE8zolE2NWEYwibyPOv6hAhRbJUPd2Oa01fN9uqbdHht9mhZcbNnVEk3NPWg/MCdro17i
aZQHa1x0aKVNPxSpXlb07y+IXm3sMMvE5+081D88HsihWTJjdihP/dOiOK1ylcxwkrt6ycPG2uuU
d/Iwoz6OQHNr/sLHhX8SJ8lzq6rp0252+2GwwEubTfFtAuDhEOKkKGc3L0+oe4OcrqM9BUp337Zw
Gg+kjypwS5C5z40PE5xlDjtS2AoGnYp26VUGw6iQemwPHTXqBeQTwfXb+IhsEtm3KdHv0Avnez42
6iryPX8aBrXd1Lqddy7Dlov2fBDnMQmXozLJej9qhKEUY8l30llsDvHs7TnxA14eaG13EVnMjVPZ
ei1WRyboSWw8VOmQlGjbQX5CjuHXW6CqU1U16mGLWfPCIOm8zxtbnnHg11d42bLbLQoWkJCp2Pe8
oic47xEploH3Jdv8SLDe1bjf6mC672AN3NduknMBYiXcq7Wd3+VikhpN/7adFE/MDXBHwOnBMD3X
ZOMD9uzB7UjWsasIXmRh5ZbcMVsjY2ZU8BVUMQitk6fJJnjhB4cavMwMpHZ26iix2bILMRuhX/Ke
y+q0BrK+h/rTn4PEj6/9oj7wOzUEaBG96gEVTGuy9ux4CziRykgc+STjbyaozFr0zRreAkEyLyK2
dj40cU+SgjdRdpNUk2J7Hg4jPw4NkyX85WTLLXz4kvFtyPJ2W7jNB1KN5ykAh3DjgznDs07DdVEn
5PlgQEVORev1mMzDHXFJ8JCNXMgidaqZdg2X6rGthR2Q9Jp8czOIbhJloEYKXrCqouCQWa23R48A
g2kOl9IjLPnspn7q8NQmZMeOHbQC1RdRhsqloIOp7C1UnFYjmRfVz2u2Tb6Ywj49AWarkMyLUCLe
LBAIllcq0JUq7CNKLjRF4VSPwJ2u7JJmRxq7cGyfN+Kr2ObezSE3xxibXXjNEjgVh7n3oyobq6l5
4kHdIUcZ1z1XuQqquu+KAMmMJ0FA8+Rxk/QPk4+C7bCiAW6LMJvj8IRgnRuLWMFfuM16bKclMNut
nKC4Hdt4EQWC9d1xCbzT7V3vg5RvBI9/DN1QQj8augs9hiDecLcsScuW0qdt2scQ/vWE94HBdi1M
5ONhl0Smb05dA9c4H0bIz8W2uHnMyeBhSGWm7a5GkVDE51a63nYC8m3ZOuGuEJqMWJki75lBqkPk
8LqrlYRNaijyX/EKVz5d4uUcUO6yYmirBOGmpCOQCKElvkYyUF+WozQhSvr4ME1VRHa1bWITFyjh
mmAqwAwAkVvzrEkffZBMGQozw7zoC+ykC35gCgPhxHdsQjNLd43sZU7rOXJ81w1ZlDU7GbuJ0tso
sKl5gck8VFftzJKP2tpv29bUL3Ujv9Vc0jZHmzA8rWBOdhWr1CHE4YF8l0kVbLlsu+mRNj0rIsze
NooXcpabzDPA3jIfBjo8qbFPS6VSnxsETbC/2mX4vtTVts+mHvZi7apbOJ8sLCKn17nccNgk91w3
5CkD2KRKYaFBYT1gweTg9NavaJLdg5xHzXY6y+qTnsbpycx6qXfG1ba6hpqNUFYwOH49TO1cxuPc
77u5ok9jF0Y7vjTTTVfR4DbuXHITS5ipU61hqnO0RWUcV/ZjNJk5bC6O+zzMcAiXIbez3skonc7g
GtflWqq1yrleQ1fMXd0iG6uR+OHRUIFEB6hprnWKm0OsLIietgrjPyr48fOhhe9XKryUa775Tp1x
yuPwF2nXl6JFfYFLqB5x6oi9yXhamFE2r62oo29QBN0eMBE/TCEf9pnM2vugDVVhh7R5C8fhpW9B
qNVo3PZZXLXv0xovE+Jl0/ROwkodTUwql1fKtawQEG2PlYxx03UI5V04W6AJJ3ct2pKjXSPxvWtI
9q2r6uiti8h6snCUSyrn6ZpAyn6FKRB3lz3NyZy04XybVhVB3YrN8bIIk+9Jd2nS/ThcTm0X68/J
skDs+hRB0xwi95Rej3QUU6GVcAs8sG2CiJmtbVSQHvtIngaipbe91PFngyRul8c9riFv+6xhRYe/
W0CWw5povET8NDVxVqKFt71CrdXVx0FOy28SXVtTdJKQ8BsO3lXlPGCrvQqWLi0X2QZXYqbxy4Vn
2Eeb7UwufCDvKHXtp7FM4nhA57mfTAVKa6ooOcFSVDfSA3bJVY2S5uS0kZ9dvDhRaMifNhe2d9+X
xeNdwUuJPs1IqKtfFm4acsKttbuxteQI8bwGyiWQvLu64Kw/EqCt1X7ImuUm8ejf8gDlyFL21RzQ
XTAPSA6EyHO+Lrrv3zNpXdFpohFhDObwbNYseoLrxzhoJdRwebqsTX9YUVQdsfuN687NTdOilOMo
PUGXBNOZNGsUFKa6EIJ+CKncKWnB34OUwSIqkmZAHrez+9qmsHgQSms7FGlqd2ljbVH5WcSoqQmy
s2+jNmN3F0/Rqkt0FRWyjFi80yYLFZm694cgjNsxuUsRnmR5F82CfPTAWYOxsAFzbbWHkde58LZr
pnTiBbptl8jcbM2gTZHhwKW+bOCrIUNskAlJfDlaXw3djWcVJJ1CGzRg8r63UK1I7hAW4WavjJzF
W113yVSXK14V2DtICZFR5dbNU7rsa9Rq47VBVHP4Xc/aWbprwGUN447O8ACfkMiGJ3SQALiWsVQ+
CcL2vjWyw/eAGKUWpgVhDW/CAgLH7f8YAp6FeI66HX3JZePoG1U0bp5+iciBvBghS88vkm0cVU7e
YMrIBSkAx3DxZ/AebtlXnVShSw/gvTe8b3OkuXg3EvnWJh8ZBLgAnW3VrimOCGzHy6tpICiw04KC
0p3Dloc+KUytzdwdNrhu+LZw5LVT+0mYGe1Q0n4xfrwhBre35ZiiFMcawURNhuqJLFSKdJcCoBXk
GBoz+wl8lFhQ46B3qOe9lKzFfhwsU9mBjrqNAZmhdJccO6bnAkUUSw5iyQbvJdRhZFlnUQD1Mv2a
7OrRJaLfyRUkEId2ME7stKH0YzukzdMK7pytuDR5lMw82WV+I8kBfuTwKpnpXwJQPwsmAiAUlycG
784OFMzwFY4dqixkaJAM3k2p5k1pFfgZl2/xDFN0S43/mdU5clHbe4i49gr6tDhNYUWKLk7NbRt5
P+wkGQCRWQ6DWgb9U8vdml3PKOGynIzSJ7kb1248qCUEXemYXEdEV2z3Jbew6rC1JkOVpzhHTbmQ
zT9qEawOBULQ71CBokOsWknpQaXJMpTVwNxnsFXOyzyq1zl6ZJ3oaImxYeN3FcJYz3Vr0RqMW2DR
jag2ai4TDJS+Mg3t7FcduIvigoo6Houta+o98mO2CvaDiRigoXjmY1GFyTTtEh/qq0hP2Xtv+wSC
ZVbF9VRAUBQUHWrm9XlgaWhKjNQwyxuQDOAcuZKg/wqwJrNFgRTF4J0gbp1rdN5Dnsyow28djECX
r6TLdlmX9seg1hMQe0MR0QLzJwcgJbE3umQj5bDKgqU5IP2ELyZzdZATMH9Xs+wRCjYQzD43gBRY
GxV/MEE44T43uU8j6e49vuwy4RXjuxbMx48AUBXEw1bWpwDbsP6G5nJtHrJ2UJeqi8TiChVMelRJ
RsUntkjiD8Qm7eO0kuoW+Gb9VasIT56tmwNGVyEk222bcLkU4frCHDX3q+ob3ALidXCts2HCbpoN
CFF0lD9GkA+zkrcIREcQLUS5gtn5bSUJ8o2008nVmLQIOq+KPs1VPe2XeAzfUqWjnGfgIxvVb0gO
6M3nSAf5M7KesShjoy0iT/0IcJ8Ly+11nSpQc3rcgKnW1epwuby/IBvohgs5Zj7ew7mC/xsSBB7L
2hKLrTdADkPkC6ZGmJzUekZRMHp9S4w0pzqOLCtDWstsD0BDPq8uW0BDLyPuEpRC9i1RDavzAQX4
3RxcKl6NoShjjpraizxFvh6YTDeLpsSB3oIIg1xyvw1QAHIM3JDprrMA/0oSDmK3zQ6/U1NgfsBZ
BllaIn9fdTPu4ko7pOipf8+wW9gbt4xKlv1s2aOmajH4OEpnNAQCKtCAADjpq/iGNX2XAV+q/JCr
qOI3QdDEn74X3dEFUt+DIWwLsGnxB7J1ZoT/kXFfCKpbVWRrInxpVt/qvFdsqXamEazH/qtIf9NG
saf7JV3pa1A10p2hXHUEYsA0+LyXQ/QuOEiMfAAgcp5AvoS7bKUeTQGPkbaYq5AOuyFqm+eOOrUW
ODdR1aE+LxuiZnZ5bundSlbI0CSeqjPrB/KG8StRnVvTvxM9TG9qmaa8ESO0R5CeALhqiyXfq/ca
sf4atZULigCVx60yCAlq6C7fxtoE1wqTB/pSiS67W8wyHReKmQroyLsTdAFMaalC9grFWGRYBnX6
KeON7FwS6kerfHzd6WmJi9ay9VKthQOQnhEST6Y1u9KkGdNy4wEKp0FwdxhpbPtHpHhFqSBulQpL
PSlmQs0O5Ut0M/qpAbO4Rm9N5d0brxYMXNEmRLCQdruB9dXvwJ3DMqHJ8sJQ7h+ipIo+J5DxbyF+
heaBw4NDFOENWSB26wAfHKRd8NYx8wFwermXJvRVzpYpjPAebPe8DjpUNFEyHHAeqBFthiYlywDN
4LdP6xyr3xCpj0rm0KjMGAO05a6JpteA9clT25BkKBKo+tdSjhEsOhCgHSHfvYH6r3adhB6kPnFA
dYMt4c0jXfWGjnYa5KNKNCaV3C1tM2OX14xdmCk1I5cNeMH5dpjhNcAIne4SD8THH9YYGZK4JFPo
luY6NM3QbtcAzP3yUgm30u90TKbuqp3YsCRFlahwCUpmabIqbF4dKBt4beA2WgwXScMSQGC0oWxk
oReF6lIVumtM1YGKmaexo/skGVf2LR3HBZvKLLve9djHaBPSEnUe+Iky8GldA7RJwH4Bk0YZD9rL
I6ONlwZ4fYIRQLaR049wDnymSxitAAh3GLfjuwZOqqg7UEyyxpiTuMAanGGD1G29hfODJWxBCyOI
S5V6ndiK8R4lDGKGvg9RJuHac9tO2kylXlOWRrtQEqPnT4ORJZHP8Vek8MU6JSjJ8g2jemZ7VSFE
2PICivXlTpK0Dnl/aGpns/k3E9RbTHNRsQ7/D4x+lrqbYNFomG9ar6s+LVzIWWb3/96e+6tDDtcQ
BAgmU12YA9jkyAj+1TWEVMaWEOmFH8MkL9km+4txIXRUMMp11iQGSJoNXYAAhmhh0f2HC/irvX25
AIACiJBibhZcQphCf70AQT2yUbXIvrpfFzD8Ik+GjvdYccEEX+yXU/rHcLE/ohW/RmT9eZ7Cn8cr
/L88zeEvI/j+PM2BIZj0p8XxT+Mcyh/9x/qhfvzz7/wxygHjUDHNLCEhS7KLvZUCt/lj0hn+VwY0
AbLbzxEPl4zbH6McMPUOyhGoVqAYFLnpS8Aflu1l0Blh/0iQ7qCgDCjmeMIe/m+mOSDG+jdjH+HN
FIQEyCbGYfL/nVzoWtu0EcDPKw+m921pl1FiAyMYpOS2AYNNMjUsezn7+36Kt4sMaoswzHgxVqHc
t0jdtvlGtuitEgZl0jh2KeKY4frDLellG2vaglWIC1ym1YwsuOCY/bckAPJOjJCAbbk+eBLCe3Yc
ahEeoriqBkqfWgxvODm3bOe+pQuSmSbcrrJZV9gjUe8d8YZiPtMEbQMgG0yZS++MYQjqBi5Ki7wJ
/LTA0faw4uLinCD2cp1torqeArU8jrxOjsAyvrXZHLyJfgie63lMUd668WB4XO+QRCO5ZFreoQpj
5eD0g2X1Fw063CQK5BxRkIck9t2e864pPSXAXwDyHMK6+11CGQNGzdErjeEGAw/znfboSeR+3vDp
jY0fUoRxc5EttwiBkdzE8YOI2HNlzS0qnDFv3Pi0zlt0civ8l74bbR5DwsA/htPkh1PC5Fs14Ajf
osUdO19/4ykksHmyeU/IQ+e7bzO1bZ5N05Nrg+29A/JcStI0Zcek2eM4tYUQY4El+OxItasyKJ4o
Vy6XAEee4k9DPiaHbMvCO9IFwX6x3fRUa96/YgZH8ho5Altj7JH3qSuCep05pKAxFqcJ0VVv8h7G
9IbdOzguwFM/piRSz5IvFrUOeveCyH4HBxHN+0qvMDAPk5voMt/h5FFvSceeUy0m+FRKHCLtYQxV
6DW2jEdXfE4ZRHD20mO6FJhGsr6gca6PCfJVWZHVeniIeWW+ByGo3wJmGXlYINWfBzE3ELXjxjHE
ezFeqW/GJxJEsBfUqJoynsij7he+R/gL5DFpUnjRaZS3woqy6QMLxc3N/KBmIjHcTUawhoRH5QBn
HNEDC4kwjpy5qUFkI/ykAvqSgfu9SYY0/JbgxmFuQqnG1DPU/BTPEiOcmIJBS5wPb1Y/U0whaEMM
/KHt4n+HzboFB6YgBP/uebbe9rFChVGPSbfrM0FUjgFQhRza6Bd68v83+n85XvlP43eQZf63O/3f
51b/nPXz65f+Z6uP/sEoLKaMJRE2elSb/7vV839kaRjDMs9+ja7EKfA/Qy1xQGCNgLtLs+gCOv7v
Xp+E/8BUU3KJkgI3R0dH/5u9/q9FA0VLieoto5hoCVwNNOnfGLXIprMNw3q6hiQLHL0ba3pH1CrP
yM2x/4CrXripP9FLPz8LDGGIZ8FxWv29QLE6hIjFovE6Q/dz3qyPzq0h/NXjCZzmeeO7Px26f1Qn
f46aXgqev30ewp6IV6Msi/95oIQKMK1IshCfN0AGBguNgRp567bovLiEXGPmSkp20B0i5P9E/Pzv
P/yv5eDPBwsiD8N+GL69y4SRv1ZjcxBqNyGvgEFmy/I19APswx4N98lHm3t01cZfqzj8T7f8Lx4x
xdMCootjDTkqLJs/Y7qLxlTFlWXDtRoid9/1zfIFUE1sEBGUu69D/19/YIqqA1wwPpFjJO/f51C0
FxgoBk111QTVdJMxyUrfLBwNHgm+IXaUvv/7xxr903PNMPo3ZdAyQFdyTGH96x16HYVbXV3QnMnN
HcYCVjq+2zZMl4Migth/AX0oQlM9JhdCN3qcLR1fR2Qa16JJu228ePfZ4+Lj2OQKsQ4wB7LRJxhi
7s3H7D+sAmD3f1+EGcUYDLz7Cb5NvOx/u95xwBCJdljMFc1gBz4HQ0yrG133IZJS04wiYq6j9Qhs
wfcX05lGz3gH/WOAbv8KjF+aHoXGSIEB1sZHDQomzZv0MicHY4cwiQDsyRmc1dAcwQH2iBsoG52H
GBYQrCi6RaWJdd3CohVAoHy8sb2kLjpDEgjUzmThdIPZWu4xWlJ3XwkObmlTdqKfDPKMR7Buc3YH
9DtubxSh7j7FLpGWoH07ftWGNvit7RsOLPoiy16rqkV4H3KBD+opjwEfRj+wSp2o8wijGd3tknCb
PLjRr6cxbHo4tBSqkeVJEuc/NwKFeXdw9qx298G6uHvezQBFXDXLd9PG8n1TIblOEVaaC2etfGcD
sfeh1pjuxOcN25eD4r1rI0U/gAC4x0n1KPMGW8l30izuMZiD6JkuhpViE/QDY1Xi8Xr03L2nUD5M
gQHCwLl0Rd2jSRTuVHYJAmG9xgeCF6xeY/geqjRspR+9wXNkm8VzU0n0bDi+tI3N/BUVGv1Ig9Q9
ChRGO3AVlOz9JBZWcBc0MteIoD3+WqtNWxNTNCgMza3onP7q2ykQeUJxs7HH4IWDXjEnBRIO2uwj
zyoxXCMCMw8L+nrOzG4BevZbA0PplUnspyXGdGZuN/gE68SOafIxaSbfmxq6aT0P/MS94q+yh4OU
J6PAykB6ISgSEBg3CmIKgpVycvcG04HX0qbIV8Au0PLduRb5snrqNkShMHyrzsE4ELglLSgpAG24
1xX6FGZDThjie3n+iVsoGAKWwEXJII+yoNHFjBFX558/A5l1LAYfttg3tuYqwL0+NBnqobXmfA8H
FwsYs3ZhniOvKq9AUlXVDeTVUBZWr6BKZ8f4IwESjSGywAFDyIQ9xnCeF4AqkuZsQD7uCXOQQ0hy
FWY72j0sUZ9XJLhMne1FFF6v0ZJZhzxkMDZHDd4jOPgQAzHKGVNfqkeIQLTPG3jjMh8bzJ44xQjG
vCNatn5ZoBq2WDHiVdyvPojX3zQef3PQ42gPOsZMjnwLuykPAMTCgUdMBUMCKJ6zfpakahAP9BCG
Ru4xzaEvMJ/EXSOxmOxhp5AzBVlaWLteVdy7mwUTk59TxDqLRlZQXREXPieAgwooCtGbDuO5lEj2
54t30R1mWi6PazPrOl8qS78tSKElWF96xbA8LtyNBWt7lbCpHnI4PhMs7Wk7M2XqLyg20TmFNHgc
RZOeZTjyCq5b4k/RuA74wl0APX8Db3IY5bZ8cQGtqwR9UIsSi5sfkwpDEEo4m0CPoyyrXsmI0HsZ
BckLBjkFmGM5f4wRUJq2B0p+NSOUZ/GDBIsO1hWWlO+o/moi/EuOfdk94pjDWo6rsRFXaVDhlN5Q
+Xu9yHcaLfx18A08t6xmw2UgpnWPm2uqVwcr8yyTSL57fRGAMGjjw02sfm1pig1zirvnFtbdb63C
3A1ktijGtYRQq0RGyDWTHL455yj2cYxOzymk3E20Y4kIUVLvIzIweqQAvflvm5bRt0EFwXa9Qdph
1wQSK1mLSGoMr4U3g7HMMSGfW21puoOlefxf3EjptsEoaP6cNc38f4McYdJB9gRWvsvARKzXlJjA
lgTG0V/YozEe7xyYArNH4Auzlv4KISU+noFG9An9A0IasyD5BKmFn5c4sdQLEvFx9cnZKhRC5bKa
9hubRJ/HdWcSeBFdcBp6YfDohkrmG0DzN5+x6UokI7vLGhKWLd6qA/BOTOn10PnfMdgBtYhcKDuR
VWCkbWTxtSJQr3aih368A+pTq7Ni2l970rIzWG/+qoBuQKHsU/0V9i0/0QojFPIu3bBoZoOVouuQ
lUheXZaSqcemrJspOmNGFfbSOUWUMG85/o4FFXRIl4af9IqvpugxGAb2hmlxTRlD6FjIBP+h6TDL
Onek5qe0l6DV67jDfg9Q48o3FvugpbXWB5Cn7ARoDTMKQWv3eYvDZChIxtw9hF68S3Sd+0PmcY5j
kL04kGpLPjbfYsP/uQVmjYGDjuDeZemvYd/cQ9yAuwJ3NzmtxoQHxKo3m6sl0F8jAX6UR0Th5I+3
mX5kPc5HDYlxLQcqelVi8EDflD2QV1QMHi3K4ddlRZgl1x/mpkUlUQUBjq8MjO/N3Ct1Zb1x94tF
7TvATdpFWz/6Y7zGmGGbGz8k7hbpafTloeLT+xrPsrmLqcVVi0HiXle74SNHJXz2mMC60zgtUmSR
B8wGqOcOEjMLLbL+tUvSo+lAJRZgLPxTFUz0PW0ibKxeBe1plcoBzf+X2FmyYWol9kUwDf0UhEdp
muB3zM3hgP1W7nJcM6ocEWT8NXYrlgXrFU7ymS/RM+wWHE+1cmO3V+CqNlyJuDxRSP+AmCnm9RZG
MooDU2GrekJrz05tCyp2MwNWXA8Q7IyZAugalngLAc9RLS/gCqNV+BoFHt4FnhNKyyfo2IF5siky
rLIQa1M37LHvMPAAR5UEeAZ3sZ692PtOBHUEzArVcn3AEDb6f9g7r6bIkbRt/yJtyKd0+JWjgAba
QLsTBe3kpZSUMqlf/14JPTtQzNKx3/Fu7M4G03RJlUo9+ZjbgH4m3ahsRGhy4J7lNqnqfAczEkRI
COgLGAE5iHAz+6JkHnfNWJomjZWhDAgsd7egOXRRFau84vF379uIyFJOmfV5seL8wgJdBUI44+hB
semYuvQu9CKsQzXOAd+jC+lFMT2ldwfSZEi20GnepREh3evT8eDYqcN0x2HEtizdeYv+AAJSlfO+
AYnfIkCv+g1j2hz1ATISFdblL3j+6JlPbXKM17Zm9NhN4KjaYd4SFX41fffLqvRNvPjzOfuaxAAI
2U2spH0T1HraTXa9DQddH5cxgHNCF+nDwsT+UHCI7oouA7wC4RA8q3+1uGPzjqfNudws1QUnX33m
1yWK1JaHrnod7tO4uhpLMHUeS3Vja5neSSscv/St6123U120Wy+1SSCX7qyKK8jeE3ND5z2ZH2NJ
Jm2/kB8PLjymxXnOGDQuwCI1TA+T6GgV68+gC3kgPgMHNBMDAMfw8OwK0q22Jrm1OIGHjR4nE0Ey
mwjBeUU0VEV7OXaudQ6WsZNXQ1mxSeuMaJOHPTtynRKefbIg9P1WlyhgbifS7t3rZZSpOp6VxhGN
CAERTrgOLYjTsn8FbR9z4smjDB6Sfvwe3E1vEt/Xr/Oi+olQBqZR4QSU/TC4TL36hDYKUF+NRavk
sWoAcW1GIZzbbugthjZQhy5Dgyy6eAiHr1/3RenPdYGCB7DuGE5RKT6/LiV5hZb6Io9LUYX3ykLU
qR6WajnMaF72+7Zu9PswzIjFyIaT5b5+9edkWWp//hPD3oIvGnITpwQyPRR0T8AHHlHMoQABJeve
ot/ZXhZiINqrFNcFGEk9ZYnJvJGyI7g/3ML/OnZ/6NjBRETK+m+a5ovZzCdN2GnSp6OZ33/nqQtN
YISs7dC1HfAW/27YwRr9l03zG9k9CNGm8/asX2czdAt95Ishy7Ihf89m6NcB3BKODamXIUjE2OYv
nfHfPaxXTWiev7h2ZAe2wwCdlqLPxvZMP+/JCwXo3MmDpJuvx/pHOlQ0ob89WY1/aJqdvLEvLnDy
xvaLV9Vy4QIRvf8sok6I7/PpGig96KrXLxWwkk+jECRumGvMsYwEcABV9qT5qHFOqQJASFdFUFEL
EgYtEHxMfOIIBdXg61AsafQ9axMmq2c2lai1IgIDWwu9Rc/u0vpHi26ISG/S0c+ASZ0lfWojlduM
P/PIjvL6zchkHs8X2/i/VI9eMBF1IIEH6fFb3SnII3jH0DZz3hZdi6GMLhIQI1vX+M1ED9YziMTA
st/Mkxcr8HJ1l5UfkJpKJ9Sb/AayB3pgjOk3Ocf1ADrKvejh89zppRoRkuxGQUjX1XxAjbby6kuh
AHQHS0jdBYpx/mrBqNyUVsphGSkX8RIR+N6Nbwm5XhYqzqwPMxBuv9l7E0oxlsSKo1BLQnbY58PZ
/6LGf3a4/LvPH9BNfLJ3XwSNp155p3/rr7Dh+P+i88ouNurNtO75wN8jXV7Vf/m8t0Z78GGsy0jh
rz6/S58fUm4EXxuh9Yee+F8zXTT9PT5QsFOpdGmc/zdxw3lOan4gozuc9Zx8no0GpX8SOBRqb9IU
S9fN7KHgPANt2rQe2lrbUszTu9AK9EWxTE25t+1SfVGtP92ROy0IhcRN9+nJ6v1DkDnt4toPVHwi
NZgFG6a1GbI8DWN+g/FQnI3Ttds1znVKX5Zmg2hBaC+TQupqmv3xi5jItjd9HZEVoZ7BmYkSF7ZD
USyaH7FS9g2fkYFUrCrnDsWByDnTYZD8dBACWw6v37F7kjE93DFSipzrSJ7YkXsSq/wcrDlKNeoa
qbs03YUI9t1NdP+9gxK6DVCoX5xilwtAzasIwbrp0vbOaoBVpNBTq35kyzA4ZO4y2FEVM5NVdUad
KXrMfvZpW2RvyzG+QOw7G3akNvHHIesuEfejPMHAILzKe4rPx/f9P0pjngZ7ZEsAIQgeRMjeQJfz
+WMQdGrhP1XDNbOQ+GObcnht/NJla8iG0nBecBWSiVN9fn0xzV57kn3SlSPPQ40jJpqbf5jbenKI
wV5IfTmkzXUTMYxBumy8hpGNGFySfXz9Sid54MOV6LozAAI5FHP4Pr+SbJC+6SBLXcO/9e/RrqQW
TlSk3U0ps73doaq19WwdtVuYlXP9p01jNsXzL8pGcQPXZzyCOcbp5VFOyEEEQcETdONxLBiD+xL/
1+oMPb1hD6Kz3Wj8Y7Kzuepm2JVlK34CCUcKMdb+myUE1L315gK6VgFl+g4akOvtskjrn5ISY8c8
rUbADk5lfwy8cB0fk8j/uD2clw8KKAphw2RI6Dz4JtF98qDscAyaIEisK4zj6vscJCS9fKtUjb/x
NDLTF3OWl9/oZEGeXTtUpkBp5VtwpeKXEuvabnWWCjB1xfQzR5voxxTITFy8/ogRHzldZeRd2UQh
aRaqnJQ1z+8y7KPcRmjMuyroQiRxtOPUXM+M8GYMQGEcUUbq7HdTrYMRE4FMwERo6NL28qzyJZLf
VVe/l9iMLBtRzemnuajbc9qMaiODTt5BfIx25ATJdmwL4+unPKYWSTE017O0BpCxgCjT1IkZs6xo
H2zdKauPEOSq926Rvk0hPC4bPPK6a5V0t8qtLY9Ck+zCybVLbPDHdd3Yc1S8qbIg+pLY0HGyMHLe
rODZ4u1sZ8AS2XT5uRUxINnMOlp3zhzgzFQs3+UAuXREtwkocK3EIRm68RzzBPcWZMOMpKiwnHyz
ZiWNPJRW4aQ0nfV1rCFGSzmA+YQhe+50cfUjnyQOY8Deyw8MghaxmQADXgBGGLeadQCe6cY3EMCW
PSDE7uA4izPtq0A4MDBnVCm3k5sl+3rwGJDI+CZLYP7u0NdSR44ad96irkd3Ronq81Lb2aXbx/JD
AMUAaE1huQdo7ut9FLb9frCXYj1MZZQeLFCS93Cl5l9oWshgiwIFnf4mdaf0sFBI83LM816n0xgd
+hYrqUp59ZFpH3T00O9bFhpK9KYYCgzvRDKj1dEGy7rxVZVsPWU1NQj8cp8a3Zp3s+f4u3zokT8o
2Enq4KkZINJCF/oNk8O1SlDb6VRdY8Nm2Is/MuwQ3fXLMFuLQYPHPaG8/e7qulBeDzllHKV9rUqF
SARsg249Qw9DJQgL5FT8hVu1H2x6FeeF9qhDR55BAsPOpqkF1yVC/jNJOA9VVc7dHmH71N72lXKS
m6wDNNAeSy3oOJBlxupNOCiPHTUnrUOnZeQsPIRWViQ3E69OmG475rJsOK8c6gPDjz7egKIEQ79f
oJttrSR2YgCeCWJhqIcktDizGKODw1wJZopDQlZwCJq0XrfRSvd727glNO06M3X8BBJnoBNpIcLV
pnn0yxonDNV2dusq1BSiMboOoHQmF40nlAiKbbMM3aqPg010g32YZgIdtWFishT3Q0OLrAprfWSq
V8tt4ILo3ool0NVZj4qqteWxup8sWdP0g99T1jv+Z1s3DHcsepaqaT4xqYrrc6+PVbUvMxW+X0fl
wZaGG+FcZnM2CGaUmZspqoVJNh84jL0LoKpueRgld7BvVZWu+8hZVhCmBZOwqzpCEGFv8ar0SG04
4wXD0KDaAXFKx51AckeC2jKVfYPJzvoT1HAcQohTkAXRk866c8fO/SPQTMY2qFF03i5v82S3jkkJ
zHnuZYzg7Fz4Ww+VsBVkebFal3SM/IMjEyjhIouF3Dt42rTnWe7M6Z6xToZ+Pb+3cWLw6GyfFPWk
hab6uoGAZn3tAWBrpA15j9xrZ8UKh/pi8i3vllrEHa9DGWuQaACVr4Kx4UhK0bDhL8SworwD6r9O
8wVqG6OxDkXU5TDMwZpfOipVt37hMjxdEvqikcPmRQkR4ZL9EK60VWGcmNaph/L6FqzvPkf99ks1
z2QWRVpMH8Dhzt9kn3lQ3eY0Yboc0HpqwAN6h6Bq0T9+mGFDJvT8dw/zcEdBGaMZisTyVqEau+CJ
Vxf5sYeTCTcadJd789AAbuzObM6i6Aaqo4H+2aJ9xq52N/NssrnhxlpI9M4lJ1j8EbQ0u7smSva7
yImX9lwNceK+LXpkEt67URP754tfMJpVizLJZ4ZVZ1Ay2d23c82l23alm7y4tVph+gvz5c34fSY+
cV8wBRjUNXyLsUMqkbEC49NtXE68OrJKy/xdgzgwLNiRrOBxtOq4qsluOsfXgNc9ibXceTb3y3hV
MzceNrk9dvA+bbChez11tLn5GZYy34gAAuvN5MmqqQGWePEFklw5ADr4QewL6MT3cwOpC3Jaod97
arGHS6YmDPZbiVDUh4jTgvGl7Vx3cdp98ekZgtrzs9y9YHgWj5f4eUBC0L3AQnNFCexMuiwr1Wqn
v5dVGbxdxgGeTgeGsPw0h3U6HOG/1r/QDzUxJO8YFVAHRN4+R16Elj4OR58sO6kP9SzTDt4zYU73
c/Y+R8bmEpJhEewCt3cRNqwCn+MocxkF4fKU7iu34TXBB9aLz/2mdfAIJCDri8hhS+2RLmCPFAFg
owMcumnPITN3l04/usD34kpNnLTeZJN64w3Yx+jCWJo0/WKNVe/8QKdED7iGOWJCBsHlo5baMeoW
M/JT55LHMm8tEPjodE+Tulq0gB02Dd0mEsPRr0GpH9fZqNZAMB7WM1mB6rtqwsV/YykYWPusa+rp
MkVoOttGwVBnt2QiTLYAGCBdI/Jh2mAGScMhnqeo4xTQ3Ycq7Zz8s9MyDJk2qCuU+k4qyPF8GIoO
+wyZ7/TCSuT8LUttUImVGMLyHMit824ZrGQ96xmp5/t8HdmkuasK7+1SVmtwXYfSMK/lZIdXvpMh
KcPYbR4wswUksJ8jMAJQRIXpTQxDhQujt/S7qUJh4QywA7u/9JdU7HQCq2ybSHjOn+DCOLdF1rPX
OOkM2iCth7dN3OAsNLoyRt60zmCsL+MX9KvnyNmU5STumJ4xT54Rq/LRzqii6X2X4JLF4c6O3svc
42lSOGAVnHuqbN+IXmbeW3dBm+AcMfmY77UsVnpV9paZiQ3wNZmw16O6qqqE++8RjD0MWQQud15s
+1x3Pu+9DkMB3iLJxNVDVvq//usf+q+oFVIE/Vsl70Un5f9V9zhuPO2+Pv6Nv7oobozJoUslTXlo
Gujk+n97HPoA0vGtC1yKcAOZ/91EMR6HeIWgtAfE0AscA0L73UQJjP2hHfOnKEUStDz/v2minBiA
m9uhGMK5gzjF9wSN/7zSgDSia2Y8/s/MXvFqruo1Yco9zzjowVtXhas/FshFq8OgaaNuhwG5xu9L
UklEzdug7dyDtAwxtET5qi1xfEvM9C2qymy5623cxPW292W4htBX0C+wtrD4On+CBo81L1lDMXLW
UVxLGKGpLa35jvkKAQAVsxQnIx/OLczhdbSD6MwbUqatmwXqPGyUal6sKDk0E0JH+VYPWYKj0pMH
+U9NnefVrgEAokxHi4n/0aJ0T1enHUKy/WENfqK/PYEGQnoBlt6m9z2vvIpT2GSocTl5U/9icJbr
W1xCjFmVi2wL36chr1nuXr+lh67M3wU4tySAfweCmhGcKy20kwcmCncBAt6nPxxAJ+WV9CEqXayI
zYP4yKwwR1imRlDPKYi50IqhkS6ypGCwJcYnKLYYExkxBlZxUdngV7P9mqTruFurhUexV2rN1o9Z
HyJEjxJ1ienkupYOv1bH/hB0SKIMSDf8oSp/3onyOd3NHoxjRgFODMzLdNWfFOX4eJPfAd3/ac+w
tj6gnGC17+sqade3r6+eqe6fLB4XAhZspmcBxzJEEPO8n1xI0+qO13BJfpj6G+URWSUlxsiuzRvO
GVv4N/PQGgtJum4VpjESHdbpPeqWeNG8fifP+xDmK3u485kxYmTq/NNxnuOlmrqoCH9MQ9SH14HU
BeV5TyktvIuUxDP4ky/gi0WmXwJuO/AY3DAnPTVWspzUQpREeN+rsesxqug0HRdMSKLVeB+8/u3M
Jny+zgQu+r8AsSHvvLBedPOmKmUeuD8WB3Ne/ydFD8Cg80SO7DtAomaJKx2O+Du9fuGXX5I9FJr/
uhG8oVM5ScwiQO4W5fAdQtwYrZtCmHM3ca2c1X39UietJPMIAay79L/phhG8T2c9BT4nJZqN9Y8B
xFEtjvQYmrsKRE6HejsmGqm8WeI1saGy5H1jXAWmDE+3YhAS0g04o2RJ0MZK6vhdUdDkBtY2NW71
ppzSPtLHcfbxHDu+ftMvHkwQOQHmlAhiOTb90ZPo4cTUTgtg2u+NVj13gc9EiWkb/WU8S9o6bD2o
+/R2/+SB5bx8MIaBBYALaWnfxRP1+ZuXWI69yD6wvlHJOy5VA9T1Eap+JDM6go5X0RM58pqU4h5N
OWbIOxiqNFS2uNm4022O1QEVBJ5Kq8Je1ynig9eELo7SIEMhLv1hlaLT19OYtgJ25zVhMBcx6Xx+
u0EKgqce+/ZbFuUopiINp9X6dkCmik21ajvV01k8kB1e44iS8zYNAEg4DJpQa4JlXPqp/s4GrItf
4WCm+hx/wHXABjv0Dn89BmCkI4kuwYIK7OcBlCjGX1hIlezUqVIDT8d4lHIMN54z8USyOjEh2hqw
DdU7lz5J9I5GlFq+rNqkEOifrAlr4QL4Icjba24MDlwfgNKMjSxqLG9l6Bf1z3AesdfeIMs+rG95
/ePgc5M3bM0emzLu0ZFF3KBSgSzCZxjUsmj2Izgg7AiVJ6bbqTceX0wyjb1Bht4LS5JlYcszg3aE
9AsKYDRRNQ1oaVRQ0aw3loCtXRTIOGhY12grDnPh8puhkxsBzBx58zo8C6YlU+8UegQcZrqD0aVQ
0AHBhsBFGnPpv4T9vdlczUq1DK895IS6L12Uo3uR+FOXX1Wg9SAkO8PSXGawe8eLEd0l9tKCxhNL
B9UJq7QIFBGHJf6v5sxEC9zlbZNRp+D7tn4jsSv4/QVgKj147wq0dYudbSfGmiawG7bfsKQmiP32
jaB0Mca5uZB0zLaD8bz56zM62YFP93JUGCmSXMwglo2XrQFrMHo5kqfHRWYER81QC6Pnx1X1S6DC
3iaAysYvzLPKyoum6kdcoJwsNk4VHkPV4peW8D6yjdSi4+sR6M12aWPFqeXRDmXTFElY1O8bFbQC
aQTPM9sF/SuXd2pCJ5Vdk2KDwTPzFpsPhI7rJOJAa6SMvAuLFrj+3lEIsobtMhVcPyAwOsmHqILA
WexWMUbVfJ6EzQT0JF0bk7sV1Fb8mQ7JFvkSRQyq+qqDQdHgFYTkHncs3IkosAdm+mAq7CZm//bg
hvlqaeR13nQRo0DBp7S6pYG5GwsACwVPHqAzeZjbKm5J8+35l/MIIrDY+TG093Abop6lv+uoQ9Z9
5+GG4R+nMDIu0UWdRyZvSyZgzNeDoR9/zkefH7axpw3BvfBjs8Yd2mrFr3GZ6XECeRFmz1WkgP6x
gG7D+qR2aLaoSa2nWxk1/LNzoooXWBSK2EDquJJlwI/jPacgX03wMF2Te3gFvXmlseTiQ3tmqTyJ
YCBvRIxCOt50K/ISOeB91uJ0qY+gmYaivjL6Jnxg1xvA0XYlFzO72suZY4Dsj1dso5eoQqRhV9i3
GI/n8bSDFCtMZMqqjCY0mr2HAC0wyZQPPqVvoytlMI8pQPT1baD1wvaPBgac/j6uZ5oQJAroWQH+
hM3XQ3tUVWdvQ7Qg8xuMvvIExYliNE+4yfG0dmDAi2GyzvPBrnJNc6ZT7bBdqmGwZoTJBsCBSCoO
PJvOj/I2uG8G7ILQ10QqIG0/xHWX+MgHDm28RNuQLuNc7QnEhJu98tIC7YhUjm0cb0by9gVvGBf8
6zHxmESl4BtKwmz4fWWYgMsCwVbznZHVK9ccH7hsybL0TdlmoyNgTMWD2Tw5ksbsRAU3UR5KVAb5
ycY5lT2U0L0s08t2bVf+rHMhCsDyCjDC+Th0Dau0q0ueR7NZbMsZu2vo/i4ht2i6kafUMF/gLIDH
OvNZcWebKDiy+OxcO8cVZzrYSs78JiVMx5+pPjFxqbShYL6LVWEyQoDYKeFJ+guQjUuVIbJ0PbGK
vAv01gY21NT1nm7PefrGEzSiL+Yfo2oASnyZLRZ+dlvfQb9ZHgiXHEcT6E5OeYQUJG9e5FfmkFVq
NL6XSxjkLWMFpjLEBx1lln+z2Br7MaTDaiDukmYcXylq+7ZHbN41KRYy+qX+Xkcd1cjvOoSobxZn
hvPbYm/bE1Vxo8+K2bPO8WRckVgEIJDuumRukr2P9Gv3IXn0r2w5/PV+0rPgjkUxW6xSi00fL3Yx
rqTTxygfzQr+3tZ1Pps/0z5iANCEUcngzsPWMuF+QAVjNahWmzX2RB/384ZMNLV5P6005831o4Rx
zwaTPSGv3ZywuxtidB+AXK6OxvKlmav+g10v1e0zL8GwkVPJbHAa5feXhoJ01fPua07MXQ//yUsQ
3ZHK3iCepCAsMaiVzebPvoIVxypChWpymH/0+g++gj5IbRfHs97S6gtIjfHf7oIFnaKFxnjlakCv
r5gMxvgI2f0hgRLfXj5aDUJfuZpt25GHp3aDaeGi35mLUImLQaMvsvkH00HmFcJoXQowQa9ZD2Ib
4zSgbwU2otss8QLr7aMNISIafdGCmxJadvuXboS+5Q/rR9WwqzcA6v/2JKxQ8GQ4ivJRui4bINwy
3MX/PwaFReAxfR2FbMXG9YYAFNd/YVPYRuXotjsnwEENFTKPhmd63bt8meLt7+zb1hX2u+/ntG4B
+c8t0w4w6LVXy+Bu1oGU/k4mc4+WWAvJlRwFrVbcOmkOzrwwGOaYXBPvgoIMqveWyRwrMYGEl7uL
TPrYc4DzOmRIOhIaasA/hJIcepCTHAoGKSlsCA8VlOhyhTVEShpk3cTREyDowimjmiB11zMtBJ95
GIPWZH8MlE3lIFBY4G61PxlX67Gr8/Bz0AwY1Z0h/CnK+AzSOL0GyfiAMBkMA5l9xPhBume+G5AF
QxowWXRMK5lYVkTARObLxJqTmTO8HgJ7j0piuHrH2Icb2B8blzrbOq/H2uaLkpcw3TJK2L0JiHXl
ckbPUEtJTWYdKxYIWSlzckbdvHCnPaM6rj3C/m+xmPODjj9DAGnhw4zHKmFmwHad+wdoZ+Jk6YuK
X3ELJ+aOGtrDTn8f9xgR5GeP/t+uGvvw24wxUXsIXTAObwDCTByLSkqTSzVSmJQli5VZI4UhnXJ+
jdagy3iHqDB6SRvOQ/oGGyGThbWN7T5g+YnhxiOgfWj3hJiRc0r9PsGg+LGOJZq2RLQwBuLSbBwv
sVhImfpF3J7pHL7Jr2q0WFjCDBg8uR3xrmT7/LUSa4ehJ0wNmtL0h5qMT2xr8O/+rnQaHaFMaOH7
k29zmzzgPciCJPhcofBUov9vHiMHpuN8pPwb1W3UJQvf2Csah2c0DhOctusmLac5e7siVZjEX6aS
wWl5RMUsredzn3R0ul0F4jkoTqzSNJ/6Hpx5dg5ryyQVtoLSMqOoq00hHyE+Gn6u6dc5C9wEtA/V
DpAPWUqKawHH5dRKRtdHW6bDFL1dVea2OeIKCEjDeFl98x54IFH4qhOzy+kWpo55RXCHMA2vpuj4
hWRCr+i+cCpK47xzzAbzEtwp3bPOFagTG3qOOV2zaUo5NMd2JlHdep4kC2QQbPJNFZr9mFRFQWZt
swLFr2QVDT/w781vk5Wg8jRXDFqinZNxXyjpZMKkhiVC6iaZ96S528fXo1QBSw3ToeWh9sPiqRrD
ClCUX1G4SnMgMwgEC97qjr1QbXNNTlAc/N43e7dq3Li5qmcnndQuxdCUqS8fgIz3rpqxQ8i3UK5q
rtWsPV/BllNumhUgaYpdPLWUfKmAc30/9bi41ZuhHKUiuOjZRw8f5mHZIHDtss9q2zVFYCEDKjYb
eWUeyODHpJcUnjxnJC5XfenNLvUTSjIag+fFZbp6P2UOvJpt8pj5QIGayDWGNoKrg/wV0w4NG/ih
Io7WBqmJw5KmNtVXk3YeP6XULExXLNTqv3vIe6xvGRzZwI0ymVGOILmBMdgxQvVlvA3XCobZ1pod
1t/KYlN0A5UzWVi/OKbIFzHYBLVJZcv+SIYk5ampmoYudgiRxSA9h2vdkKOgw4/VMUkIMWB1Omre
807IZoYcOtVspxCEEB/UJ6sJlZKYHB6lCFDJ2iPiyNY/OsjtU6rggKi/P756zVSZ1Kqy6hj3DEOE
GrqdmnBJYGPgt8BtMip8mKmC7JubG9tflobhYLqaijuILcVCzogh84rD4UvlVRiWPsmrnov0DIv1
ZXwXLmLFI2HEEOEYAR4CrzZCmMN92FsQqhSHkEEfHxP7qidWFV1jMlEDIybOzI9V41Iy9s3Ou2Ji
Rn5Fwj9C46Rz5VZ7FN5MFfhYWFTJam66xVNQA97ogBNKWK4rFa+P0h4bnSLJZvfPWdPwSHNnNLfO
GJ6TcL9ALFNqby3IglwJSXOEX1w1OwrTUROwFI/RAmmJJ2X+IK47rEwGMg83a69dTIWuHyNHzHSZ
NUQ9wezK17tG/9AziugJAjoCfRg4pw3WCE4m4o7V/G1JlKkz4SyBf9ohwt5V2HWOPd/3D5c87arR
poKXEUDP8I0gx6k4gsZ6JMLkWH0LQgR0flWPW6NCgIij6/Vv9/JSABxdIzrBwIjRlIGsPWmduzCu
AX177Td0rk18akPfm0gKCdbErtev9dANfNo/dmgdC8cLXMCc4cup1MCcuTJSdd8Wrx4pZFCTQ3Rk
Gyg/4zVkEmscGFdkXMv7sfEDRtUjCm1RtZXKpe6mC2EmGzElr4k9j5H59+yjQfzTpEgiGDgTRNjN
/PT67b9YKvzgoTSgC+JRjsOaeb5US49kUYoY3T2C+wv3wQFlykIOV0qo1y/1Ys95NIZjRkFMgiDV
nPa7SaNyFx9KeR9nkTfqY6KRrfzorMK8ImGSzn/ccqcjFIcHA7YWQDjTBNd1T/ZB3w1elNK/v8cf
2cQooDl0EcecyP4+dWNzZiUxJuMkE5qff1aImfQ3RLs6OH/9u58uM1PTABKWmaryusHGer7Mc6MW
ZAJS7ys9CepmnWFz+j1qEBv7kyvY6Sq7gWfzbcEVczWaYyfN65LEEP20wvk6YlZVXilZmdI8L3yP
Qz5zTdb4+ld7jmJmaAKanLYzQ15EcQyU/vlXU0W0Ekx0D+aJOVG2x+bDhDmCoua5Jn2HdTEKU6nO
4q0og4yT8fUbeBDxePoGkmrBJrY95D8Qt4E89PwO8KDPKkeK5muXYbLc7JllreWerkcWF+gum7Rl
6jOTGoe+b+L376a4FSjT8qpDnICz8/lxceoiMC0eWv+at7iFBES1sFZRw5GAl20bIaELdjGCr+yU
2KEZ+VFzWMLmbSFbZgnsyGzjEZ3IRZQYaR45oIjmnPSNFt0ex0ogIOc5o2WQpC3GSFxmmAaTdlm9
K6hiDFyHZ4YjNbmNANLJx0v4atyWeGzQD6T2RE2slUzShH3CQ8bnwsuXRoqtIJLgbDyz/sif9HQm
3WmB5H+ZNSVt2deX/8WGQ1sFc8YAjoTrvdzaI5VFZtmr/oKEFyz8YyqVKYHiVZkM4HfL+vVLmrfl
2QMn1KLGzYwGXDlUypM9zqAM8vAQzV/iFCE9bz/mcVheBegylta1PdjcwcavILfKw+IkJim0UADi
X75+G6ffHIijbxM50QrkH9EpKaEJu2bmWWZfypb250Ve96q+c8sZMXp3UH+wAD2NIMb6UXh0ikJY
KRBdTjY52nppDgxt+DoZE9yPQSHMtigKaTKr17+Xoew9XV8+HeA5DkehYPLmwZt7/kKlQHSqqpnc
OzQk4PYntC9Vekhpo1Lp5mDyeBcYeNf8n6Bhw75cApSkKNaCPtpI2rq0YCh5zPxeYqdEHuqsvknU
85QKJRMEAYhlBdLlW3+xTBsgUmHLSzhFoWkTlzXTkdvJgnLfbCys/8BvppaZFDlTbeI1BUEJJxrZ
4VxXh6a1U/8RQvQf0fcn680a4Dbq2byn6MS+nJgGQKHiOhyXO8jo5mSGMW5eOWtu6dO9vt6Gnvh8
vQlggYANjGoUff3T/Ty34Mil4ye3kd8+XGsMaJ2WU2dS/ZFQTwh6nL1XgHRYhWZpTJf090/9NJoO
AZRpFjfwhelnUgtKIp0LFIuOglUWo7W+GXhVsYrJZV3OSDyOFEz7EqAzRSMOp5Qlvwd/TIvMEMmq
Cpd3Z40QTJwOU1ubB74GBVexHqbjoBHNhSeHDqjaWUbRlvHjowO9mAj87U6hfWQqo8cRGm8kexeO
vymek4Quh7fRTj3TAnl9SaPnj88wm5jk29i3Ys6L6ah9soU7vsEU2TL5jhOB+IwpbYBCN+PRY4jY
ok+PP8N0wF9ifAvwft5JP2mOtVtWH6c0hxfUoM/P0DT18KnQ0bCB397dJdSvw9tqGaZsm0WTe8zj
4l3dCPv7JP1BbsIepvuWWU54MwXocWV2PlxxImUr1Xo2lTtrKLxPK3Pk6SLBaynYyCq2/R1dw/Kj
tVooNaoKBZUtyLu3PqdSefAry7sSup92Supuz0y8+pgxw7+oKpcpQWHEPDhEZkZ4yqm+gpoILjWC
7pC9EeUCpS17cetyPt9LRDkClPHDjBaGUdDAB6K5nYU3fsyRVgQHZVt+s7Po232BCoUYkiX7D6E/
DKRFyXgslhFHQIYUctswL1pAO8e5tRn9errAV34PWn+iYZMVxacRpTu65slYoqTQt7crSvE70k8L
nU7L8rconr7zlba/YSQ8fHXE6t9lY4AS0xLWl6UAKolCeH75+o54HqzZEIyVCWaQ+pjpkyicbIiW
9o/ogrT5wfNC2wphm3IfVq1CmLS3w7vXL/b8hX68mAAoZ455crjTjAStEVK7Pm5+hLaowQgt9q3T
SBdga11eTb43Uv+lbf2OESEUwNev/WLnP3xNsDqMbAjip7CJMRjiFq2K+kfXGEyrV8lyOdQefjh/
OCYePunvY/jhWxp9P/I+mD8eFrHPjwmg16WLtHr2w5lb3hnP5bjYtBQ8+W7JKvG+cevkfT4kltzY
VRDLnTfJvDpDmjncLZApCuQ6VXjTh3180eC+dcd5O5AnjZX6WNckLwCya7lxleO/s6ei+VWPSBU2
tGffTa52P8UFderGaR10qdBxufFqCIloz9Yh3ZuSWZwzxzTW+lj/KNpUbQtMkA9OGtj36H570Fli
7w+50Il1NEti0gDSINYFmWD3NCVwLDEsfqTXH/5oFh/njuzMa4vquKwL+ksxCvNWvOxGN8X4vkPq
4ggZM/iTXW9gVv7ZkxEGrGnwIA7AMYiTz5+MUyY144MMA5Nxxc6ravoS4Xa49buBKYnaTSClj6JW
Cz470Dne08Cvjy19qytoSHhcoC5u3axO6h89LOOYTyTx1xrnFdwkSusq1414oz19BqTdu6UHWt20
Fg9tEzIY09tVLYxdEBVPtkLG4j1p49QeUP3/pcMiv/aEzM9KOsXHPG3lTR2oSu3aZBi/6Sob7+zA
Ld9ZjfEYDRdnPniumnFP6PP0dq5itIsh4PAFsgVX20mljABE0RXZVnAmfvChob7JM+1/cuhqJxuG
DsHyh21v1u50bSHNUu6HVLPilLU50hLmuQssOhFbucbQovgIPlprVNEa+9qZqSX+cMUT9jC7Svwf
e+exHTfSZesnQi14M02kZ9JTdBMsiSLhTcAFAk/fH6j6b0tUtXirxz2ogUoUMwEEIs7ZZxvaLFi3
8JEW262PbpbkpRVtydH5mjWZfQQ200oSGpV2BlCZbRlE9Oz0Ttx+byy9uE/jqT+l0M+vCV21tn/e
Xd69SX69fEpNtk+y0THPNj6SAVtZOp0fV9UrvkJeQd9eR891O5OlJZD4rQQpNyAc5eLJhJ1iotZZ
4jr7BDrsGpwkCEIGnmWybmvXeyTPdVygXyD0SuuS89xNu72wrOnCHZL4EDtebK9qBLRy1SnDxGu3
0UuMIw0Uo345O81O47Zss7zXzgPXGPkB6WnosRJ1pSb8KNcZQaLbWHJ6h7WR5qeSMS8VpVWOMSKs
gqzRUWbMcO2suHdGWlNqke62N6fqkJQFOrLWKz2dlci4KHRB/a6sIK0YucKom1b1xFypdwtsf4l0
ac5lE3QdgcaNC6/WJ4boADmFzAAdH6cHwm/TRyKK+jc7NYne6saMqJo/P53f9x9WSgBpDuoavra/
4XqWKaHATjJ/RYmue4gYguwbLA+FXIJHRk/lfZ+7YUlm076pMSM2R7ljU372NX6Vu78vWHzQKZuR
0Ac22MCv+w9Mqa7sZq94jUpXDev3B4JANilOaUHakz6j+sALetgqF2lXg+DxKfHRg7FOZuPuk3vy
Dy/sYheyeGuYcC0/MnbncpBjTajCa+zp7q1wje7GLDRtvejEzzgXh4uhEP2xsavyUEyWcd5XHgfZ
u8fXojuHkFzJ8YTFlPUGc17gbyjS/PaTb/lbyYDUF/o8rzicaZrKD7dsLMlSCYQ9vIJ6i/gLlYXT
hSCJxPV1Okp9jDeZKXUzSdB+69RvyUwq7mqOzEbuLK/u7p2giE+6J/MvJqpWJiScAts2awtud5yh
Axal9vd6+z+dxSc6CyjgGMn8QWhxnuJ7OrTpz1KLv//R31oLP/iL3oTm0iSu06Ra/duuIiCBgB1t
8Q/mf/7HqEL/CyBj8YryeK9+DR9w/8IBmAOHHwB9xhnn32gsYFj/crw5+LRgSoVfhrPYXrAeP6zD
1nApk0ScHGdHx36CvW0pCOwsMtUKSub4pMelR2amU9+kjaouZhloMBJL3QirYMg2BvJTkgLyWW1a
c8ovE7/PSMHTCCUgSWs3Beg9e9iaKwxZGrF2/Mln1hKhqFxFufTgXDrJ2QiAcNJj8rtXNSxjeLf5
FU2wvyv1IEFVHXk7Oy/sPsQ+NFp3Q+6+43yHHIj+fOgU6k4SnzUsUKEOr4itNs+8qZbPOdtRvp68
iLkR/hdkQJr9fqwIeqyFbQPpERN2GPRveT7XX7288M/n3CJOsZ38fsMPIG8b3WmbRxMhQoy8443h
BmSSJ1GtHwwV2fu8NbUXjA7EG2VOcMlc2T/UUdlyXJqRwMWnMa7AcYYdqtj2xu5secxy6NsYVhCO
E1qZ+UrStx5mDho74kIt4gehSV3EjGTPumbWXio3XqrepjYv0NhVB5WKxzGYxE0mTXeX05h+gWjb
3wZBP+EFqM3tN/h/8WOr5XkQDg47iuvG2bBiLklWm18dikU+ibAgbQ+JE+ReaJpQBQQn6BCatnyA
Kk0O+FAV3wom2ljLIbExMGV7mfWBHR3IXJtj5wgXicTsaJ7PmqgYw8rxuq03Ma1bt+7iuKqrwWx5
nnH+iGiWMCzu0sBvK7Vua3ZkP5HBHYUtzG4ulMRfyAXRcMJwSdtnJMrtJhEVd3VlJw95nyY5Y73G
MjHUI1atxMvYIGvcIew0MRFaI7Ob8oNgIzwf7GDuGHnrRF4og2THZKY9hrmFZk522FUWs0X6EyGw
8o0kAGJiGnIUUmxqF/1gllRXqUsRaQvlneK2ntdMhIeV2frledPjn2hqlqFArKStrWpbES3r1E18
H3mz6a6CIba/CUqRBssLhyTBouWnqGL2czMj3Rs9O17XPi4sc+kE13GkklD62qZJyjFMsORzW+ci
JabwpfKs/KC3CE5lBuwFHjSonV0l09k89263zaDQfgnqLHrUSjfWjpFgjrMJKs/4LqTe4b2gy+Fm
hBwVQVnLjacexXsVxvD/ro2hEs+tIksvgOP3NW+tlmwF1ROcJxEl7G0rRxHZ+gHuoibyTFTKk72K
eqYYqyEyrHv0nMmZwCvh2+AKbPoMm0Ubepi87pu48sn00L1zSnGlH5iNB3ckfEJDUMR1k1+XLKlZ
sB/qrZ9U5Vf6luBLm9rfNF0uuSethf+Fq16dplXY4eBpUC0BuNVjFgNghUWb9R4Pq2qfes8GLlRe
1hDmVJPLro1DSRXqBKfEJNq06dtro6NgWYmU97nVCTZTfmtvfAKMOWs9dzWPROSReJmubUT4m1n2
4pjXBpHKOlEWs5VkPvfBznY1aZPZCjajF2pBo+9gu6Y35qg5uzrV82mtBX1kb2yv1Z/MPAk2s81m
Opp6o/CyJnECJ8KmOMTKEhe5vYTeBbXV3+ClYXNjvTJ7yNNMqJUwekuymUXDIYqnyid0STbPI5yy
dm9rPtWyHmAy6eiqu7Qh2r7UjleSV2hk45USSmNzmZNgVWsZ4c5YfY9bzU/EsyuVfEUTLJ+UXRnn
VpdGJQhO56uV5cDVCwPCSC8TFUREy5oNOv9ERocEV0YzpNu+jfOuWft5IM9o3knQKHIitirvaDeK
3qyqimt8dIo1WFp0yDBP2NSGLXYkz93FlTPsuiWyNwURGleEzrb44OaqCmFJuBuhT/N3KNZTCX3K
FevaGkoSw8lnWRW6n0HxNIpxOLML4eITZreySR9mLS6qvfJsUoUffZW7ublKWsvo+8dhwA7wEvGK
tsJA0r00MowVENa3N25Z6DeEVMekoBOo5vn5fBhjee/YVXUjyBW4GQxc3mG/ZtE91qbVI+bVaNQq
r5LHRMX5vY+og01K8lr5aVNdQcQtrwIPa/kuLpHVpLl9EcRlF9bjbKKIbomyNzjtwqlU6cVgEowq
fE+QL92V5QVhoXxdN9e2zJMTbgz4G686zjArA9/ZkzD4+vPUm+eOQ9IruuA+urXRYx2yNJd35M/5
SMbHKHm1Zk1dEgY+lLteE/VJYS1+QWx6cwsL1jvEXPgLpM8ZnlnrYNQihi0m7/NzbmdTHUKumvcx
DK5thkfxajL6YQMNYdhA6GE/wt5/PjP72cMKIanDUmZXohjalSNM6zKC+2GzyebRjZzJ9XEz8xzj
RQIuq9n2eNeG+iqevXS33M872H3GKcjmds924cHZaLVLxMijtTFN6VwXwZx8j3o73aeTJkkpEohy
WOm9Oiok8Ndm3sodxsLBYTSG7r6N6vJqNBBW8D5hYlcN0H6txiOxvpPxiAsLapd1n1Xgq4MViGtp
kYxIsqeFzwQGghsY6DrZ24V9OTB+OCfZZjp0HIzpCv+UiyrwX/Q6DV6MjtzAldM5AiJ+kTzrMsoP
Xa01oCGJ5mP5wFbD8ks4pO3CwoYdW8JtOmb5VRRQgjSeJ9d5b7hP8Lz8S5Ng5k0PplGtSJQ0oeVI
rB5glJlmfYs5/iMzc3waxgSTyjPRQdaGnOWbSTiWMnhKtSi/RafYiSuX+Wa3Z4okNPIf3dwh0dwQ
+gnKeco5Fhj4M6xUn6RNyMHPnSc7St22Il5P8CjUlnQdb9sErhfCanGjMIvlNTFNdXYGo6Yr90Ov
JY8OtID0K71IVeF7kOvOppVzGy920JOY3XNsaXAQ29UQbfThyJI12/zoYYWvdV9FND9R9k4Pea5V
L9k4mfdBP3h3hoiboxDpnSBGc1Naojx4omtCbxjLEB3DjVvMT2yAtM3J16x3n7xBDt+seonTtFuH
2AYHs7JAy/YkgRRXwiDFyC61Ew/HXPkEvh8qIgverNkZF72CyPOVFJaPldCQFns0Nv01nGamrwM2
hsyrWsLH7xhDtZtyNufrZKbeWfW1dErtR5v8f93TZ92Tbvu0Hf+zTP38a6uKr9X3X7qnH//o7+7p
PcLNo193UYJDZNJp+v8T4RaQ0KMzb3QQxUEA+u8uigg3DxIILCTbXeYA5LT9R6lueX9hWWvBFkGu
TDHy7yLcfkUcHD6ecbAO4IAmmyniO2HhJ/5RRY5BW6Kf3Hux4cwr2JlQa6dYfSkN4t1jclj/Feb/
/oEeJoUAHHxzRsQfmjZMy5Jem121JyqivYZKOIauK9PdTw/h6gfI93Oiz690mvdPYScE2LYdsjh+
A7d7ByBCEEq5Z/rOHm5O4jqvqRRTz242SCuKlcHJvrZFpi2F42dycugkv/am3NelBcbVD/yVP3xE
cjjMfXQ7Xr+vCxdTnEkm8xaxrr6HDu2fJjNpj1M2tcTXUUIReBpZKH7aJtWIhGc0dFujOY5pNn11
3uGdhju5Afven2W+ZTdb1EEIYGjCaJpwlmkyF+g7wkUgxLNOvYle5TfY4ufrGbLzPsG6P4wgZR3p
PgRhe0LtorGkt2hiA6cwkEYmtaB0815HL3LnWmZz0crcuDOJVr3qrSE6SrdrvvplmRKcXo/qLem4
orEqxvtiqNQOIVF1igzm622U+gYxnGZ1gmFSPzP2bp6MWOcfyinFUl9MJr2oG90EI7g+3UGDfQ23
Cke0GNzACCPftq0dvqlcpu515oboPfMOlyJ/TWucXDpirk7QXVpSO2OzWDVe2l7XTE/j1ehJhie9
5686N5nPZ2siEFAv5Ro5aXtEJiCuu7KPjvPgTTuXDfggeioeg4nyfaaX4z22Su4tT8fczJ1ubirT
KcKBE+NFQXcL4cKyhmSlsFOI6idCBXkyoqn0vSsD3iEUBJB/K/IADC3dC5GoNxgI6gucF/VF0RI9
uLXvn7BssA8ixnkeW8HuIXsPK6zr4FSWPnckyISdrexSgp27qHNwvC+aTUerSiM5mhvsIfKbxqVY
HozYDTOzbl9wJgmYIUAxCRGNzPGeoG88Zu1BvJBsr774Wq92LmXAoaZKvlAe3ieMSZGodWTbVxvd
7YpD0/mk0RG7u/ZsbdppRpTfxBI7FpdK/MLGcDYs4J++5rrSl7i+fEuBprNpGPVzOonxnrJhPif6
m19lJWpHjJa/1JHEH+AeeRFRMYWuJpxLHN/GkJAfc4NyNlj1QUJYQp6zFMekGl+hkSrY9aZ9Gds8
iWgMiG4nS502iejdddEM3Nc8bgg3CBymu1EGf2nS0mpdJ1F04+qReHECfT6vZKK+mLIkigSRyLpo
Rb7V8qr/jsWccZfaqVwncTFvDRIhQnwmqarQ3MHHYokW1TS+qparn3OFZ5qYeRK2W9PKGqz/Nh+b
pyL2omPR5U9S64ZjkrblZey/QZ5mxojRGQQGTNLMQ9I5z7qpxCNKzOE+hkuZrExS1HamXmPGYZNp
GXnja28jl2qwOD7w+WM4JTwo19P6bSTs5hK1io0BvnQuB1Qld1VK3M5AVMkzpGRWq5fP29aM6mer
dNRZZmnO7eQrv1kRe07ZWMn6awwfvgoZAKFRwuUGjyYuDj+ngqKw024Ila/6NTYg87n0VffQdFp+
o+re8FcYCqONxVPuOBUZxvtST/c9siMDueeU7pwpbV+aAsopqzbHx1glvnhkiBGcMh3p54aAE1wN
XTP2zQd6MSN3n8aa+cJL2g72U2pUxDntR2uu7H3azxoWxjoQwLkSElt9GVuDfWPlih7TntQXA9F4
WDN2oXlfNJkEwrlb1qGjr3oTMv4y62BrGqoLBI3mqmeFHW0tv+r1TrtGznGjOcOFXTYl1+4513Pr
sHd6k3VBhUa0Q3RRMilb6x4vEZqc5ADX4kvn2MZmKOgtBlt9S/2S8Opx+J4nZnnQqpjoZzs5JLOL
s5sxNKe6HCWWh8RSw3DvvzNjEJs47YgsF9G2kK1xnGaUKQYuWVgwOfE6buL0wp5tdU6LPmLuMkdH
N/OPWg7wmBaCAGpGD+IAulqsTW0iQFvH761M87HG86B4g0bcow5zKm83dDadu13dMPtMN9hIBmco
xAkQcDO5dRNeWJGVxlmqomkzEDp2mBUP0jRG/aBXpP6UXq1g/Fr+ppZEEDcW3t4j3gC7RPeaEPoY
gZNIYPdDbNxiFBZssTonF60ioWhjcu9fkDlJWMUiwGKunHmGqxgvrb3ZpJDfDRLI66g9oclAnWrq
wyGWAXlUBbw4jjD6aBV1L1Yth13sxJx5HOD+dkw45hZkZJPBZbuBl2Ss0EZ0WxwdkwnLNA3M1p+e
fYfYUmnl01mFLc5imJM/kf1ee6E7uWoXoFGXoecSPhc4PpNYCA5UiJa4pjrzt/YACH1o2F/1tWIT
STBaXagQDe/VuV10zRm94rypmasfzKnp1pBReKs6XD2ZJFY1K1D1hnNs3Hb6MksrC9sMcMzvqr0s
oBRo9dFo3flrg8fMAfvH+Y6s7zoOjS5g6u4EKK4idZXm1rweowE4p4T/4yLJYrnnZLPKGK4o7Nhr
r7NzigNlDKSWyHKlN/5WIDPZkAY3r8gRg/gfWNmj58YYculKbu1IjSsUntpWJCRPDHF5XRgaZ3mq
y0NK5ra1ssdxHWtxcF/4sbErUla8a9XJwR+naBPIyD5HH2OTvyK1G+bx/oUhZhpchmGENDhBYm+E
25avdiwuEvQ4pwAEAJWslC0DTEjH6xKa+XnD2OwAZuiR8ZK47VmBMxKhbZ6yV54jvWxlyqI7W1AL
P8yMTH9tyrIs1oit3WmtZ/p4gLIboN3T2t2AK/yTLIY0XaOQy052H3cvpZW5+rnR2eOMk2UFieIp
QK+ylwkyhpVeVx3+q0vSi5c447c6M2qsM+VSFzTimsjgYu0KcPaNP5bpmTYVGBMR4J55LL8yOcBQ
bU+B6Go7bCecztASOukeuCvqwgzd9SXxRel+Tqrmm9n4Whe2DSm/PBud/p0SCRMJzqHCmAGKu+oE
ucdhc276734aSbgh0qzzrZ53HDiIBdVbVRT+ulEaMWO5t7wDOWWCR3pytI4d8um8JCXBL2mcyzlN
tRsN7ITLhcuxHfIUP1qs+2ivKfKSte1OzbepGeYGAIGHZMyczihLxPFH8SVS07jLDNV9bzIvw/DC
ARhbQcbBe3BSytxQhrq3U47d2mopGIk+GW3CVhKzOGDGU52Kdp73tt7hqlZLNuMWH0c8Kk0RrROH
rBbA2Fq7IbQZHpdpYcZfUmlUjttcxPP7twgEyNUS/xEJsWzKc6neIG2DVAQe5UkghHHFNlh9txpE
wtgVuCOn9shWGS+OhWXL11Fdo3aJoQ33Sarz7Ayh+VWIQk3tYkYqZ7BzuP5hlOsYUv2upth6wmIa
Dy61lL+BWz95/VQczI5LIIjRuPPLSb35CioIRiD1pspScstS2amVIt7HBCO3ikNugtP8uYcxfp2z
Lk0MdimQliwIYRaTtqV3+6k3G2qrxuFT9HvghC4JmUo7l0iBzU3cy+iobIowaOPNpo+hiXmQtDZZ
51j7ua+fY1y7brTKEsfOGtUZAhYBwEgiDhlO0xdJlbv95MvSkP7ENfnxZX1jmaTjaI/D8ocvC9s9
90bN6vZaaumYvVbuLf4ZTqgbWXKpoc9fs/3zUI2RVZYjsV/rnA3HvJrqrxlR2fg6Unj8+Ut9cPVa
vhRkVQQcy5eCZ/Sx2YwHwXMhXXGPHk9YISIjRnD+IE6z1MYdWshkzXY4b5RlsdlHA1VL1tAwkv3C
q2GPOZMqWxytwp33Q+TU3yGFede+GzcbdK8EVGttLVaix2P5z9/8A4/mx+388fQhAC7ioF+ffWsG
eb2EQe9jzRRHZo4k8HmdV+FvL9rrYqlmZ4vYw5GX8rlTJKJXsuJFG3rn02b2H76MZ5k+4IXuByhj
Pg5anUEjcFtJzFSgEIXKS5tsI0pCCWs1sTullVzjDuK9QXUb9ykWBFvMiL76WfOAxSk+ng7lkubI
GL/nsj4fW9N+GklNPE9nKz/T9dJ6Nm2c7c6JTa/GszZJfDxPjHyt2ySfpxMvNDmU2T4OUudSN5Jm
004l9WpBTiUF5LytJkudYUEq160Y5LpedhiTuKUbLJ/cW83x1Fvpx7qDys5m9GV17LGu7VL3QpE+
DAMb2DIWpZEmp5PwxZwfAgVmtbZxyU78XqtP1SyuK5g47CnBUrbnFPQBFKOVrafuLYOnZmNOUXOR
Q40/ZQglt6MB5BCPyXiPgDDG+Nkxi+fWYgZ87IvZG084NcTcpBTzTG3q+mnjxHmikzVG2KG2t3Df
sNrQMXuts9dcUGXe15FtrDqxpIh7qC3jQ05Js47m5X9EFPTRWkeCitozRY4wrhwq7jOIu913co6m
htOYmr7VE5IKo2hJFYiroN5MbMI4h02U8t5k6IxxKfJpp/U93TdbrG93D3pGq2lWhhN2jla3YQmh
63xqadz8xG6+qWwgOy0lvm4Yqa70XPJ2zD0NBcZEw32fFs9eS/84T0bz5MvCStetIi7m/d4FufTT
44xJbsiho920mWkdDA6O69wa012UJyx8Et6LAxzi+uuktPqrrQxqQ7Mw8QSeeJ5W77dXdKLkJiPT
XQ2Spt8tqu6hKullpokUUqiU9XO/9HbIbQoG3P0oQxuLvnGlCkmK2RwTTtsRHJgxwlxRO3nXpdUO
97oxmBsUmvVXhyHQTrfpsBqD7nndVjMnQI+b9oOZASgJUTQXvQcXZxXZ7Gy4GPhrC9GLz5/t3gtr
RrIjntZDZTCw4C97fRYvdTVxV8oZlTrd4cpJ7XlfJZyJ+BuBypmSIwdfFY5Q7ALmraM8AKDSFI+S
HMWTIYFZuiYJTrHRtIT6IY93mSPsWg7QXUXuQMjcdrz3YWGueqnSnb8gQDAGm4syBx/C2BCEQFbz
m89bOm9Sf4ZZ7TKkmLzmWz+QKC91J740KjLSSkm4PaxSJ6y0pXBevvVkB4BY+M6wMOpieQaWLA7G
8qpOy1mj47i0bgBLnh1BauTUlhnse12aG9ToICNL85pOOg18MtniWsfZWYZ1RinyfhY3VQxDEqxH
neUYFcGdayW4juVyqxZQAv89dTbHrjqfRtC192VoTkAwLG+h76dBU+d2DOJh4dN4/Y74YP6F7yQj
49DF8wnSO11wURnpnuFoGRZoH05D5DrhOzygxRq3wRZ0tgCO3PoFyJtTRhF5AyAkk+QNhYs6n3nd
qsVDmWIEG00MEWLQK72Z8hvR2FAcKIAD+hRKsqH2pisxjIBz2EfNsAH14jDNXBEaHpIU45lXsA4k
EBzm7sB/TDBClAz1BssE4AyAO7mpSt6YeCqdSzN3nVsKHp2Bqjt2D6R7gwjOdi4eZ8sGKHN6KV6w
1TY3HWOpLxXGcXj8tMUB4uXSN9psa3T00fEdqdF8aguf46ZlHJbym0oTsIfk5GZjGXz8O37zfmBP
OdhtVSf2QdO1V12Hw8tQWOPxFSXFkuj0fPtjaaIM3iLiLw74MEc3zEarE8SQfC3Q4Z78vhOPtQGG
ZkC/bFbDUitLDM8uR5tOK4z1ns1dM7vvdRHUzxNWftg7ieCEnGPe1jLhFiaOaF/0yuKB5PlgbDra
J7zGKc9RvgenZT0zt2Mb7qK6Oyu6AkSSbDtq3rzln3Ogq7Nl0nuXLKg3NdJyCtCgPRs+S8Keh+77
IKL6a2JE8aU3NMBG+HKHCMBpANiJVgU5yARAcInv5a1PuMQ2zqv8ppTY2kC0Z0fyDPPu/WwweiDg
wY+TS48tH9wJEJWZvH0Jn9nhqJABUfeMHM+Fys072aoxDEocXt2aStimHSalPDPuGteCQTLwICG+
FwdV6NVptobq5JgUseXyDKA+NE9dJ1uMTOaa4hyL9Y1px+O9kpTJ+Gf4J70uzDutrNhs2cce6/cw
aLeIjuAXbvgOCcJgtg++2URHglPlOpsoQTp2k4ZBf5dvY9SCW1FPFEo9zU7Ji70Qh0BBaxSJodLH
+rkwNQBqCWaMYxutQk/hbCEVxu+7a1BSLIvnfZudPO4GyJE6a2s7fqCrV0SAmuXST3QTKFRrTVct
oM0XZpTzXoMqosIRsculp7O9JSPvUR5YnFpQRunxLNYaFuI3kwQvM4upTA/om8VRQlv66i1bJdYg
5qbNrfxyJlKMR5mS1BNrGFqIgPMhATLhnWxBp6veU+cQI407S3jDq1dF0465ZbGqKDatMA1oQpqi
br51JbSNlejm4pAxk0XLlCaXJtrPcXS4a/MS6WD6Ca8KbhkSBITkymqU4pGqJCMvdFJY/pL3GVC3
DE56ITWdTVYKyom6jqhm1ajW48ADVzACznMTSP39j+8vJqZUHDH4Z7UvjuRMbThUDhWE96vJ1NS2
JJF7VyPnwjyPCjf2HDYZpEDxpd14s4N2Kp3PMRimI5Oe2k5d/jbYc+1uko4G9h0o9rrm2TbpTOVS
BahJ0JI15jzsABK4YnnwikzuB98mjj1O1vMyiekBVDaD4/FheT34xz7q6/8bVf5IEvtkVGkgGfoj
0XNLYFD6/VdL7R//5j88T/0vfoWOKMcnHAOVLEOtvyeVvvcXQx93kc8sQjU60v9H+LSIOtSNADyJ
XwbrE+fs/4wqiTNzFmq1/y7sMN3A+TeEz9/aYZdjiP0XlVyA3PFjSxQj9Zz9ph72pjkgkSnygAEY
sfbByYYlQQPptBW7/EAVEaCo+6Qj4wJ/7m8dnTbSXBpcfVHx/ibQFyKegxFSy04O5rjxFLGxRmoW
a7qhcv/n5u8fPwr3AdgW9iJt/TAiba1sNAzEJgwaOGsL05C0LJRStInif3FV3MqlqzN46B8VWLMx
5Y2iMN29F/8TNkXrlrlO2E/e8InO8cNI9v0GQtJlCG6xKODs/trRQrYYcjwUe0DYCD2MMom1GNy3
aXTXVHcZ/AkLdm5EsDEJXPW/mzr//eH4Ji+rmIyaD+hET+B7ZEE13WlYr6yMbMIlBp7X6d8+OAeH
CojPzLVN9BIfPqWLfasbRTTsWsb6LWtzUZk5k/DGTdaUzDf//HEf+M9clGMSBLiIuOjOf5vdO2I0
rQTS0y5WLjyevH2ljX8jJLdcGUV5hpnk32Gx/59KY1gKfCIjFJOSzLARkn+Q0eEonknfqoddBisb
b0m6qEangfzzdS236b91O39/CiFRNCA48qM0+HWl2PA0q1zkw85ihE4ms3biIL5EVWOG8PKcH+fF
/3hN/3QXzZ8+7cNDQzcfC2zzhp0/SgPtNE3DSEhnk+XkHsJMXrV5/u3PF2h+YAe830cQMagdBBiw
INm3f0b2VJK7vpS8dkbi2pd2bRf3WC6hdalnfz/ASVoP4sYblR9C8uq+u/SPxwZob4DVuxuB8TfD
hNKolV7zMk1YtSnXDlYmKuXbuVVLf8JQIQeg+vP3/mA3/f5kFlsQcMnFoeC3Fed3sYs3LK9RKgcm
EDYeld5qmpxxo2mgfmlniLDxqTEt7t6GQst+1mcancHwmwuPaElcRuPgEiOc+JN3weGU+bhogKfA
SXnDHf5b/v4nsDQLCqK3nKKHJZhszAiHIHIQJwwd3Z55btx9mVKwK11Cgl+ji6+OU5W1yMxLxM7l
1I+rEV4bOZbZSqgK5JdApTXNO3NuBJBn8WC2CFtm7TBjrLEWY9+vsaJpiNFpg/uBNKX7fvQho2Jt
GrZwBLeQetCHWq2/Gerp2OcttoNaMYR95NDLF85ZYudfBul3kGoVnHp8QLZAQ+laav1lHVDVitSb
ASELa0UwRHTSE6U/aK1AClDlWhg56i1X1k3v9zlyhTjf9yi/L/nN1fbPT/33F8TnyS8qnsXi/zc3
JOgDzuDI5aF3yYWWIwgmM/dgpNPdMEdUcwNV6f/iE1H/u44OfPubDCpop9EP5rzftVF0YJKzKYz4
JajsU2sRPEakzuOfP+/3Axd4mN0GMRPANTPUX9cOJuEjRipDv8tUgYh3JHM+rqWFO0urPjlwf1+m
voPLr0kXDziNSvjXj4oHBpRovDgF/dE5qzVhHBh1ep/cwH/8FOBuyhSMdbiHv35KiZd22UtuoOa2
QAICzuEepYx/9ef79hEYZh/janwDByv8XLHX+fA5OSFihouScAe+Vq9BwbKtO5WEnnZVTVhO5+0m
i4WP/Q8Bgf4DGU272s7Tz7alD7OH969BCbMIyUmJ/k1KKERtz+nodTt7KryNFEGxJSWt39qyT/3Q
Yq5+MKopgEZfvxa19G7yPpOMl/XxvJxn60ga32eKc/MfvxO5ncRhEGiArdOvjyC2McyLEqvbVfFQ
oYZwNoE+kIhV9eIi6hosBIAQngpiwsJCwIIemlQtsk1zHfhVTVhc8VpAwbvI/QlSvXweEACFIu2b
W1UNELf61NmjP5DHShUXmt5/Vlz88wXQxjJ+Qh+OkOvXC4gM/DeVL7mpibqJW6/ZYkAXf0nYxcJG
eNk66gw9LBlIcWK15REfjq9+6t11rRschiaK8IVvxw3ZZMF1jRMojiHz6+xE1dHyk2BLlpdayzzT
OCv6AuhYNJ8cCR8UpstpxSjqpyv4sDolY12bGR8cOy2Lj9EcVEemIyhtNdjVacsmP8C+zjL9YNXA
K11jf6Yutf5xFaBrx00EgTtONb/eRB87Suxlhw75VtIDaxW+842y6sqzu2qFowZw1jg9IHNLXvAJ
7IcxDrPaTNa5BbtljFEb6R1G5jAsVjI1mPR75oDNKR+4m5wsCzHxN15VZRhsld4tupuNg8Pq2tWC
h8bHJt8YHf2kOVgRzjUysVG/dRUfxFiTbDlCKz9jd/5euvku3aBtUyG4+D9/uOUObnp5lLEhiKx4
qMgeHwHJtVlHQYXB9yd14j9s23AsmZW956H8Npbqityt2v9i7zyW5Eaybfsrz3qONgiHMnv9BoGQ
GZFaMJMTWLJIQit3ONTXv4VscatYvE3rO76TMpKVGQLC4eecvddm0Tlg3PkeEgrMUxv5hyCP8Rfv
tNYmf9yR8rXsNdKZISKa2x9u5i5OdOvHLleSTJ4KUmY+5egWaCDPVBPujD6Ptq0RXDG1+pWj/idP
X4TD0N0dwrhNNt5/vIJ6spnsODcVON35jUTiu8nvHkwRfy/9/gslr7f9xZq+nqI/fVcX6aoFVMj1
flzTkYioKSM+4EAZXj8wgLoBZ+1s5zolXmpYvpHE99Rk5bRN5pbNDbR5Om+JXAVTm3//UX56Ma36
XYS8PplcPzyWMxqJbjpw/44BFimzxfQkiFLdGBmaGTf9VXbQTx6ansnOEeYftTdF/h+PtEfATVIB
3D3Ms5wOSWvF0aKD9Bc14sfe/sfja9HJ4Eri8MLH+uPb5MpKsBi16kCNLCPENRjk6hzYQBwYpxGE
GhNDoaHbdLgDYoQJdANK8lcN3HPer9bIPxflAcYhdsswFX/Coxtn7S6pKvgwQ2/uyGAm+k4u13QW
EwyrFqhjVdWH1O+RORTa/MVt9UPWz8cKzboIWQZdlRf8iRTWo92wndqUh9kS6ZcWiLS7QS7U36rM
ckkw9hoPsJ3mBZhJhsxzBq8rXWRALb6pqoPDGo2khlwPqYO1zIa3b0Vu4qqv//5C/MlCE4Seh8/Z
JI8clsQfTxleGWhi6M4OZFzJPX3QYScU7H328tkvDslP3grZB2QEEsnNgDHTH98qyy3VdmRnHvol
rr4LTHv3S53ikzM883/wtVaBxErE417+06rW1mgG2wC3m2sjoA5dy2Og78dngOR0Ef/libj7+9X9
ezn+TxYx3om2CFtECCE/ugxswtDyRvNOaEOSbdzX7WOVdEwhTEXSwVSJDTSx+RfLx08PJfW1AP1h
IUD74awBMa4RFrvdYUbbGFXuhGk6r7D4moxY//33C92fPOjZaeCh8AmPx5yxrqq/Kz+DQjQ6gVN8
8ARzqT15RT059akYMeFWcc2YSOIuhvXTE4DiDCM6vF7qabdMvlPdV4HLzZU59BhPqPjLF7sdkGbL
ugjgupdMIzZkgqfvWHuMa0agLsJHEh2w9DGyBFXFV3Iif9WWw5R2R2s/OiaSCBcE8yFDZIpmUcgU
iFGRou7XNqHIpZjgjOVWNXk7J2xT+5VhY0aKUU6zBPEZFUx6nlIQmVuZFTJ9VmVjzeuMNHQPZAtX
YmeYrXVVLaRpHvC1D+rGrWodXIsegfK9p5jw7fm7MRLcKlUxAeAKi3pbF4NIrgMf0/UWvWUDwdXt
ysfBCL34StZGc7QkpLfNnEg82GGavVTKc8Rm0kQ8nfwExUSEO4+RP3DtOdlVWPvlJR8oJ7PIwxVc
Hhh2IW9mFjxPW7wKsXnGuB2b9B1Qo23byl03V1kQ2O8+qajzBpLlFC0Q7eQjYxIMfqQT5vPdiCj7
sc6E7Hez0YEHMhtkJDs9D4kGl5JOmCKBBOxFnQARE22yLJFCPnCoJY+oHZ5l2n+mgZSHKZAbPOdp
B36wrBonUiIdLJhorXusAn1Pn3evB7f9FLd2+VoagfnQ1x7h8VU+HVFjlOsY6lbjdKw7tZ+QQzzE
xAUOIiXhmcjmA/oZrHphUe0TPVwh+Roju1XveeGJjattdEH55IDWcr4Kxxh3A8m1fAbpHzxkbrtQ
ZN4B73mDxFRAaqxDDPyinb74PYMpoeccL+nwvnTgcQZngiA6YR3PyhfMRTvP8Lo7N6zkzjLr7K5w
xiXSZmadg6pMr52R80G1gH0xi1+mxXEPrmHdZ4AFNsQkxyekTUU05YVmU4FvueQpsVXKX+6LcsKc
IQDCksPFf4rbgu4S/nR8HNNkbxez6HYTjr9NnsZDVPhFdR6ddI2hCu6wkDyQhTztrDFI90SjLNFs
9HoLGsI+LGxdH+KkbD8TNmNe6tQPtviEIH2ZvfyOQaGOjH7ANUzD+uA3jXsC1A26nEnfyTEz+4RU
MECDBKvUmvaZ21r7wp1fK1N3JH7FR98Vj5meX0m+rqEUhzTqdPxaeUZCGGdRBadB+/V+MJBrwW59
KsJgnbOiiPGSJtiZ69wZQSrh83m4bFPqhodMGsNdx9D7QeHcReCsLj3GISQ7GP5mo/6murE9Bk6P
AxWH7rGuguG7UL0mgX7Ewb4tBnT1+AYblOQOpbltSqyamER7Eg4CqH82F8+nCh/atPU76ggepiwS
+NbHt5Zjf9MBi6I9EpOnUlgnE1YsMec9YQzWEpz5AyIibogdqHp3VpdgHpNRvc2p9BVWTjsWI3o1
Zcs3w3L2SIkImUfXNrYH37Cb3yCmF+3RKUpbb6tA+uhxMLIHF8PwgN4VBOegIJ4HF1QAlnVFk7Yj
1VtypDbw8Uuwj9XwRDbndGfDgXyKq7rITmPuyZ0bZghdR7TdRH6MC2kdNONSQpS+YBJhP0l/t8Ve
ZJZnJMnyN2SJibcrSUyKcjTuzmWaFNKuoYi/hzT3dcQuoKL4JuNqu8zB9Mycqfou21VsMVfK+ky+
udxSorm3YW23bwSuj1vyxedDz47lKZhF/jYoXmc2SsLBe6R9S0M9nYFgP9mCgTVdOMYg+Wqu6gfN
lZBiAH5Nk6D7DQlJsSdgpnv1Ozs75jJGEAVTvthns6k+uU2HPshvRlQGsYuNSC+Km+Nj5l6YDKUT
Dz0LcBTnRFAIFh9ayDuq0lDuUawN1bFqG36+zxAGrLo0ku3dDO9HmIxxFjWmQHUN08Q5tWRerdeg
MV4lYZ4+mlVabhpfanuvOJzGC3nofEWf5Kz0jIOCj4p6/QWzsR6vk5gRcxagXGxIxrpuesQHIhW8
qoPA9kMNNvQ2cgx2It2V16bpbT4yaKZ1Z0M0QWANUqTzdnVTLftFozkYm0lUB9/3k1tsUoMftW7q
3nIToX2NObs04VclfYiyIk3bLxJN4L1YpPWkMo53Bsz4ADhuPgQpB9WQYj4bXJr3rSvbL+5aYZI+
uLQDzDQm5hzZ7OhOCEs8Q093lmR23hKbeFkGhUQI1sErvLfVjuOj6rISuYbsphzWrq4QTqyKYx32
6ms4KvdWYGAnurAJk9spg/7Ffreq5q8L0NFgWq3cRKxsnNGK5wuoG7vdgshKIgNvTYewadXwBVqv
YuzGRAhize5t5jbxM86whHgE3Xz2Eg+upU6X1W60xNYGzqj66mpnlRAH6L6liYzc0GguK748nNIJ
oxiKF3zc2RGRNZN+00huddh56GsClx14bQZMLJyuPEnQfTHeLZo4W3z98RWCOn7gw62VJCOovHxh
XLvBAYIoMkCKN880rclGRtaVCDeK4xmRmOzXq1wDmmHmYruPGfzRF9Hgt8ZEyIcsXbN4CHrZvjvw
2R4Nwjew/OHsup29ComDErV8Lbtlugs8hVZvVVtl6+m2ZRxcgK3ED90qO7IKZA8ghdDrsclIYVBw
1IIc/pqZGPN3c2nQNU0C0SdN+/jBrnI8emaKlM4ZecVmKR7Ysk/PH2rKZRyEcbVIWuI7GHEzCB3a
fFGs0ZFu6LcoYoo9Y6yxuzV+zUoOOibKDBQa4N25ulutuvlUDQNitlRzJS1GJ1l6PcGVxpqV3pZF
3lgo95fmznBymrgDEUa0UhWKkRO+DDQ1oeq/N4QSoFQxoap21dh9NzA0vHxo3YZRWd+8Idc64tbr
7lktlu+Nnbcy8ux6LvCmuPobyeqoPWLi5I9G23JYPJ7k6mBi/pSblSb9tEAgewh7k9XM94ZvUxt0
98gaafx3+NN6lDlvUx5391YfJLf4dxB5hBgTMhU4J9axNZk94P6G8tB/6siRMO8lNBDW+KaAXU8A
IQcvcPxrauJ43xJSzSKGFZW+ae9oBsJO8HlRQX8TV20Cu6QcjoL8nFPHY/PioPjXG9h72R08zjWH
SKhn2Q4xzIn0ew+0cd+qtm238dA6X9wwcfeiLZeoFTOpms5UR+7geAcLbeCGiSapPECASdBwqvmB
kJ3pjk3IiIsSroZdJiIqjeaxD8X14LMkTqaJ8raXcjvqML/BZ3Bl6nS4yqtW8raFd2uOlXWT+tgP
PWfBPmBmxjWBc+0tIM340Yvt5hROmU5YdKsFrwrDxs5yzZOb9VfDPJcESOnh2kxGeakTv75K0nre
sNVnCxgy/qOF+h6SI3UiDW16KJrB+Qrb5arLTIslLeA/Dr6z2rMIM+zFGcO1+MR+G5OSOTVfwnGd
MzX9PqWzfELY5jMtw0hyHODOfwpICHkwEXrBRWqPXlN2W5SB6JSzrjkG4/JO/696KyoynnjmcJBs
QyQs9FQ4kT/PIo3yolCnwjCdzRAb5m1RiXavtGbwhUNuyw51vBNBYR6cPFePujM8lrowedCKN9Fu
7N9pEy8fjWl8Fn4s3gExeS+e6stjlvkvE25dpMarrshkK7epsrkBZzim17iPYwiK9il2FutLasbj
fggMAsVsa9kGmXa2I9Znur1pvxkLWoXJPHtnNhfiUy7cQ+1OzZ7biQW4yalOE68LD2EZht8H7MOf
ppa4l7AKF1QLlXhq0ynHAxmKPamf7rmKVfliub5/Pw+cJXdQU7f32RduZC+TXTJN7beFUROuuqTP
brqcy4BQZ0xaOJJalrUW+JSocpId21xGDBA2wOltAmQ8NvQiyd/zeSqukrE+9kVX5htXGJdmzqd7
ZMifeiyne27FfeYsORs112VD5uubSrjxM6EzbDOg6hQsgfmmDfrsITDlsi0qJzirOWP1gn6dumjw
Cke6t0SjNU2UYs5jaFEup3luhmvPNXjsVAF2SgT09VWbTPltmTtpg6lwwSgkiVbIQXnl3EbM0IZr
4nfz1zVm5OBaNOBprTU8sZaWlobODPDG4HsuM81sqjp/ADapZV6gQs3MBywdVzL3p2M8EOEbqGJN
wmnOqh59Vv2mZDg69hsigfoLfV9YYSo/WpMRvobMTKlz3iUhrVGFNjTqYMVGOSlAeFmH3nqdZiFP
GFi/WIv3jfTa7jM71vIz9JCGRUsZz37pGnvijpJd7+vqfvbYsZTo6xl6h/2C6JaIYLZD05Gk6iG7
MjAsChBZoJeOPi5snjFYhW8NHHtYQme/uaV90xCJHuQJ7ruyZBECcp1/rpDp3dtdUN0DHitKAiFZ
QKG4919LZZtfMKulX7vYXFbjJS/YoQK4cknre5yFHYyvkh0P5y2jyKlSr+QpYXjOqWwDnighmnKe
lvTOltKyNU1//lcTY6Vnf0xlWlSpuEqKSX2tiqb/qrSiiaBmXX0vxEqGVWB7PpOPan0piIYhmkbM
0x3W6PgzPBuKcBFnBkY8wpG/Gm6LV92GlenvlsKtH0tCkzlJ5BY3ez/pgeqKcKSjoaeUyyMl4RIk
aV02j6mnC5c9JmhWqNj8TthOpSTzLizcragJ9NzUztwX20HxKUETIZciudnmWyEM5k3zTNTqnC1u
T91o1oMFlawds2TP5pVXXgwChE5ipP24TUU4GwdjXrcAPRPSGI0lFpI8NcGvYl1k00pKIGfJWHjU
ReWk48+DHAA1J8Q2TJs4cavvtta8q+6c2dqOwgE2/HEw3QGKETpqx8oiyAEo03xrmZoN9URzAAAC
xa/zVBHRC+LQQ2WugeEAzMFnCc91VRZkFJjFVBxbiy7Qrd25E+l27gIkXfbNozuiqOAUMm+Nxrjj
+xH1Rj9EtmaRnxUqhuFQrXHw1+HQD98Hj97oRtuEZF17hpU+FfNgH2pd158qK/TvC+A7cdS2gfk0
pi1JuBNt+PhWaL700R5MPiO7cj51VsecPG+eaoP5XwMNgXPCvUvvH2AufRmO4mD0/PxSo87OqF6y
DR82vMxqUN+yXOXlIdSyY4ARrjAx8oDtKSpN7p8NXHkTowP9v6uRTEJAB03Pjs7FUJKfTE/SRJHM
VnIWl8wFUlQTgc7vkjw6RRV042Kzwu+ryF4InbxNB8fEHsUWsvRrGzI02sBnK4fi0JWNecVMmrBn
uNz3FVrlC1qm7GVZ0vF5tJFVf/QD/xeX8wsNKtf3OuL8V2t4+96//5+/q1dv3qtvf/vLSyaTrM5o
H//9X09f//aXf/zSf+FyeBjwOgz26MB9ON/+KUJ1/or8RPjUIa7LaHcNp/gHdRRejmB/ZpmY1Dxv
laj+S4TqeH/l1ZyA/raPIML2vP9EhEpcFp3c381vGNiEAGwI2kAEi5zxx/lNMHhN08yJdQyCuS7X
+i2IJPxUWFVzd8mQjUx1/HmuAxcXEvr+Z1O3ScQApjlnaaJvnIZubigHZ+/6pIPucEUFd/id2zNd
hJUaOdP8tETAlqx/igfQndGsu3cTh5fENMUBfoaeV7/YvUfyfDUyhhxsQ35lst6cmzRBDsvj9B2G
Fs+YyVbuO4UcP4ScK3whusT4VkzUeQXm0ukb7ezQz68yJcYbMrF3slKYVqb8bLLcBAdviAlecERC
G4Y6UdxodlEWefSN8WQIt+Wuh9exY9ScbPwOcruqsk5smedNN5ac8EcB+fxcQie1zwqBFIelsW0e
0mNyyXFQRVjhMF6ypW0AJYIT21udCVVQFV9EtdTnZGT9d4NFbF12+q/Er9Y714rF1kA7xGLtjC+2
nc9A4aHlnITSaNrbqgVfxmPvwDNanEwmZ289Zo+tVhMNG1MxXWfNhay4DJ3/0qqM3YXvsW/Y0SZk
VaKaoYMfh0mZRQQ+9PZtx4aq2xtAB55kF4h3TUgX8azl2L6JBPfKR500jZj26KNZHIu0Ca0nnmA8
aGZ7tJ4ID2DXU9KZWIuLEt+dhKtxoxCJ0SjpVas2TluXFS2Xgb0D+ghWNbReuNRH6HBnS5Y8mz/+
WFqMnqMYxIC36VjPUd6nFb/jOnPhX9rVSGYDKq1Idavil5wtdha5GjtTT8UKTDRlSkHGphu+BE3B
E6/u4/DF0kafbGQwNAOXJhYYm71J8ncTx+g3ekFVR+fHSXv3neczi7nAbpdtsMAv57BGmkn7y2rO
dmIVS5SLhS/0YZGwOynAshVkoV9hKuIDjFY3JTs/yTm61RAjgRlxqWwSUmGrLUBHJ98Gk1+KbeA3
nn0Tw9eN9wQimcmpX7Mz2VXm/dc8b6iniR+nS4odMOOId7I8EAm64tONGi/IxsORlG1EQOdlw+ON
PwdLD6p2ITtliSQGLUh79DpPH/XkNKWclkX17ZsHoTASlMN0GrVt3kFy8jDu846er0mo+NhjkSrL
tdkNNsc3H5MVvFj0q9jIhZUqRntYDlJa4t2cZxXgKZ2as2fK9q2jDBk2PN2Jn8pyV9zDtw13Bf7j
5pQ5mSQh1dOOE9HiW7fQTsnXmiu6ZGlcep9En8/Gy8enJIRbJ8dyFuzcHcvlw7q44hV9VYcKRZY1
LpYCuA+GsJHzXFRDtzwiCmNw0pTrKbXN9fgEOc3Dm34Om3PoqYbdRsPfwzljnxaEifI2RkPtCgSV
C4IYeSyiY8kKRZQBXM/KtOY90p3y+7KgRdjknrFeU5YNYyJxjaA6NFjtm7PPnAnJE/ke0eQXeLn6
0F6OIMLHB3Nks8r2vX2DDa6dyGxQi3Kd1sgKcR20lz7QUdO6AD9d2+jATdoq3OkKZ3E0S+XfMB1m
Zgle8YWT6aVbBE3WA32dnqRPCSSnF1rFhJ7b0+PAVXzIx6DaL2iqI3NI3Hud9eq3HDKus0GdA/0i
LKfHwDPYwdmSC9uWBMPQt2+g9ZvC4NuxESVcqCGDGTOTLJ2tG9bAbjlk2PkmsrGOI3ss+rU56BsL
8pCzEzGyqY2tCnFKEhpLUHs5vjOy9BeJAfziadwzvGE13o6WC411SOxkZ/QOhXUXkx8B26Cl2Zs5
B+xUaRpJnhj3tdXWDyUhsoyzinWbhJXMhqy7+HsDx9g34VcO8T1MBfIhsL6Wrr+8BImefAyZ4DI6
YMffHJC/T9p159OqUN8xa6J6zoxnmRvyJbWF2uJrwqRThkHGmB7OCtvu8mJN9ci/TfXeDCoCZBNz
+cY0DmgHzk91xkfq55vhA+tRrYQPmNHqDLYA7Acxn9ZJL7K4rlYqiPsBCIk/YCG4wvzLyqaQK0nE
/YCKLB+AkWnu5iuiCYObEvyIVRn2tMPJglqiCAZlXcqC1fx+EU56GszwAJ912i+DM2wVjqPrkYTB
TWHo+K4eJKvJDIaXNBH9YNXAUpPRSqI+VAv9JUJ4L22BZ/Y5bp3mZUwJqmcodpe6Q/cAeS3ZjImy
HmLL8h9rv8egpac+uO3wcRwzH3aUmaTma2KP01nEwdOS2N4nrRg6NZPbyIM71k3I/YHv7DhIJImM
y45TG1Z4vu07pSgOvapN3V1ppuZlbJYymuOuN+9Vuo5YYOrtylzS9MwdCfZm6LGFlKNZm6T5peNn
It4rQE1Cuzk9DJS5R1QkiI4NvIG7wenIomDG9WQzV37LCPFQPAod81bnQm8q02hPg+dwVUOu+Uwn
FNxNqfVNb5ufRxl0K7plhgs7Tq0XMQzrL8pb8u0gQvsRcYYgzSm37gvL678PYpKfZ6q67n3qzXK4
zzwZJ+A5l+KUlEWNgFC+2vMS36e4KbdgcFFvBNZ0oTZ3IqyZgNw87JHKMW6l7L0dpWmy9oGqb2U/
TpduyXJmTbN9n2f98BZkHn1sCuC7sA3dW+YMiU+gb1p1dPUwOfuwR6/h+dj4i7Vp3IuicUGc6XHH
4fIZo3rT1Sp0+YzkSEQwsZ9j3ZpXJL+8ULqiYaSo2KrcfLPs5JSPubqQPSVeR8hUNCuLWUYWYshd
bKTpWSWCeJ+ggebty2Og6VAUPtVIalqaVbNpJ3Eh5EPwDTET2ow+SuhPtu55+Bk3HiDbg5mlF0Dw
zdEurU9xjvYvKb1qI22gM0Cziq0HlWZrtUyQld2KXTp5sN+cMF62iegIYfV4hO8ZwpjTxrZb5z6g
9L8LQtk/NlLQbpQ18Y90FvqoWKa94ffDdSMplludPHtmZ53XAfbWWoEBCa3KPanq1WOWNwNh8Gw/
9mAAyE1i1qZ2rTmRrNV7LmM+laZ31SQd5knm/GRKOZxn5ayidX5xYLh5zQoEIGIC/7rtq/De6c3h
0NY65a+2aM8ORJCH1K1Ass+1GlHOr32IdGysKy1yzdTYM7cy9k6A+oNLQ3L1s6ko2TcAJl4YIbzm
TCQIqreQAibTkDwPbUjsulrl/Z1yGCeRJTSZiU0TJw32nvY4D2BqRo+0KzNc6EBpT6IrSF3uhAof
VDu53V5kmqdjmYZA4PyqPLSjCF7akC8+tJN8jPPG39Poi/Mdj8PxGBBZvSWbuCBXjFTJSVoPaezV
4B3zVDA2TNSZVopwNij69XmSgsQh22Y8z+9M1341pUG0som+km7gfQ9AX+8y7N04xcO+/A3Da3cE
3xbvynVr1VZKbsoB3PgirKrBdZ17u8zoWkBZQ4ZQItDXY2vZW2YtfTQPHYMsJP7nAjDVzYLN13nm
+Ub4al06CPyqEDB03mc0ggpiE3Q1Jd5DGRrOErkGXO4BK/UmqEfxpbBsM9mHXl1zA5nsBQuIHbcJ
D9lkKKcLTRG1mzW86ihXQXyv2AZc22XbsvLOTvLqVzCWQJjk7LFE+JZoq3lYEG23mypJ95h/5gvg
YveGZNQOFUjXGVvduESrN2V/nqyOeV2dMYBze/WUjtVVN3bnNlimbRfa3W0F0O43hgjAzvtOXqGC
jQ8yCV7YqNHQVpJOnRT3OSMVnPGAB4t9jmy9vGLsingmC5dl3iA0aHPQAnWD6ZgGDVJIE35SUZUJ
l49dDgyhKuZzteaAECR7KbQ0qt/mYVJ3Rjgvt0bKfGiXtJmrvwR9+9TqucYuIzMtYvuAIgXfDukM
hy51/IfGKj/BEZrSM4gRP76ginvvx7C9nlw2clnAtXDCah9znvO52AVFnq5xVQi3P2UVf5KIDFDN
3K35jLS+yo1krOy246clxUwnGGkl/l1it90dT79TX/EEHY+/q+R/IvL6Qa75AdtZte4E+ZKj82fY
Tjjq2U7Y1/pSitPoUIm6WWo/gZdj4CmtXzFe3R8EXryhAKXiMhf3QW78yX0AenzGQaIa5A4yvPQI
Jd4UC/N7YfTgruxG/5aWphA3yRBo5ySl58RzpMj2q67JrIDKanBj74hGFfK2koMF+I9J75W0rfBl
YDC+A/3PBlAsdcy2rfLUVzMxnZCCXvTLo+0Zsdx1UyGPmUbK30NufG/cYewfFRoptV96yyKuvvbo
kn1eqCcKyKYTBVsSuw57/YRapGDFeKp8pwVjBu2CS6b+DoOmfnTChB193yl+3rMZvpkVWfQXOle+
sa6dJgUW1Mr7BfCk2oc5hcMB5588zvygxFLWWt5BppY37RQZVG8ftXAF8fQ/ynpFe70KZQWdmgAd
Ic2ZH/SKBTvk2FNmc3TntV52s5zaAC4b5dq/v7rWF/p92+XjjVZzTkDvw7F/FEZCj2eijxv+WKYl
p7gFRbvr647zw70n3hUt8HXiMFGEYDZo3/7TdyeDPsAcFAgkDn/yj7YGgR8m+R1Hmbf2kzeODDi7
jCFhXcpjMxm8q9ejdYkMYKO/cl1aP9gFOchkVWM8DrEQOPgFfzjItElBGDKlOCqr5dWHMdHi2i86
+6nOoVxsUePz5QeGmuc+admjmgRWUfgxNCyPiZj+kVP1v+3NX7Q3bUyvCDv/+/bmdUY0mWpWeex/
9Tf/8Vv/NNnTqcSURe9wdczjLmUZ/Ud/M/T/imsYQDhmA4dph8d7/TNVKfwrsGycXKxzXAGuzyWg
Gt2nf/uLcICIh2uiOf5HmqJY8//f//2D+1X98PffK3UZRa1S1d/daSZRRXiKfQyeq6WfXir//3dS
VgdGTdUzejnXJjqJTlNPeMYWWFEMnNWa2h3RRRSEszMw557Wwnnntb3zbcJ8BR5oyWo2krO6hl8h
Qlr3Tr58oj8vxIvFYK7Yokv4kgR28kxLwI+yxHM/DVjQryGa9ndrRlO8z5ocWn6TGv51gtJCRJRz
IRF6eVocJcEIZz8HNEJw5H0pe+eLMYK3PJvMpgDQenZ/GXL4p89OEWv/opZuAalVeiMJK4Ihz9d8
mZFn2GqKPqY9IPT2ywy1cCnUvHWk6eDNcvQbt90IW1QzLUZzm6Ha6GSFDYrBi/sIELfyInJEm2LX
lnH2TH4gqpwUiFIks3zw6CqhQ/cZLT56QqMZpFg82FP+tezCeZcR1hAps8sokgfbPuR29jRDH7nz
CJrJj/yIcw10Mq62/QRDpa8dwqEkXuldbxnvUyGmTWDm1XiiAWKsKQnOjo0Pm60Bech2ScmPJcfF
UA+WWbrXQ8gkGKP4WneHYccqsYTxy1IF/mPru/GT7Gc7OKEnc4xtrlq3hI6DwJ1UnDh/HcB77AzH
9qOC7jzHoGUzraf6ygub8ty3PsdSV4TG2x4a2w2Y3vEMMioJIiNp052fsXXq6kRk5gE3gzxSIIIa
kjOdjX48zvm41Fsfo1TKQJGE+GCO46NoKvu1XRwEbYsylqewpCO46ZMRmYowzKBkzsDk5xmiMdPs
nWYwNBk7DF+EGh5svba0TlB86mpT5SWDwPdEwSDhzJVMl9wy3FVKRDaCuhsMaVSBJkJNL6ytUzYs
DwG79R040zIqimbMI0ZP7PiaroK4s9rBNSrBTbkYDppW14bzuyA/JXaLSaXhPxUToFPXPiVaXrtz
kG8WZId+1tyIbunItCowKSIF8wvE0V6hnglIup8QlG8kb7NPIEwQNza/Wea47H0/i/fxMD+alFpE
RKXpDlAmjZvKME+tixwQVbh9FRo1Raay1E4ZiLzZKGRXTPIoK4ImOxvlvJzMjlvT9kq6Q7P9ue4D
AMIWRTI1IK3OPh/2Dd2M/oosgvyksvGLRAt4JTORnDuanjgQK3MHyvTQMPJFGqz39Hg5PgZ04sog
m6kzyFZDCZdGSZp+cxdEihOpuWHcEDbdmeCVhKQ5RHICrEA9Jxd0FjyhYMNjFaMvmRmKeNwMiZrt
xpGQuXXHp8/POVWx3NAdak84FfU3GifzNkgdDg4327FbhXl+62zqZIG133WnenQfO6d8KILssljx
IZSaiDJ7eco80j5MFV4hIX9QIQQgMma2wHF3Sc7RT7wUM454Vl13CObpOreNCWCfnvayLfvdEC+K
JrV4WZU8m7Gu1NaqsGgKlFl2PXpbUOr6MTPq66CzLAKCIBDBhWQRzFDEr2qHvJqmDc94i06HLe6R
CtU7quU68kmj5tpqlUV5nXoHm0BKVH6hPgay/G3x52zT2WZ45bFcXmkE+fjBnfyGajCHroPimbvC
uk/S7n6gIDcCvhQRmjcT2U/v5bqaFTr2CbnOlXFuW1s8ZHbnXTVtn0acMKRK9J/e/C59NQ265qU9
fU+pD46JrzR4YMR2kARnyr84vNJz5uwUy/o9nUm2WwtWzyL3H2JP3o84iPYsE8iBc2P0KSC9/hPr
it7ayKWolpw+vyG0bIi6HmeyyYnam02nbzDspA/ORKKvnMyHRRr9VuTVGyQ8O8pDfTtPFbJ3xkRT
TvW41OpBecRL0WyhPW/m+9wpHD5eI95TkUFfTHk6MNyeCgvzQ94/0Qn39jZdyEeSlq9bhHbRZPX5
s2/kzy5MSdQqw7tawleiT0+QljyuY92Cti/psNnjHnLWiXygQ2jnMUexEze2lXSHMfj/1J1Xc+VI
ul1/ETrgkYhQ6AHmOB56V+QLgqYIIOETHr/+rjPqGfXMNZIipAc9zbSpahZ5kPhyf3uvrb5qZ3Vi
R239QR/MpzbB+oESCxwSS+x05XSzfpMZ1sOIil322QttTzit4Y3qCACYfC8uUv8dZ0R/2RuExeUs
bTVxJ3pr3+dyeVj40VVBO6XAkt1NvBdJavwqHeFGyvJ41DQb3cybqF2f4qmjv0aYA66jzmSXKAXb
CcqTQqD8WVispQDyMm7HrBkO3FVOU54Ue6BTeZj6WksZkLbjZVaGW+J7gZgh+uH4GO0vxm4IA0Oj
iZt10+37rMKvuXmquwa8TDMaptyYqw/xLZYs4WyO5yXnyl7P5bNhT4cadDbgHF6s0vdjEw2KRN8N
bIPqa1rqgy/WX5L6wnjiz+MubCdC2/Hyq2mFAKkqY0fiT5hh6jjbzQKlDqRl0rV4mzPjysmddLdq
GMT6MbXekmZsH4DdFLTmKiJGXJI5mabKqu9SbeoBZivIhQPvtZYKh8PaODIyDKMlpNKOZxMITZgj
lx180gtBYmnPmTZfXs9wSxsENk04N7PumS8aDW63etpOS2SvpY15a6U2/qGWmjj6fbGdlsl6thfE
AoQvLT1gR4eN6Xi49qk4N2YV2DZ54wPvWTNmI/FF+dudkXl5OOBneuid+m6mfD7sCu2+WrPxtljy
156iu924uM2p29xX0dvl05IXJ1MzhtjgjxeZ6AbvHK82y4c1+ZCboeLZSRRLA41Kr2bK9u4lRyQE
99CK4qkw76c3CoT6GEuvdp1Oc4GoNcyBP/Xixx2h0o9Oy2Ixs8qPRnjrozdj0itG8WYVkC+oqvBe
oK/llBm6emh6mXyC06gHy0xa1ffwiFvW0kSLfXmI+IHJAMo4jDgBd0/6fHmp6qu4kt+tKj5XXUPF
8OvpFYROrPtjdgMPzYnWiVe2x64YzmiusBVurbKDVlflVb9tDdy80WZGqNNrdk6Y4sAHwXu9UCn8
5kFUZge9VWTjPUh/cdg8t3vVNv/QDOvyRGrV3hnYCvMQ2ER+ptDiuyvEF6dzuetgHEejSsZnInlX
bm35+9aHBuFggozZvvKCwI+IbAluMIMKRGSkkeZNDfEubEynOxPkY/809Ou5smf/gIaJvTfrvsq0
MsJxKXPjrkXBfeSA7JfYGq1ScIVk37AnTtTv7MoueHn1Wv0GvcG6Sl10WCp/8xd9VtYK0LPEQqWB
DnmsMsv4rEvH/WQVCLJ+G1I/SOiH0oySgWHke25e2uY3UA4MwNPJGzctyEf94qO6TbioWDy3wJhw
cANHqZg8SJjneCtxKxngPq/USNspC8T0ESVwUNQOl2QBIIoqfzu65vzdJC46FuC4qBpaWgWABh6x
I5jBtkA74SW556d2ciRpHj8nWVM2iGqLPb5PBHyw7+D9rqnAiZwSEINKOt5/RUNtTQ31L8Fl0Aqj
PFhoxEGm5HSq9TlOlHUjM2k956CW9mXrCuwVVXMlB2B02Jse1y3blVOnHlQ22Xvd+KRli4FJQkSU
VfKMN5/K0Q5hVLMtSgMxCfeOCgRV1yflrnXsdYTmaz53+IB7VqGmcVkst2FuT5Eol47jJHdYL7ts
JNlKiq3I3md/OLsM+CzF+BaDyH1eGlDyYI6wMeTkkzD5RZIYWsRVBZvkoOHwTz08fFiUjk1jP/hz
Ze/BmX+V9fjctHj60aTuh+riHRwcQHwzBBTV0hBpYxW1WkddaySRIDtq5gvNEmhGZVU9L0OPLQqU
IzRSzUa1p8sT6TSUmUOzskkl+LmotmcqyZcd3R9+mGMM/C6UERmEce43eojipXRxCsNEcBeRPHtG
ee4yLCAKA2Q4dvUPwy+UxayPDblhFNWI5OIvvV1gle+2cqye0adzcoZjuuvs2o9tm2EHq6NDYkmW
1/S34BqYiaz5utPduCL51HuVRn6BJprNxXJPjam283vXCDG2MfUYrX+rt/KmXtbxxtSp9Gu6Gbcd
vpPM1tcbk6IPzRB6uLlE7LxpmjAhePMZd/l3w32DwoM3U2wfaUu7qdGPZ665K98MTBb4WxNRTPGm
afsy+6GgcAwMdK0zSJP20BXqDg8InRIZx2PWiRC6pb5rW663k6msvTVMexMPSoCZ+eoCKWJO0E96
IZ5BHVqBlW8fizd+JWP6SXCRz09j3Y/DtUdag8bFAR9inb4TO5nCEYgnNEkcppZ33nzxC+JdpHy/
2eMNbAIzBaSUwOgMtFo3zrbd3rPOXkON7VQ4kPhBh4d0fVMkzcx4pt2B958EMuOy8UqQCX9c3gSs
xbQ2261C9EfFJ/h9VXQxFjQXWsm8EjkyWSrMNqUdQFWrt7KRVRPnZD5veGUREFwaq2TAa5SHFUjV
9/Nw6SbWli6kV6fYy5ykW9iacKbDpkCVxQKDXX6eHC45bfc8j6I8TmCxj0zVxdH3snpvg/fZteuW
Xs366O7Qr55WtbFwafxbX4zyjn2t8ePk/Xi1Zbl7opVEsR9bi9NID8bOQa1/smtc/UKZH9zh5XVR
21zwU/1221IqYvsmPVuEbSkbN51r2GbUVRBd3VsNCHM5cVuaPFvbDcR7MVmlDAB1vZ9qy8Ysw9K7
6tjX5/2QRmgbGp5UnW6iUYRuKymBzMrk1jUG9+CV6yflMOzrTQ+waMl3jKH2uh5p/VRyPTpqog9z
nm7Y1TBW9JnHu9h/p6WNlZHwrEiSfgm01qkZgzBnk61h4PbpgeTZSYmf83GtaPMwcWEPixk2mPp3
GaU2R+bGo1fVMizLatpxXDkxp/nKj96p45KuIZm1t1ymxAMkGXvPVRjFxVrIoxW+f6FV68U1r2re
QizpKYjq/au6r0XQFhL2eOI5wVjgSZq4fiCKd1fe2uuBi+Z7wNRghIplSQDWX8fsQ0N931g/3UaD
j48n+XK3IAZ2Y3C6xwuQ7Tup+DE2BX4Rv6B9qyxnhFPNCNwmHwhaCe1qtuVdblYmltDqOnW9l0b4
/Z75mghoe+kyXZZdbej7dEbvKAeHu4yTrZfSC34rMZpBng+/t6a9d5vhem1JsKpL1TY0elQG7llg
B8IK4G0wD6wKEpC6gHRDHTs/XSV6csiaUmFlbh2GlvWEByoJx0sRhj4OnJGOoVjaTp+TJz9zzzkS
or8DLr4cc1b9EVfIK47oF2KC9c4m5M1Vi0+yQQHvMPXkNoxcv9mM0dyTskBG2Xjp2gMbitZ4WKV2
FJI638ktwq4jE8JFZ6tfO1tDNpkRnndshZ84Ox/MFYIOn+0hLtyZm5eYw1RxHRww0m4bsBkUgchI
cjpgcVkSFag/6wEYj0zxtjDN7tmZZeySre0Zzf3O23zany6rQqvXd0Pv4LBWSrohg7IGSt1byT16
8qmit1UY3U2/sUUU7gdGml1bfgwGeYxB/CgCQVxzczwhxibDvvKjTtahIVsZbd300w6qwMJbvGed
lsWdjQGub7WwMBs8JptAK9mkn0Z1jRaQGSTXOLXeZSPvVMYBHfajchegg7Z3W42TedKY6bHspaUZ
EOvoo6ljG9+PvMlbDGWBr7ckYPqlVlE2wNDpXDamxpUCpu2y8mMQK8pxh4qTnnhlOUGxGV7HG3rt
xjO+J7W3qSnyCSQRF8jLLrkDCaYPQdMbCj4F2RsCBZc60QE7pFv1u0qwgdoprZgVpqwMqY2NPk9h
1ZljvpO2b3REA/geOUmL5gCYXD+PnrA/ycfji6JBz+9RLIK/idD/t/X6/e/m4tLt/9vlN/5iuOCc
y4b//s9/iZj853/3Yu79p7+I6yEf1vvxt1offvdjyS/9Hzr05d/83/2Hfwrn/wsl3sIhzzrwP1fi
n34vH/1fVfg/f8WfKrxv/eHoPlK64btIhPRE/kOF5+i/sG5ZDvNU+BcL8j9UeKzEEPD4R3hlbTYy
PpyLP1V40/lDWIzK7IcAxF5E/P8jFd7+GynpLyo8urzDrsv3TEzNLAjNC7nlLyq8Pmja1DWNfpw7
U71OGi6Qvly/BLYLzg6tizPN6IOlaoglzuK679vpF2m/7rFttMdOVz1iDeFCXirbNWwKEJHw8pP9
1Mjsjg517WP0vCag7kbvDrZIKCxwHDPt72rPWa17284Ls2LIKA3vyFVSmDe+vekNFAg+yUwfxdZY
+5aXe3stWqV7oBXJV6NwFeQP4HnAcZU2wftUJ+nXzkp1z2DAB9rpPbbmBjeNxTXRtRJ/iD0CGP0u
w6/fngbu0zzLIA5hXAWLua5+nNN5YJy8ZjVfbNwTXYH5zmggiduYo/fC9FbnONK9pCeozzlHVLJq
BOcCwyumLsoah4aZOhHfqSvxZm4I/8TiFG/NyaWby8v1x2VjrxcNfAk9c1ZjXrEN3PpwdEkwJxLD
ZjgPHivdSZeSIZFmAsEMJw9VyqZxqfOBqwQS/UHSuhjPrGneSKvbAZjLjEB+/piSTOaHNcprPEhc
Ws35RTZ4+Wh+lIFR+emhmFMsxR3mh9d8yakhX6f86InlGnDHVTaP4ysdRTVrjP7OwiFCqGjiTjGl
7tewJOz+x/lto1GK+doPi8U6pkvxskwDsXTfkCfILJ9p3qjYSorxcePKGdSbxoHNt1Sz8MZxZZ73
vZd5O0EmBTTrw7TlL+jFP02ZD1dbzzjpF+nNlnVMLOPw1lT9qaLD71AMeRt5uRUtyKlBv7acsK1u
7FS33WVphe3ORFfAacptmvYCbpG/3bx2ryt3S+5mv3GD/mIh8kkyBz2wkQLTCARxWk6Wbbo1peVG
DPIL1aBUENrzlJ2poFfXYqA8AtCCfvSaPKcBhhTrCNyf60AnPnMYzftqcvJPiiuX06LWNaZJQ3tI
W3rGapn+pm+1uXW04dEZ8uWRjpByr7cV8WYo7QcEQ5d0mk4ksVkdpj1n3A0swI+cC9lOUc6zSysH
p1im+fvJnX83TlEdMSA0UcLZERTkhYjTLflnY+G+mFhEUBHHFsHXeUU1Da6xvh7QVDcEFSiEZWxo
TO7CXJ4MBwVFlcWLVibHbcNkWQEEor5Be3UAmQRWschT1jmMBa2d/1i86d7HzaMqbQiorwfKCoEY
6Me46sWZVNB45boDT/yIgS+ChKj9NANqBklwWIqk9gU8Hq7UsCHWatEOZqGPD6sxzd5jaRftHVQ0
ZqQuUflNC8hpZzW5IFOYeH1olKN86nFJhYNOcwpSa2Oeagi1ONIt0uURH6yCRmFaHseS8iU9maY7
Sa44nCY+Fql/UXbEsqzf7GF0PU49ez2NQ14f2AutMx5OPlpLqK0uaZ+OrxYBr5+HH6PrWDYBJWh3
KOJj9rPK3udZm/0LMkPv2vkGLmD/1jt8WkxuhqAUjInSwqz2q/2cC/h5nYbLzmz4kxVg6lfJfRB/
5YdcZkZq4uCxQ/SP2zUXEAYIKyZPAMWEUDxi0vZrMUhSUIK03JRS++CRemW6BRRLxDKuGH4HDY2Y
3FERYduXV7WWfye9UFFOA+JLpSTeaLd18mvoolj4qnGzos2ojLsOWaIrzQLmAh6Ec2uX9AX6ww5A
43TGmdo+kDfTHgu79z7MysmjtPC7cKt8JSn0y3iM58WkLpU2mR1Dh37tJmsDpGrooxRo7w0SdBPz
+9S7RtPXvbo8tZcG+ntqRCxKRlkSYrHI9l453ZVo6XG+9qiJOuXkycAk1omNViysbBTSr2/kEpyD
PVX+lzL7e4+7wxz0hTUdLDH8cmkQCqgj0WIEsqNNJUxEJYdlBYPRDj9JY9ux1AbtCv5YthPTaES1
ThS3bRbUVOggO2qOOA/EepPPgk4GDVTnmvtwaNbRi/J6QWvoJY8WPMR4AFi0z3x2ojqkj9CXEpSA
AVTsAlwR1nDtj5xabBPXgB0pn8RhqY9DYTuBOyuHZuX5YRQbVw0SEYCSKmJlY+MfOm6HUNj8o9Kn
S6J40ZkDfRxeLZZQHSGMq6SmRSS9mRirhsuBL8z+yc+lT+VPsUadXfpRP3RHX8M6qLT2BxT4c5V7
TbxhltrpfZuH84rvUEMRjjPkhR2e3YXWz+57otKhHJLxysDsyRLR6cLS9Opbk8nkbC78YGt9lbs5
H/Tj5jjuAdmTHpsWtxiV9zj/UtKkRC5W7m0S6zmmdYqT3fdt01dic54RZ8XwTttgceUA6wwMwkxc
ern+c1kyznwGenYQCK6UqfyMbunvlnZ7x11SMiT7nGWSGfY6ocvFxOd9uaj56WfVGnOolwNNTIWZ
hDCO+hvMkhMvd5M9oJ6+EXr9wZT526YRagcOfgmmxX6tFFThqug7uif5rTZlM79jrP5Ro80SqJdF
BJgBry1d2HeEEOW9bzbtURfmdp6Aue5mr3gfq0SPOEwbTu18ehUrehfXqkdco6wB0mUM6CzhXHfz
8tOsSVVX5tocR7tyd3Ly1rBmj7rrITWcTYO17rBu+A6s9bPPkE0mCI3BTCwnoEeyQKDuxAsF0Ru8
o77hG7rhGQpAuoIUmIuWL38aCvnGY18M19Q7i6fOuwDtMMY+IrQe6QTnnkqZ8v3Yl/OdMyTyzZPu
o0OAHs9hemObTX+wyI9Z9ADT8ef0qD5BBlHs2XeKOVwclxDmIGJ7S1zAsL2X8pOeZm6EXbUGuTv5
Rpg25rdT0+4VrfycA7M1mtvJYFGqgx07eIsj3uei199GffmSbTLcbrqlyfgizRwklo5bp3KnmGsc
q1pbb5GDuGPj358ugoHj8InQq4dO+M7DzMZdDzk1NUYMszVDx+7LH5YWAnBXL3Hcbp6uYxrxlLtv
W8PhkandAT9V72/EwGiRiNbUegSCewlE6Wew9/JX7/pEoFMYIDONopEk3RZ2qfVdur3zWLu5+WWk
ksvsZru4bXHzLcd2bmCu5EUmx2iB//Wll6KMwJD0j9usumPC4QkuUCOUWrt3m1tfAT4YvGjidbAc
DG2TfJzdyftOUo+lrNl7dC47+auDgH1tjLkTqWouY9hAbdg2LVd3hScYlI/VPCjLVnm48q24WQq2
DoGeNE7gDdiqo02JoYrwhq63tcjLfWoouUu8edgZVALFLV/XflCutseZmFQQs8r8ldOseOUVN/4q
6b54LOSQHHTp5UfdmZl4E7a4XT0hTrE8Jwu7ujMYeTOX69Wk4ZzwNxqGfO0SxcngecR0F/ons6OS
LqsWguwL8nrkTqkebwiv9wPWg1d06/Eb2+h0EH3js8mVw62dZuq5sRxkVq8nfBWRZIYacMmyMV1t
L/jKK+R8x+nnp9TghMWBbY9+tPmtBbGThf0U44gZiitf2Lj2BEGm5zkRm/srLbScrlux8GYV4OF4
EBUGiJU7fhrbhe3euFaRvU3e7GoMK+Mj4HZy131Wa9f0c+dvCerWDs5LZUeA6C5dfkQhJHFENh12
oYmgr+bqVU+W5H7iXz0sFcerqvzHuWI27utu/KwrjMha5oGuHpAfVc1IWtZTNwRDNVVPRjajs7P3
28+iKs6ywV+7VohGTQrNrdW2kuCVap3dbNTzfYlqpyIHdmMggRnEkzSQmettJK0u68PoLekdjvxk
fRCeVM3tkmb4Rfx00Tv0HgH4hGGBAIhPaCygmNBs+2/GzVzg2i+8brYfmwGoD6mscWUnp/qD9LPK
J0m9TtsVvH0yaiT28aS0SB60hnCOLmwrGJ1c6zBkeK1MkVcYOua09Q6q4Fn8xPVIbaAmk/ScT1OO
k5+qehmbIgUlxcIeo4fmzZw+g2pIaGjtYex942HpBu4C9KvuAaoBMR1WDRu2ao9sPWU0DlZ+Zi+c
h4k5ej8VRU5fel2gHqscC9cehtJTX/hJ/gbQG0oDW/DrgeeR2jGiZBDEhfjdiDY9uGPFCE5dFhvR
XHkvm4RYl7uczrEPAnhHHGz70Bmsr+YVua7kftx4rb4HsjqeNrMb7ltMk78olqseZsJVp431b2iC
I4kclvNtYGSVFacFEfZGT5gOugKeeTFdNE2JbcfuqugCHX/umSLjAZ8CfitDYuyml6UC40MsB0Lg
WHpHjfrKqOHi/gC219+pQjc/HHuxD1Wh2iApOJkohhIXO1C2z1PSSaqhr87KK4rDiz6bP7HaTzS+
2LfWkvnf9ODdEuw3AjXoIENMcz10BiSWYhzTM25vNoAU88wxn5tuRyDBiSkL437Dh1Kn5CTPAMhW
WeyXvMaTBc2N2uhLqYVX0dLKuo36hplECW6KQLCqDAlMriClLWtHzWQV1L6n3Q7Wtj60c3a4SGXX
GBJg5qS1BcmORBuoNNw+beva10mS5xy0HfvuRuPZ7S/ERgz0K37dcFNkW8lHTrx05vU+G3T/Zlpo
s5Z17h4KyrYoiwASrfdNc8p1405AdAv6vl8aglHpB010MqobOBAMdp24wXfEZqvSC7TjhPVW6Vtv
Kb5GEDIXw3TFJvBNa/u3zvLYDU1ib0NT0Gnqnb5B3/QHVtAATSq4XAYXT7CyDqg8djCkrQoL9cFL
3Yh2zQ/sllk88dPC47P8agWXiBRW4NZ917L81Us2GjDr9CYeh5rtzGJhhcRbGZS5n5xkTva6oK6M
SIMOtQFihB5q9QLNUaF6jhhzuzPGkppPC6R8Qy+80FR2fi6pE79Df9D1aLSXUcRTq083/cC8Tf+1
GXUX+WcRfXtpRC5jWFTbIZVC/z3XXNEkbq4DevJIk0RHQGrwUARa2HbZMpxgEUnU2cJDoR9hC67t
UbQuvjQqTk8moYx71pjY0PLuk/sao9has7G0KSM84pKYCtjE/fo6DRcSFYEOi9rlF0apJxInF7vg
4F1l4LJC6B8MjnSHJ/PW9RCuNEW12fiO/HmNPcEKSFS91CjawI1t9j6uEuFMWcprthjYBjpFhZMu
aAOldPeJRYFDF3RhXtVrdsZihdXe6w/EjR6Va/xYnKS7eWU6qqmPfcwa841WHMh4U21/9w4wER1Z
PAJQ8rIAmvppqQ6nl6+mGCRA9WD4XtoRmdmtHsQ66NhOU0kffSuAf+hgTYNlmtie+uv8gLPrwsgk
1oPsNMzzzuntNWf4rwzuOIuzL0bLf8AN6bCytpzG5Y+XeORD1MVmt/IMuHqhTiaRmXnL04WrTnKR
/lvvupBOezshM9NZXmgs+nAksA8xt7KOJ1Hi7Rv1rMV55Ioj/4d/VNTix0zNB1s2HB4iz04+LJDT
6vByNaz5KynasdsXWpHGi4tJwvMkAetyOQE3wSShGy+KV1JYGhcuvXnRAqnZDFefMgrPYKnNM8GU
B4d5D47PDmmy/NsqWE3zAZbvwZu691RgduEDH5Z5qx+LVLtO/J5Zp3S6WHYeZLxpAEVbeLFXuCUN
Nsh/na+TiWDUh6XIAiuhhEml070v+2+9yvnEJ1iqyJXed3YLLLZavWNts1r2NPyz3F0QEGGp3c6m
/ZobNpnSRAOMR5I1TEsLVLXepnHe4F9bJJcz5Yz9saYgG+UCzzKOku92Tvz7USNJIJM5D7NmfS9S
A+VsWK2dB2MhkFiKE4L4j7OAk+guNB+Hcmzm305/AcJaygxc11Ghp3fjSXWIUbohiQBq9nWpBJZI
K88pE6T09EA+Ch5u2Yc09AL1NvPZHwm/GxXWSz0rTh3vR1ovm12BE/KjN5rmzcEHXkWFtm1fhZkl
S2ishfbRuJWi3JBWYMkLTwUQKpYDKSB19gquSLSbyCxacmo24HDF8MvYQyYlj1baVh9YWMQthSbJ
9TZk45eWuz+pMtjT+JnWnzpk6PttwRHk5B7IujbX52exOOOdSTxxu8Haiolz9qpmjwpagaQarBZH
qO/uLo5NL3KLfIlaMweVCKu13eWtCcWKDpIbI1fOFDq8DA55Mj2tqfPMhIBBM0mbXdqtw4HnYI1d
1VNs6IuXWbDkarPafEz1sg37zLoVRp98VOBnQlwbIoS8bF5MBVXBjtBkqDmXNdJqN0zZFTPEsOxS
VzWw7XJ3PNk15w+uGkwD+zSZl4tIVGbBJczKTFO5RnDZUTHezeTLL/xk9aJau7vqOiFYfTdQugPy
ov5+bWUSrpwLb26z+NbNnDv608Rv4EaiG7fXEaxzwGOcIBohUAMMArB7bV18ZR6fHvbi7UxzXFfj
SW3bVkW8sPxgUGPKxLQSETXMgc4pUIhMQpwybxVe63eQzXBSi1EOB2g7OOnZsDO0CpAG0DgISRI0
WB6dsR0Qn/SidQOuYfRxmxopdrNPvx1gS6zS0iRdIjS19WEtpqUILR60eOuwpjLQc/Fe2F9DtNIr
sGxW+zMzXmOp7u6pWca+3Lv6qcXLGTntSGkKEbT7JZ3MVymZwCOYLHi0lWPc9V1j4KXEboCFTfE+
5Sxr7vBJT68aCcqTRYcmKWM8DdcKFu9rQSPnjV7N697E3uNzee2tezDJ3gMJAK4vdFn7oDgz83Mt
cbphup4eTdNCDF3Mkae0qTlWg8oRNcAMoqdR7vT4XbzZ5o01zqiCgaX8VN6g8A+8T3xllVfSMPFR
De7s8JOuyBAPKpXRUvR3W9rbMnDX1owtZKgnffPSE9nbIqxL+I4la8O3xOgZ1Nj2YfBEYMKCS7l8
kMq8ex1dB7/1BTGcNjYvMz5SEZednDx4L/etNtMkhTR6pZLFO06zPsRt7xbnlgA6JhrP0M8N3azP
ZBuGBcNNXkW4D22o4XbCcTJo923RtTfOOotDlRlp3E9bu5973Q7hwlxoumoerkVZWb9QbzVeYnP7
pDPfnQkg4L4bmP6RMz1UGi17WDM5hcAdJkT7RtLJ1VfXI0ZEbTKMmMMpObiZM1BBsBl4N3k0LGlm
cd6BD8sMcVcv7nKk1mQ6uZq3zQF0mQgPucGHxvdC9GZFkNIfMSZ5xVm4/mctFgMH9arvpFg/0rXK
QoDV3AyERFY0kgqtTK0vWm7BaVBGFlMjauFktsU+m9o+nNRqHgtyN6izRb2aCG2Aka3FiFwDENjg
NMyy+qbe8tJeQ64K2wHOHMjSi8vnDpAIOjDZkzKqHXMqHxYny6M142Ujaf4Bdwch+ayx950d1jdo
rASg1ybbGXRjB9AUbpxi4+/rpFgxA9zOQ40OPBUvfm8CD+CwdrQ6zm1ri1BKPvyaMJifsvCY5yyN
eq3EaOdpzc40CsyZsGrh+D3QZMlVAaZRiN0UqEm63VpZDoJCdq9EOOUdEJJDopkHBqthP2329K4t
rEFMS/uFx1Xf6RsT8tJp+b6FAhAsYvyofNndz2N3PzY4YwK9EbzaQUSw+y61W6KbK6g4Mzt24A3O
9qR901M2XjdmTbSE8z/IWYMh9Pj2r2F2xiCtyOO37QL9unv9f7KQvs6/VNM3P8M/r6D/tlb+n/vp
/4/W1qZtWsSp/vO19W2WN3/dWv/5C/6eHdP/cNgt6Dp4O2iJwOT+sbUW9h8CpQi2pKBwlQosYmV/
z44Zf/ieQ/sqKRKX/7l0F/y5tbbEH5ZPnR8jhenyyynl/PvO/s/A73+ZHfvXQC6wKIMqMMczqCI1
2YX/884axkk6ZbVDeB73cxKZEmZuVtIY7dgg1qzV6V990mC7VuXsZGaKnLl2tm8+G8BnpxbQlFxJ
ZzMIildeR2b8l+/kf5BP/tcEKV8dpQU+QWEHOfHflS4CpVWJMfv2kTtH8wFkjgL2C9+XJAocnC4v
1z0T9KUHquES/V//t61/rdO6ZP4cbDSu4+qecO0Lu+yv+/wkI/zujjkKZAoLHqxtOM5QBa8LXzVc
NlvHO5u6qMmUra53tdg+kTKp8vdlq7dvD1ww5crbap3SEsc2Lbcl3n01FrHqGvfey0S7huRDHG5c
FTjM1mp3KLZYo1Gb0b0r1GAbhOJtZq56C5sQeUOHI03M3fDoYRg3RGMxZloXWIOLKC9d8y0VLBMa
OBEMAQKGT29vsWrK8SHDGUZViF1jVRtYdTDK4SEL/SSTIXXSF+KD0rDfe08jRwoq/NYRSvXctsY9
irKn8W67ILBYFq1gGJGXNiuQ2zCuyMTzRI6OzvuQOZClAKuOX7UUlRNoiE5n0IJJ5Kp1eBX41Kg+
18GfBLqRUdLND8AFgl+sO2zU7h5Gbs5mxZy5q7pm9+CPmrzXe3yMcO07HVuj7kbEnnRFoAgUyzxa
1DDQbwBpiLHWfVgSUGhB0nUuCxg7G56MsaE3dvDm8egLv2S0Yo/wAMFXZCFXrj5Bd+dorowiEQGA
lAJ1yXFbAz0k3S72UaXjykxzc8Y367OPUJzrUYsf7+CQAgT7j5c5mB3nl4fDABarW98VtVp2fYoJ
BCouFgH7kn8MUh06JGYEtVOc1XcrlPf9hmD33WUmiFc9h9kxTRFPqo9B26seNhMiLSmOUZ429NFI
OIP3kaFNH0h2bUhE7XBYc9WAnTeHlDenNFc37AC5gF7tasLlvOCvEmiaJ5qjkhcmAvJJc0YKqKQ7
/Lc969OtwZKMqoYaTIvpAVnhFttZAXcc1iY+mRl2e9PmWIHLFkBGPHuPWapJ6wbXHlGDAOHbnR9J
feQLZC2vhojEmr6jEo0iBXbF/8bemS03jmTZ9lf6BxDmAByDPxZJcBJFiZJCIcULTFKkMM8zvv4u
KDOqlVm3syrN+qktX6IqI0RSJAH34+fsvXbZJvRdQj9yKZ1j+FXF8CNJejhRfRJmfQiQoezFdVOp
OnrpIzQXewwF0rhpmto/zsxZD6kwY3QyHJQAVFpG8YKNr+2wyHQjpSO9zPYt9zsyy2rVVhhS2oIx
aIv4UvMK352u+0nPYQgIp6Xa6eGE3k9IBKY9YA1aOpq/sMaKvCYCkYlWUC7eHppM+FDAiisyhAh3
GhKxn6sgZCto81MdgrjbVNABX5rCWTwvU8qlPoriMCVNcqcjO2ExDHn/0M7ym3junLNBjgMCAEPx
avXy3qbQt+5rf9YHr2JSRMellw08YJuEhDoi3NIbgyVRtMA1G1EaPje+VTwzHic2W1k9pUg4cCN7
jegWnIsYu1eBRlNgcqgtcVb+ANWrNMripW5SZdFMSeftx1JOCD2fE3AWw4PJwjoKfKE/j5ExP6YA
LqJinQxEm9JR9VFZEoZDdNz0YqFHEOXRRUXN/ySBUpLraNIDSvBCp6H1lAdYJICZaVb+0k0tygzk
wIBT6tk+V9jg+w1gnkLbDigGYoJoa3yErpHeLDFlFNBFhDa9IRECvFdggEMouLEi301vaivFyUli
CwggXKf9YWT+Y9DNwjdwyihZY5bEeeDazUp5IFnP7bFu1uhCZ9Pyu03e1M53rc8ZlPLhJGqdBrSD
N4VrTxwWw8mtV2hkBgadWnEO7UllG9cGzeVj8T8EBtkAydAUr43efjXHwT70SsXWTm/VcGHKCgxI
YyTfk0bgVnKl06vvkWwrLJHMhbZ6h0o3NHswIJo25acQxf+DkXSjvXLgyr9ZfW5jWUJ5uC2Y+MRG
oc10eKzxJMGDXfkh8pnOmReXQIUGe6zc0vJcCDVXppa2B2UYHBG4gAglYZ8BlUfNuJEKc8JKrzLH
WONpXgYTQByhl7UOsQk5fU1Wv96O66VpQTBbYMnt6LPgN5nZ/F04/vKhmvw3ekfAplRt/3Pd+I/0
5fUl+x124NeH/KwcKQ+ZrlF/cMH+njrgul8kI0ageAh4fq0Bf1aOpvVFUGnSPBKmtG3MEv9dOYov
hsFRiLE2vS6oJ/pfqRyXwvCT2FHyLC4BdCCDDNDN5h+z4WMdW2pjSm2vNI0lgBHmvO+UbB4+fSb/
nwrwj/Xp8jKYpRwGWrASjEXZ+bkGm/UGxc3ca4AHpU7wDedOsxPuTTb0MJ3//LX+hYZjLdRPE+Um
FbaNM//3r8V3gSwJtfx+0rEwCLte4Om6eURFCbbVZkTxb17Q/GOaHp+iYyqbgAAIKXhMxIIR+SQZ
pYthVTqe/T2RXz4OhqpoTwU9JsD4GoRUTvyDehQu4tctAT79YrdK42lnFwOav8oKiLfpezksbhRO
laxuewXahJVX1Yzhx6g+VaiTdzTv1G6Y62iX2ZNBCjwsAMjo2QXOq9qleC+/YoXIj6qvy63mZ9HZ
n4Ddc+q18o1JcMluqkR2iIJm8ip8ShdDIxkWhM38GCayfnTK4FrgNPYGJ0XxWKbsl4aZXEsJGWWN
5au7GA2U8tmci5vZHOKvhmAPyIWfbq0qRGvOoknUUT7sReET1j1XKO171Ad1NQ0epSJ7TWs2QCnb
4lyX7oBnKjFfRBpoezARFcN64EgVpiN8/6PyUYkuKUUNyJmTPWfjhZ5A2K1ENdB4qV2JkMeg95Bo
RKFsxl8zj2j7BUPzvJxGyEMK8zLeOrmjUIf4XOcYDYi/WQkzy1+72imf4y5wvy1miDsVCEppLJTq
R8yIB3moqkkQWbQqSBziCD96j2iPIY4ZAmYHWQmjW6Y3UPZQttkE3p4cThYoq/Lh0Z0ACCZ+RCaR
kXLtxXS5VjKKSYoxoZKNODH9MZ7uQuyOcIJE/ZzRLNkWo2hRZdkki4w0nn/UWRbuqMbfpkUmG5A/
dxVgyqG5MFthBpyveAtzP72u0mz+xlFTu8C3nE9i9l12YbQGBzvvhbZwd5EwagiUJSM/tBhC7vsh
bzxzipITsVDdD4CjLWwxMJTejL0897Q2Ukc+ggbCof1WEZ836EN9zheILpzYH4JdlGGIpDalc5Yk
wVdMkxEXaZnuNNqmK3Su47rBN4cvUwoOKRGbZdlexWT9EK3eBsQuCzd+sVz0w7PmfDd9MiLCwmaw
y1z1zh9S42SHza01Mj7GP0sqgeq5e0aaSdcm3Xcv1slFyTCrWZjXrxMjn1/bsZjWfLMWtugkuSEI
ytgkc9veVUg5ge66d1WlIo8smCcNT//ZmEPiEKe5OdNSm71BUQnnuYLar6sewYG85AgZHFSrxj5K
XKAo4DD6cHpDBsN0xO+7jthf6LRovSZ3ccjMjCc3JJomlscQn7yXKSXF5+QCmhoPRA/ThluHnIPE
yte0YH5MmgHq6NJcbQaanFpRbbqpb+IHYAxuQH+basrthwdnahkp6wiOIBaGmDmAK2KEtCrksqp1
cU0xj7Sdp5FBhLt1psSwDplLq3ITpdrkorACKiDpLrX2NkiGObjrE4ufNEssp2e7onBeFVmdD7cB
iWmuuWI+2YRXytf6AuKGP1jPRhmSErESOcRFbwCjaTzG3aBZ22qhr/5wsOlhHkGPqx2TiWCe+j6B
u59VO9wVyTNhBcm96kllqQmsW17MIfREtOmjg3C85sxhIPgaOpukhbHHeDnM/UDKzBKmaLWmeRwM
vwKAOlp7AxCHsxpRnU/oT2A+GyHTQ/ygy187vu3fT1M3QKJjVs+sIedQnph0UdOR1+3wqzHKT+Wh
bER+jMZBeS1qUIxJFfJ5xHuAcyspFxBL7+hb/IjFJq0jENglFsy8Ecz/tQm7q+b76vtY8/+qVsvv
mRz76HFybclZgS0BX0SWv0gbUjW/yBIdYMjiqqQ0nTcdFq7Qg8ZSHFyRqhtoKfZLCuaXqUja61u/
cbILfWT64IkLknut2SX/ZoFYezfgUzyaqClvCSuyCVeZs+I+yMKoZHQPxZfFg0YF9226+dhb/7f9
LP/n2oeIOf7U9PIP+mZF/vsq8OMhv1WBYPG/CCksc0HY6/KjKPmNPYWAhQaitAUtAeZ9NET+2T80
HapAHuXik/34F36Hn/1D/Qu+MlfwdAiwaf79lSLQ+PC0fCoDhXKpYPTFcyP4faS51FSfChgCfVF8
YGY7gdbGYW0zr2uzdEmywaZyhXrDNYhDrpx27nbYU9JMfGtph+peksPBfEDT0841hyaT3mFax3UJ
vcfp86p079GAMnBBsovi5CP7HPXbVpqAXNYssxPOjWHQwjUDAvJcDnWXZk3frGhJ5W15nacTfkuk
UWxnyi3zk+XH45GiqhcHBo3T9SR9/yE2q/KIqOFJa4p+NxS9E6zFqDaKbJtTnDXUS/HIXWFZifEQ
2hE3UxSybEHVHjgtgTmmB2WibucmnynawDWMd3PSWy+iNFgP8rbpryMRQh00wpYVqUbLzYDCZFa6
y8c+3Y19nbobSxXRwSZf1zkTb9jjwZsEG6Km4bCzy6lFZ5igbtdSCJEhmIF96dfDNp5rh7aPlvPE
S+DVuNDZMWAQK/DM7FC/G+ww70lGRQAYNg07BV4KkjyaYJrRfWc1w5Sqf2oJ0Hv054L8lDqoGB6M
hTsmK7+2eKPSF53x5DPjOA2WTk6rQUSj1PFd20FZQbPVa5jHhY6hRDqDhy8KjWGUIHa0WYceFeFH
J8wBGEGjWFYkVzW1ABXMpY7ZAMfDBRGdZ7AEZjiy4Vhzxh9nepk4/6ImjjXq26zHm43MotiIDgF4
aRN8WBU+s/Og7/BW4rCEI4WyPAuMHrqI0Qo+6KBkCKaj1H0n+Eu8zKQNEPm5dLGX4soTuZxeyFVR
xlbVmbXrirG81/M6vGJumj4VuKJXvujRRpekoO3TPgzExqixMGZTvemY8i92JNDYZZiCohb6qPcY
RlKUhuiWvdCp1Q0gWlocfo1wqJIB/ikGiSucJMk9XQOaZ1bYUQzFWnFAS2wc2szJNjYJE9+5G+oe
z4uuXv2sZ0Q7NW2f7IK2IikzjbrDANUMUykAlpXK/ebelf2bGPB89hNjNt+tGcZyB0QHZHUm5g7I
ugovsqufMpu4MWC57vNyqNj1TWj7tA9mIiLoZ9IAYH80N41fPUBuqc+VK+bXlFiCTVcF0yOGhmzv
z2zMa00TaPsRU5ponbTmZirG/FxZcUxpjgZ1GbdFyBOaxN3oJOx9tQPkmYOm8kPOBPZbS+HJcL/1
wT5JxMcNxt0dNrRdS1uGKsyXbN8yERcMm2RvglRT8K7oDLOyEMGBYQkYQ2e15Q05R2rLxDv9JdeT
6cB5p0B/XdFTGSe1tHTfYhHJjUl62dpyI7lHeqbWhTRe0LV9Q2xkoW0J1EgMs+HUyaYyLb7HYVWS
rNbZt0Oj+QEvm1h2B4Pu713xP+qNkEz+6Wz+L5kz/6iTl7z5vRuU4RmP+dkcUV84oNvMhpS0Pza/
f47VlPyCiIPsd0M6H5kzdC5+Rs6QK8NDaGQruhYwaD9ti+YXNjBgjO7SbPiwkP6FsZrlsvd+bo/o
Os8mzGVr1pFOW/bSPvm0L1ZRBR3b6OTBSl3YE5bWn+sc5MTsh+MxDSprT7keA4UZhumHVTQw9BMJ
+cbVsbYURUdjEo/1CxA9cZ3ApTxDtDUfbG6sgB3BzjdBI50zyKoG/3kfPWTI5tCy4UDMAlv/XpS+
C3aenBg6SPgimuqVc0G8H7UlAySKh7FeNV05v4kyIZUD+Au6LhTw93WDcEOBS7ryHTPddQsAaWzz
64LA+bVKoRtq8A7AMzfDIY+yDOUm8WUbQwucY1Zx8l/56XiDYhbmdurSsW+CPmaONBqXUevU2YkS
ca1PkbiezElDslaY1daAVLLTCyN40mH7nHWi6nQEcNe+QZalgBCh28h08koCrBNVab7jC0ITlDHu
cPU+N9Z1Vre3atJpv8YEOEDmgv9Ss1LurFSUPwb26K1ZE5GMHJmNtyuSr5WMbXQpqUTqkY3xXjVt
uxnkkG2EM+nrVje6b4Ub+TeEsQ6XtojmN/SEDLbqzrwQmjDtzSmuEbvTsLZsPhyBymlb+VZ3JUa7
eoVaOW56cK7bsk974CUJbyPAPCOJP97TjMZKm8juh6bMFR37aU2i+5WRE4nja+B4IuTAiShyCDf+
dZaU2UFztUNKUb8JqoIje19Xu6rqrXcCfQvCBdroqrXlsLOF8g9GFma3+uzM7G4a2XzhRIPYI2Kw
uyrlFD8GGLPgx9mZRy1UHoEjDfdlP1QPypfR9Sxscc3pj/kc59zom9/K5hR3Ir2XhSx3mXQN5OtE
2O4t+KEwJFLTvICMjq4D0s62k+Ngf+Ig79xhzdTZyOhcEy6KI84eInGLE8k5FkFr++t4lulbR8Ti
GRpRup/GzryyW9oAWWlHz53rRE9VGepnZKLWJSM+ZT+SQH4WWm9eGYOFF6UrgptWFs1DTOMbfXGT
HjKtI/DYHzB35ZZ7hhlpPOdKt6+rQCaHSGfGhBAKZSTupXQ7SKKH03K4MsIBwj+ZNHsNqQ+joPYl
7GANEvmR6J4BSOGlMhEUVmN2CCaImtm0hKFWvtw6bonEmASzR1Mmb9Ngkh6lBdJ4dtz8gYzP+bFp
ADHOhD5citBGMU+KiHa0tAYBNZlZIOd6ABVrYF3VC/H28a0TkBW5kqap3hiBhLu850HBHKVf0UFn
eJw0ShhoCVdxwJc4gLA6MF9G2ibT7N4xm/bVdGnmkbWtP7RFzhRjgB84VLscES2wHbAjqyiNkwsy
+fTO8tO9jabtaPtzfpBJRtRA2RFGx2L5DH8CW7OV+VtIgtXGaejZ+Eii7zgCy1/mkYQKE7T5eg6n
ZBWXVvLkCG386uQlCigDvj1fqINBNkyQQdt6eQv8CHqPjWaPtli8VmprtXG285tBXLvMaHdVeul9
v3/SfBRZiW3ql1gE5j6HE9SsmR3351z09ZsJEWyBoGwGMTp4B4bRw5/aaRRfpvvUOlNVQh2b0wgh
5OK9A+N/gys62Wlju2SwT5azrvvRVvQKGR4F/oQaam44QhQdabhK9V+DmfhvMnkU/CtqY5a5Bk67
wj1/RfVbXpP7JTxd155i8hXdRRJkelh26C8A0FyrGm1AqkXfaP4I5piN8KgrK3gwSfGa2uGMkSlU
Fytz7UPTWKTEz4HWXpCOJRvHQbTP+ecFuuy4iznq3Ypmce6WmSnOvVuItetnMy5BN7W9zCzUo2LX
ODP0Dr/R4IxOOES/k0Rq79kR5zXaOvTogYy4lIb41MQY7HB/qFPWyfoWxFZ1HYuhetT8KD1zNii9
Qm+Cra5g3swGkSVWU5nfkiEz9nhuTA8DT7ENx9j4BdEdeQWWKl8kKnA2l26WT2GWRl8JHutBUUaJ
2kISDHYA5TBrTgE2Ot0Pb3WdrgTiDrKQg2q8Fx0ffU7y52aayABvRsO9cmmgo/VLCTk2nXjgQqMg
J7eE6IpSkIeE/6zbESrQHhI1l1/Tzt9Fehl7yeRj8+tN6ZV9T9cWkThgk07L5coKxq1Ncs9ZJ6/n
yIg7+Q6uAcQxnepVDwX9OuIWv2qwxO2Zv5AHmVS1esZeHm2yfBBPqU+7npUJpXxrbCbDtm7nLtbe
SumgumxdbZvB4bzRozw9kPXqb2nwNpcUGeDXYHAZCIpK3IeMUXk5x0djPmmYtDkwnOupIj10nt7E
3LH8d3U7k0A2ymA3moNO8gKdNQMiKH5zoydasY5AmiFytjLMNvmCQMySSFyW0wN7fxwHD51FIbKK
uyrFK2mq9lLhgNoXZJ1Fq7F0MBjOTT3k9L3c6l3VZXLoU6zDchy0Eygfb3Lz7Lbv82TfWt2zVUN4
Zq1FLEtISveatPYzcQEvwu/enXR+dovxDnUuZ4N5KHm9KjvUuTOhd4keoPqVxzJ0nIe+TIzHJB7y
NyYj4zdG4M8uM1CNSz2aOOcSUMu76I5lhYCm3XGiBtZyTanFAHgJAhOWFxlFKz0mxuFpBLyNdBTL
xW3VVpONAdF/76IJdGAKBlk9020zmGkwQ1r7hQCfQNWzy8KyuI7KSiueSxZQai/Vb3QmoMRYTEF2
JCy33jRDbGwo8pIrPZhyMK6R8ww8FGSj4wfxrT+G6RWhH3r9sMS1+7t0JqQsX4/NMJPpFbRW/AOR
SqN9tSofn48ekszHWCdKikO1+LjzD0e3KvJtbzffaM7ChICKsxGc/ekUy2+jZgx7OyodjP5td+Yn
xy1YZcpJotkgK546hX4EMBiWxSRgl9EcBmXUIl/zOUy9EBXJkR1Euw9JgT7RecdemuvTmbMscU18
m8e55bQWRsOLTNR0rBWWvYa8rJ0Orw1H9VJumbPRITgw66soOiQ+QGZ7YpDvt3s3BUII+SnaNYwb
CT2SuNLJhYkrLTjMBBDid/Qh85FTf8SkcbKBRq2Fo5fkoqFNngKn+t6ZdkrAkTXtoqqHttOSE6YF
gsN1lBZYoWSJDy5M2Mh8RKUWX/O+o7XC9MfIdtBDxLvsfMroMilhcNDpMfUfNpIs9xu6iNxp3jrp
VIn11a8kFccaNG5EAMjfh7j/5BDn2Eu3738ecGN6LuqXH78TR/76mH/2Ng16mxQiXD62TleS893P
3ubS9uTUxHxVLuCzBZ7/39pIwezbYmz6IZo0Ph3i7C/IGQ3l2pz8mI4TKfoXDnFyoeZ/7m0CBWL2
TJqmy8uhof3D7FmwSuCImLUr2hRVrNgMQd92T3UPqb4+xiJzWFzJtHfDeEdZxHzsZKo0G7wgY1dz
2pWF4K4MjlIBKjSvc80whT2hv6OXRGqOy2CAiF08wqO/ww1kRRFBamjpGIDxtz5i4mrmtb4KEkoq
uBZBlxHGTHB2Zk0zZDHX0VYhtQuIN6757Gg6ckkNJM0tmgCA+L14Rijst+sCfXc53ccVbR7Tc2Uw
OBeWpi5UNzDXaJ4pSQ5m5hoYs60uJ4Aw7epZm1bOxKQIkm+B6uTvu+Y/koU4dBf+/K4hj+Ktjd66
9rOq+NeH/XbjOPqXpa2v2w6q2OW+ofvw243jmF8cbhe0JyDIdGQTQKh+3jjcbdCujEXK+luL4+dQ
QIovND5sa+FhfQwT/po0ZEFxfb5zJNhDIi8EemLEbov2+ffdDwshIpiqqN8XebBkz0bsRiQerK22
fZrs5NUVNAXKYm69vMOcyygK1NIIGdLVicwWrfvg9m5yROAE4bBLT70rCc/RbA5zNYJ7oVGyxLQ0
J8yW1CL5zFwgExtqDHyKLjDXUmm0K+xOrR1lXKD6gZkI2X5jwlU9vXJGECK8JlsNGfMM+daCqmwT
J81TnyrKpgjrTlks4qn41dZKsSE6AtPHgpViSFAfyr5+0omvWc8WGs14tjQv851HbRB3sam/4j6M
eGz5lBbROxsPQ+sCWDRa74seMpEwct6PXY6tJ+rqydbjxVmEZGDQeHuwhA1Osrjie80hA8k9BHCO
PRJ2y3VPiFjQZmRZxsm7kcC7tyGIrQq3bjai4knTno9AMlLnLfAxCPeQRU2z8Wt+qhf8Dn0pOSH5
aO260MBQR2QW4aKUHXaFIa9P5GVwO6wuPDImDnEVKdhhs7EcPyc+gjI1W89q9fkSFOlFTWnvpQ0v
ifTMurIk2lHUZYbXVfxCZmknGzEHX5NGcVJzlkNVkb9PeVXsKyx5a8ufKLwTIqhWSHPf/BSeZFur
B+T0rWfmi50MwSwTDwTosgWFDP+LZk+smgff9RO0LfQQPoSN5UwqOXh3wK14dDaD5RxcXXv4uEii
CvTXJKtmUzpcB3hZL1nvRutaqIeB/tHaSPgjE9alj/ilgpjET87XrPdxB/oJT8XRUS3cb5SqG9Hy
swzXzlGj0ysuGpBWPRpq20eCPRtcWMyhIG2Tg8b1/D6qhJqdedwqHaJX9FR89zP/Ffv4KntdyzdD
6zZMvAoeQ5Ib8xRaCYZTzteiatQaqejTx/dNADqBfBwm1y3k220Qcsk4C0WoWDD7ne2mR6EH79zk
XNXsBnAeuDpd0kQxj/Mouu/T1xTb/Mp241dsB3z/o+IIUibRuePjYnzzMM1880PFfeI4g3+EnjBf
hxzk18ppnggqRazi8A27HReTy9348WHkJTfFoPGjZZK9ZiiTPF84AECMxoLcyUVLpi16V1owdxlo
3rXBjA9D34S9ABbdds4AINVJITYEpvKRIuv0IKs1V3AZxx2NSf1kVn7EnHxGiOlwU9JgIbQbSTWN
PK4y5uNrtCLJtWtwo+KUExu3p/6lkk89QrHf0dlElz6EBb/cXrgZ5r3QUb+OktFbx7BrhcYap2nG
1y1DlRyDUOS7kcrf6/XlNoQytP74brWMt49k+ETK9rKEcAnkJbpec+Cz+bjKZyeZt0VZqx2H7cSb
Mig8zMRSnN1czh8XwHKFc4tfIlLKdubEMqZ67m85K/Jxlq+57QZ03zWXER1Zcixi3X8hkk7bWwip
17PGa+VwjPa+gmQOruGV4w5fgZ680zUyaShx9wiNuzkzW7U2ct0/irrLT04kxrOF59kd4lctoEiA
EZGf4P4kHseKaN3NQtsHFvdpwbzsNDmh2hLqiVALIv8JMT+vnrN8YUumfc/ioM+0kUa5UyFIDbo+
PJk+YHJsTOJGW2Fu6trC6Wk09WGwG3fj5L2L5TUTyLwIxtHSgEUxgIfvD3x1mpOoHfHNl9BU7m5G
tr2DaANpRfY4UhnHrP2eX2HooChyixR7Khb+cFLz17WJMB3ItMtN20d2TwdOA24CSc2quSRqS16M
adHOoYgHzkamK4dQLqZqLBkfRXx/BbavsBL5abTleO6c5J0yjo9m4g74+KxxqiRgVHjKTud7laTB
eKjtmw1oVpbApS3hpJp/a3AI3thFle5cv3qvHP4662KPm54Ajoj1RGpptNXr+s0VmuXlGhPEonIe
swKmVKKFt9rQnR3mtthc3eA4RSMKFY2MVdxzzEw9IxnQuOSjhlRjTufviQVAGIm+K0nBwX1L2AN0
xFeY4eOGdghB95EwHizwUpvGHcr4GiRjd4wGwVdoCtwtK0IqZOfFgrFZCNAXDKC00SNyZKOBXTcj
I+kpaYXHSI24a5pMpb62q0o7ln73orVF8QPl5JuMSIJeBeaYvLuVqc2oAfBEN2uW/4FApLrYqiwh
FWpVw/Zfl3HNPR/jatsEbEUbgwzQa0WArrbFFj40Z7zULlZyRKXZHrRTqz1NAaakECFkevJDZWK/
rVMdz8OUVNHZ6m2DZBj0MhqGfsqH0LEfPpVit7/W/p+jtpaK/9OJYKlrpE2bBWGtsGl+LlOfT1Md
UB/GLNFn7p1ogsY2h+9RwuZiAovq8MZwWXHXyYgr/c9f94/K1I/XlfQ3aUIJxxR/qKfUJI1JtWW3
14ePxY570IxwVgyQ4ccyef/zV+MA9a/v0mGIBshUofD4w6vBmcH9O+fdPp24QJZKQCWMDwLa1b++
r79VQf9GG74Ev336Tv5l/sk0pK2jt/a/ivf/4hjdZa/R7yRCvz7+52mAU6+g0Mdb++thgO/z52nA
+aLrHBUcYf7RYoiPkNkpJ1Y8hq4rHZtr7qdEyP2CPsgEGeoiNzAM/ukvHKOXw8jvLieqNWuJ/ST1
k3O+ubzzzzcN9puEpLVR7MG0otF4R7N7Q9DcIXbdTU6qCwiJI/I3T/ndEyCNVWw2/+b2WU5Y//Ir
LP5BTiUKLi+ip9/9CgWK+NJ1A7Ev6kmcffk0Ee/T9ImXZwgaDWS9bdVtVBngpU3967IMONEbMvcG
41lScs4h+7yGxnlJ4ShckPMwDxz9XC3qCWnBrQWVrRG/AXvyjbAwfoiijGQPAD7AH5grhKtJSnS8
09dmLnZRhshW8yZLkZuGa4msevtE5ZPjphM4vvCGN6a5EQnSBzN/nNxkVXNN7CF3rDKTJqxBvAgJ
H0xy54tsm6WZQKlOJoxlxazpSKW9JjnRyrukYd55cHJWIAbai62edVPzmsB5YdLBoSXWAQqba2nD
haoU+cYhEc4p1LNsjVXxbtQQScF/8BJyX/q2/E7LUeyitLuFf4M1P3+d0aC3MeBzUGY7ADzA6FuU
p6D437KRFJEE/ziZFMNbLoNNYHfNiZhoGDxYGksbRAr2tSgxb4IsDtYft8zfi8u/WVywZAj5Z6sL
7us6+P2C8ttjfqorxBeg2EgXHUESJk5j7pffVhTX+sIEWeJmXlp5DED4p5/qik+NOPHFtBwQfggw
HH1RR/yFBYS154+379LH4MmEjcTQsOxlw/q07QKOzF2f+Bw4pcHzkITjqm0At7JJPyHeuwdets9F
Vz25mf6EzEffds60pWg5tpPjejNMpYOJWuCAEW5G04s4TXVJumMtQLamVUzCelW/T36PuTQkTKJw
iRHRgrT8To9S3GkGCe/zAoowU+BDpQu92IcK5XWBc4f4wr0FibJJoAVe5QOgsrbvuAGGqvIazWBE
NMj6KNoaa2Z2MzUGEraWVB3SjJcoyPmCecvaFA75a/o0dA9GpGi5TaN/AB1Z4pPTLwM+th1BFt9s
iasOwVu6I9Q8vG5FpF/FJr+TQBZ9S0ej9ixmyLfIQj0ZpY8dbfzORFA3VbZFpdy/oPFd3Gb9sKnp
rb9GuQquYBDPKxOkDaf7yt4BBSQ4UNbObgCJsiZUZPSY8P9oYwLPZWf4G7LNwYU73YvRT3Qf2/4Y
K0JhsgghZDzjRJnbPPAUcNOB4+NdVjXbNp22c6Hd+ItNoNOqcV+aasAOUOh3qjTSp7a3ym9WH28z
bHWz3mZ3CfLWU5S6Na5bl1nVGor0dV2awQDnrhfrKq+Sp24uogsBchzZG61dm2aOt6AM+vqeAtS/
p8KxrmQy4ZHTMqveozqoKB3L6IwrenjylUHONbagxzEzCSFDeAM/r3DcU9grXBIDrYCqS92LMwyo
OYlCDaCH9da+NbG+O1GMZjJ2+vQxT3LaH+TNwyhO9bPMZ9TkM+kZGK1FCfEHYs+mxMHBh6cMFKVh
V1WI7cr8WIMJpcNSoCevtLmrVpWbc2KI0iXcRS/w4rAjFFcTow20jk783TF6zd6MfoCq3Ij8xxhc
5L1r+pk3ZlFxj9BEP5v2WFzJIVYnJCfx97L0MQUp3UFJHhGYsM3Annsc0MZbmCA0ANqErW/Bm3kN
8PPdPJD6abYDXWEr6ieAma58qYSZPiKbF691h+1VM80OEAmFzD6oC34GF+ctH6C2Rni3iFyF0B/6
wsqPnJAitlNGbxuRB9OtAS/+0YIaleytpufNV1Mw3aF04nckNWm8Q4JeXDXs2oBvkLx7qIl4Qr1F
1odIGDX91OMDG9usfAaLEu0ioKPM3JkObSB4Q1p0QqwBgFqi80RT7EdEH32nd2b5izXW463fFYC7
lt8s9uPS3fadztOnhuFcghlmYcRoDFO/H7oXOXINykU5n2ahPOIJ7h6aWAJ8tSfbXuO+njYt6Ka7
CS3iVwdW5XuaLmJOq2cR2bg4jT2hmn4XDzL+/nGlxRZhQUz6FYJefTKsqw8XAZPu4mYol9AvCEDY
uuYqfZRqML4RLBeBhM6kc2H+Kg9F4o93+og0oq6hqxhB58h92fOldtgTjjRi+NYMDtTbFK7Aj9YJ
I/QShQ2WyZ6uKl837nwRu3dDpWUeOWTIlCHh+t+VAeuQWXIYIZrEH6b1Lq/oTHmyTYNQuy/mCvka
vth7hshqV6SkrX98W+A6i/soAH9JgKSft2u97d11QXlHB0FaJ71qyDykQ0Xsix3w9JB+grWTLv7c
mT8iFzEqGuS1URUk7MbzucnDc19Nt53WPPQVuureKr7neMgD7GtraERG292IIbgNe5FgDAv3WVy/
W4O6UmYB1YlwrNxw7sbG3JqE6LX2/BjUjb2xxOiebJsnLH2LkkaDrzsVa/j5xV3LPtatDLNg+hnp
9p0s46+4kfWzjc1/k+husLER0651hzSvKINyjU58GGO0ssXRzB3/Vm+18UYfDQJxi2CixeXaBPgV
Cb0y1Utvoj2Giwl9Ud/TCmrd5P+xdx7NkWNnFv0vs0cHzINbzCZ9JtOQSVesDYKmCt4+mAf8+jlI
tUbdNTMa9V6bCoWiSaYBHj5z77lEuWiN8YVvGr+++QMwLOYRrBh3OMaJ+DNB1Fmm/dkY7a7w7Acc
AjjD+s66sEwP3rTQ/CY173PsSoQjhcw3WZ+RRDsW/VrLLULL5JRBEG6IqKocp3zsrDmVOUqmr7y3
SXCLChB9kdxULTT9pKsOvpturaSNgMFOfMGAETaqnlkUw5geU8d4xi8N1c2v96ka8z12TWs3cAiv
dIxl1JgpWTs+i/twYuEOFq1Grw2isdSPY6q7h4YLf5vAhkdpHLzpRk70eo6AwRjR81XXKvbcH7E5
xwUPtf7ddTQEc2n61JLn9Y5Iwlpzr0OPsMjyYrcrF4H023m3JupFP5FWqaye6HR0YOj1cW4vJ0YK
fvBY5/IrGtsAyTdscrx+Q7W2wj7GjtOaM1gb3sZ66s3iWBoOwPUhfeCyQl7lBAZIx1HQBHQFnQss
il1apNVKSISL0jCrH9JmdMYAEzAlVj+rqt67rETm5EmfRJr+mx4wG9VLnva+Wdtb5jWf2Dbe6sja
6mMdQP2rRiIXIRba1pAiSra1UyNYV4+FvnS4DTGsF+E3L+E5XEhr1Rq6d2Q+Dy/PT70vBLD91SUs
+Tkd67mGwEm7lMIh/ajFdLXoTXij8B+T58RFziWkIEqGQKAfLXMTHHog7Vg2BKuy1yBQoB7cEKd9
GELgqoxb9DO51uUDOlrFgKamsrJwFw5V452rvhq+AzPPvg+mYZ0dFHhLmwprAdRvWmXcRZzkbUxW
OGwZ4kzT3PMXjkrCY6+QpB2kGRgktcqJjY5fdxsvrHPC0LzwBZKJdnEM4JJQPUknm8hTWQYNfP8+
TUCz2Q1BCeSag8uqbYQAYhp4DKquPJfsog4Cndo6qO2cdUkdvPh13F4HKAzJmpCJgtGqX2jnNvTs
PZVCujX0sl7HCt9BhppQrKNG/SyYR1+MPGyfhyYedmhW6lenhkRInBKy22m2eroDMz8BCl53p32a
U4Xlfa8d9JIDrCJqa1cGBHtUcD+WBLgFG5h7ZDDUWb0dRfbhSrokGBDDJXU0/dQERcPEq2y2tRnh
gh3SAPhcc1JlshGE24VmiIzMm96SpikrINx9xrwbmupkkF0bR4gYc6Gz5W1SsZ3K6YRTjeFUqfEY
6AJrY2eyv59mjG/al5InV+9dxqHOHutEDjN8RXtjTnxmCyZ/kEtMAeKM7cavnHDTZWQeaRa65KaJ
5ziQiVvcAreKn/XKE7S8FC6Q9soHAyMxILxYldqqQcHQsqbH0bHcmSvBUsfzku1YGFsEoEj4jGYN
CSL8Ac8O1wePPGJziJONCdFSulKHuAfu2CUyIEknOMZhfRWBba9QKSX7cXIUAS8eWcqrRIuQZhLv
fPVTTlfjzu0Ye/frZDZlVNs0H5LwwXISMGF/s0jyhmfDJJZ13JPhzUmZ/s1W6d48lor6dzraN+9l
cvNhjrMlU93cmfbfrJo8t/Ft5sjayE65+Tkj9H2YO52b03OGVyu8n9gj+k1+s4OKbngMZouoMZtF
8VSXQLNtcWrt6Vs9WYD9Kuca+yW8xKltr9FsPAXZkVzq2YwKUHdcJrNB1ZBGexpm02qMe7UJR3M9
2BhavR5rqzubXBFuYaO0cb76swV2mM2w4WyLNWeD7IhTVsyW2Zpp9Psw22jjm6O2QKaTg5iEi6fr
SHok8P2eII9gNuNWsy1XtSgHScJ+8mfLLlL1u2k28WJG/3JNwECiztFCG8SEwYwmOYCN42wCHsPZ
D5zcvMHh2LQfuhjaLze1k+Mwm4hND8ykNRuLWeo96n0HvbGmlsF3DHycMJXZjTxNYjyKuEFOOpuV
ycfOTjLKP2lAQzDuJqpzZg6sH1FjlgRNRJ/1bH4m0iP/cm+O6CFo201XxGRuzoZpyhdnDZdQXVtS
QpbUQFdrNlizGcJrTSitddAhaKzc2YqtZlO2g9ztDuF5cZxunm0wmNklLWrXXk6zqbuoJf7uYLZ6
50bEo0C/OcBpDcExDpnvfTF84uDoQ9u4xrNxnHVv9TbNZvLp5ivvbx5z5+Y37/SheCL3rVzbxuQh
Em3LDfIStfaMaR+PrOeqgSYLSXp6jhkDvRntxGagdhG420XEZhMXDjQU/vilDilKktIDQ1TEfvsE
y6EJg3Vb1sVklTPxvJ3AUMUYZtMVumGcU7Xsf0Yyz3eu1ca7ph4qbAPFj1QhmpVj4NI+ymPadKRc
h413dXK9vyeUjCDnxJ9WKVIVttMETtth6aETtaDt+l5w4IU90/gFK9ePyg0uAm+f4Rb+t6XmX4tX
gxAyD+r/bznWHfKU7jMd/6gq+f2H/j72malz6Kds6BdYFv4xRvb835CFCIFzBjGUbdjMiv8+9PF/
M+aJqo7iBMvNLLn67zHyHL3GeBnfjjAcff6pvzAFMhhh/WmGOztMsfrA756JGab5yxiZyXLUeFMQ
HnojoEa12GE/DEY4bXCEtsgHXf/Q6x+YQkmUqAVMDK56n4dU3+4aKNlbqzbqrd7GnHB/+Bjv/+dS
yP7VBIumhjdn6/N6hoGC/iukRElkoaRHOHuXIUZ58f1Uv5CV0PEatIAQJCBkj7EhNLGOmwBpJyBZ
rerlMld+F3zhvzceJFO0ullXo5u7rxOz5vMY1UO7FJEELRtFLbZLtB3ThpRJzVtldmLqF0w/LMlX
wmk1b0fZMK2EnhYEHRjZIFIFrBI48nOEI3EHFSRHQO2DUrp6gcxgBLmSUCstLfwDIxaDg3RM1ord
dA1UjpLYHzzrfjKc7tkvsfWAxGXH6MPqD2ngEgwuY67zXLY44XpEJAnO2JJy2kvhtm/6AEDtgYQN
aP8MEPCDJLQfD5yTHBDhsEGW9sIEQ9tiyGwOBLUa2w6v0Sde2ebi57ZagRVEd1seqtKRTy4a73vD
p1xwZdfeBVCRDkpjcRi7E8H1mZ+AmBLWeCzCaKPFCcj8qDPKqyb8N/BhSCJiMPUrBLrEmgZB5RIK
ag8nLSy1B7R2vlq6WGTWQ9yrI9StR70LwU6NYObV5IP+loODfdRLNfHRyDzBARAhWML4NS07S4+d
K3z26trHhUX+tpff2/3kUspZjZGe0LFI6zkJId8qQ4vJtq3XAvb5pvaz4WnUdYXq3Sr2CqDgliTY
YlO5bZQujcYhZxPF4HoqXNjYVlCtCfwk8HfSYcnrVbkX6HeXRh06D3zq9R0k5maTMEc5hIYFgQPw
+CEyYKSsgkLPvlV0Uk+lWyY/6wHZ1jLttOqxlvF0tgpTHS3kQV+hGzkbEbQ1qVi8e3rHdpmNPfbl
mBAyIsp7EgLrAd05itvoPeWyX1hmo5YtVxpi8nC46m4/nH1T9Hf2ILt1JmJ/K2r0GK2GWsAcYos3
1FrXqM2bDSBVE8huHHFJ044Em6GnBVlOtXC+2fwSSO+ZBogLBLftD8a7GeI0yZNx/DH3wKeaocyK
QLJmJxAJMHlNEudNwuQACeFGxt68Ma7AaMO7mm7sq/7GwXLtmYll3vhY9o2VBS5pXCGDgqDlzDAt
DGSMlNjTt3t/hm35lV3a9Lg6Mcg3GldOUvuRtU1xB7qCTw8d8rQUPVt+2ZNizmAH2YQXiM8cU5nD
OG9onpDFF0cf+ykfH3zFeVkTQDkHFTYnfHB33QhiYTbTxHo8wtnKbJmGuoUe2wTpls4+bZtnPxqm
D7efFKoJKfb+jCrD0Q61rJoBZpyEwxuYEahmlTcTzvIb7Sy9kc/CYaaglTMQrQhcv1vZ9cxJK7FG
9mcrB5+mbiS13AfRvzBuhLXxRluDGtfvyxuDDashPLZkRrPZN0pbHwNsk5kYHmAmIc6YbkS3sZDZ
Bb0d0GOSdaiDbvS3BoUTAMUZCudwHNzlkY9Dh6De/CVoi5rqyGpLgsxN6xSQdnvUaL3kyrVq/RJ7
SfmEAEjLVkaHpReYYH10uEb9dWOM0QFQYXMazCi6B9eYPoN/Lp48tGpM07sc/DN4NY5nDl9cyeln
EuI6X8QihpipWY1zL+Mx074xX57IagL1cjVRX8RrV89D2CdV4zTwOXP/RzNZ9WHMjQHaJhRu+IL9
lZFXvVN0Z8QDagRtQJ3c6WbS6wu2e+Iu8hlsuwNTadsqp2QRGE70wMLUfC2BmlzdUUG/l40M74UQ
FSGRxGZkS9ON5Pdy1EExCrozm4UFw/MAZMw79B/M97ah+lPrEeo4J6LZ7Bghe8IuBPdyweSEjcju
JX8uC9v+J+e7D6c7Gja168jvjubzJ0Jfn46gAK1NMlrJvklNta4HsgA4G9Q+cdPg25xmwj9cdJzz
3OTQUAguwpqYLTD0aEsCEs0CGVLtHo3QJjXNHc2IClga9QHdRxzse5ard63nOLevbad5cN/1RmND
avEme8Nd40L/TCx9WA2eQIhTK+slNtpqn1Sue0+gByRFK/80UcQBkrZZFyoNPkPA0T/Z2TEcveBT
yZJYcopSx9bm6MlcW3l6Ua2rSiTn0S7drSi1ih+YlHkhNoTvlGDB4Wx3pr40zc5c5dFoYrrhnxhZ
zndyD+uHhi7hDl2PyJYSuOmbsJG59FYm71IWYKsmL9V2rks+iEcuP7lKbXapOCE5OtgLeGsoj9ER
tgSkSx6nzZ3l1YrwIew+TBLl5Io10eSjWDFv963NiGy0BPDd6S9O0rbFunbq9EO0uAHXo19YSM5E
yP4lkXC+8UC0OerXyB0QY+GNJNs17rVlx/DqLZZR+kIJx9cVvcNn6y+aLtLrqDuPqQrsbZLk9E6E
X7kTg6XIOsl4IFzDoPC6BMSw422Kyu8jNo9N22n5qmx1vi/mxmPJzZIU3y27zvmdcf9lst+fh2VE
t7tRk5+8WhpHyXHGXSTHaRkyW+sX1F2s2TOU9Fwgrpm+G777JjVo/PZo4CNhVVEdEi/Q5kAYTxML
iw1YhNMlYL4D2IggoEhvz5AFxgeIefGjynr0ZY40WIc3sFQ32Meuoc9OnKLIPkV2CSAC17KJkQkA
28pXUs7LrBh1u50TuECsQL/CO+J+DomqPzyfxhOotuYfXEFmHQWmbTYsyEt/PRLABpVzaKa9lzgu
uRtl5xxbKKxiQURXR7KhNs0qL6JmjzWELRpSzpFk2RQ4HJaUJ82rmSCmf8CSlottx0MfDWoJiB1m
vUD6UGbOoU+aGRoZx0W9S7GVqpUagijg0Sqov8rM8h6VgpuBUkwDCcYk9c4DC8IczbeqrVc6WXJq
ojFV8N3c/JyAcH9pGK9d4dy632uGJ9vSCZt2kcI9+ySsUTt4ECzgyMmGdb8W5jrqaWPikVGDpkSk
UBn3JnnT+KGq2L+waKh++oUu4mWmh/oeAkOmL0G+YhqyOsa6qmOw2d453miSo/LvZf6/YrIxLFqx
P/Qj/0MqtHsf3uP4T03d337k96bOsKEE6QiAXMu25tbtH14BmrLfTBhStGcefhR9ZpP/3taZ5m8m
DZTJzt0VN8LCf7d1BsIh3WeCjlvlr3sF7D9Lc2gQQc/h4oRyriNDEt4vu33MqRkpyKH5iEW6YpQ4
5ZLoRoPXuZyy3CdSNWweMBA0n/gVgfBEqXblooZiKrQRbXEMTS+TCn06MMFhpTl4930Nv6rqYeYS
YNgsmTKgMJ9ZZPdJg1yO5suG6BWpdNMJxMcV+vujqQF5ZPQ2rGgfxi1Py/Q6Jda080O00pGhdT/I
X4ZVFIlB8HSNo4sqMtzAkWyHdx+yzrtrRUQLIR52jWUU9mwzm7SZNhTk9cEeteoDbEzy3obDeK+l
ZOKZzPXfYOQ2S5RHqcuuc2p/9E1osJYCMRbSED+EkfPAYikmPCOT5vO8zE//H3XUTbX4D1Xj7Stw
ZsqmzkoWeehsw/qjvCKfhKBPlc7j1Fj+3iagmDQH1cCGo2tkrWHWM43HzP17cDLmEXQBb61yPPiU
0BxYCkbJuHZdmwfw1PWnKbAjeMei/DI4aF4L8MbXaGTfbMdJcmJPauAfnRe0bEq9LUmFFWe3VV48
r3luAePsCDM84oY0QbOZpPxCVeQ5+PGHm+R/adpnDuofxgm8aTELKWcBC2oZgS/mz2+a0tgLA70q
YBrkwZsxf/shHKNvQPLVvQZhfN8lVrOnaUaaHRXkauVaO20kQ0IsKUr/qFK6OaqRQV1C4o4OQ2nZ
j8HI/6ot0/wBedm4C3FwXqLOQcKOxfne9oIXduzm1o/ZgKcFUmknhZUZI4PbRlqjbfEsk6pZEk43
6TnXtNXq/Z0+WV+F0x2HxjR2LflaO4p72cJmslYxLoO1shHd6yyPN3b8llV+chCiHD5pyFEltwRL
VYzhCE3Oml2Df4E2jua06knIjgd15aZMzzhHuZlkGu9S60sncqwhI6RxaNcxt9xhGcuhhHiqW8Wx
rMl1TFA6TLglTEjqyLoLdVUF39KCoI3klEdWfRy9zHwd26L64dEuNPhCWMFC0vIplCfYeEUk5c5X
VXyXta1+CpAI3nuF0Z9sBtDtwrQwUqzraEoIBsHtQGJoaF61uFUX2Rp8oDyZNvHkYfuw53uTeHse
qYN8ZWJSf/hhGh6FaPyljgDi/M+vnV/OLAxNAC4cg0UHbTTfpf8LKNYMwROEvavRw+rTQ+t3xVYD
NfUyqsFbNS6uI+HP1w5s9k96n2kpkegR0zeM0VdCUs25cszgULd6/erWArZAlOlbLHbflD87IDon
f6b9RqDeg75mRktIVsZ3fywZfCBVDKe1xMaOuaA0r0pn7UPNzVsdO208idkjwHE1bnrBIoMDtUxZ
vdL8r+1WM9cxQil+p+rVGdPF9HC7bKsEEwOhu+OpqRH+G1UZkCLv6d88LZevfmLIVxIKa0wvMW4A
wi7zaMUCLf4gw2hblw2+QdwkUCCtrnO2Aneiu07hYV88vUYB8c8//tuk7x/n1fzxWwDvXLC3DCkR
mM239h/kYEONwj2cmuBqNpWjsRR1DVDjtfaYTD7vwGA0hjhdak/JGFN426ryq5NqikhtPT3m8WJx
D7Lrz2rSLNK+ek974gkWPpPukPVdE7yhRuDNzFKefR132uavvwEUmrwsx+S5bP4KGi6AqxOZg3gs
c7DAqcRQ57oKw01NLA9cnoJzht6X88J0OGJgImhrLD0VRnvdvjMGHO7cezhZAMy+W8o14Koo5O5m
1QWbmqy7p8yt4cxHtDne4p+/9tvz+JcPX+AFMpjAYp1D0fvLh5+TBTqJwb6WnQ0hf5Ay+MnVHHi7
RsKWNKZ4OiVKqksGxm/b5jNg3iwKh9DCuD+UOTaTAanJPrOHBjxZrT21Tu5v/YF46WVTd8Vl8mR8
ZKuk7oeceSNav0H+7HlM8BXF4gOcaLfXp4mswbSe1H0nhrTYgttscBTYEzRUdCxt1wWvZmQkdJua
dwBfiivJc50Ns7hwU2WRemucYto2Qx+wUomaechWeMvWNNUPI5ScV6AJtTlZxDTWk1WBsCjTDwNZ
FN1SUS+stKr2mUDIULjc6tQE6v526wW+Fn41UE4h5KX8nx2yiMOkGvPKVgwFVJ7g1UENEH3plZw2
RMoFb1x5/Q/ILfMJMn80iRscyHyfTgLBcbwQgO2QRzT6YiQT/EknagkJMHa9b26efFplDlCAUNp9
Ophy2cx6D02w/YsUW2obnc05MVjD/T8XAkXin56g3IY+UEodMTVn9lwO/lI2cFZjmEr7mrwYg1hZ
5hQIM29nM9nHbLoDUgZcODfxAjxCuKEUq94ds51Q93EmYZKWe8JLXJKOkuxAloscFoyU43RJFm2c
A1MpNi3Brtyuhqt/jIOePXP8tx8mO9wfXewKbYWlNXdXMvJKuCaUY6e+aO117uq0x9AirWzBEA3G
dGbAfiBdOScAg4XYapwqd0+67DMyKsPiVcoxI5wh3vq1AwmZG2tYyU7vvmpypB64viJiX3EtMhyT
W8FduyPseS455++1ItD9FQjmztZStHLKjAnnsMZXoyIN0SqBdvB6ohxGEzeEHwou1sSUBIXhPv/E
s52vmr5PD6WRQM32s1FjkzzV2wk1QHkyVSD8JTCe6IXnQPwitWTOlq8GCzdknCevZMv5iNfS2gl3
EXULEEiL02AhoyoCLuUaV60f5gKnUeUB/CyPKpk7q4Z9X7iwIgx/yOrwR8ku5cjLyHbSGXfPRN+g
7bgNxsicgqXnSCFWGZ6spzBs5T5gmkBSjZFYH5EVxCMDF6dK77S2ncsff3wI25hM2YkV+0dOgG64
bOscFyYn+xyoOhnH0B5IvuRCQNUFQPJOE2OEiMSwrG9GOcUe11M3PSQFroCF4Sbq2lBb7hjZMWGS
5A3/NJ3U23vdpK3xT6RYjdDrAMNopmGNXwyoD6Yu4kAaFpZDo3EVxjVV5kKFzaplhsR+siJ8Pram
7Cduxysb0Sxe2pStwQJ2LimbQ5qfXTeP7s3cHZY8DHw+GX+cHm4n6r9l6k9j9eM//+P9K4+Lv/tZ
/tSmUoPz5P6/F5b7cnj/X37g977W138zbJetJPL0meP3uz7ddwADMtBxYMb5LvCdf6wqhTXT/wx0
ECAn2JbOrvXfHS/43xGzz6cYN52Yt59/ZVUprF8E65yMACMsx5wPSBMv/C8PSXAtbV+4sXfQ61zd
aYkk7xSX5VVZdvqVF/20R5IgXESQsCaZ1wbp2bLy5o31BV4OQpK0eyN0kRREJLHfC6sNXtLJDMRd
HSv1GZGfEkIewxa7DIrOImVbTYh1SF9cBxDZXka7JZoEqTQQPByowSFKvOyr70f72Ned9xIhLWIS
SvJpjjTHMEeCmpkA0SnsI1/E+97us3VCEd8tnMK3KUFyy/lCPwpjU3f3YZZN58RXPXE1tbjiDeug
UvdV8JPk6fwSav0pzTrkhSQRJ29TYNXvgnr5VaHyWpqEAP9EO1whwwltRNCNcu9hurK+UKMl75kF
qNPkNiR1+5RhP91c0x7KIkFk4vZ5eO41M9g7onJRq0gPNioFrDjSWKfJUk8mw1+ooYveJ7w8JAME
co3YMHrD9I3K0vJybytd0CEAfJ3scTSi6NLZ3d4u4cjt4iELtwi8vANWpn6rg4S1VlOeO495BHtt
y1ojc+GGRSaOYfiA0yJKC4NIKVH6XyRFq2pJY+bqS7CM3Z3jN+0SCHB96IJ0XgsZpBua7EuWWa38
u/kAXtgM8XiK+JV3FiNQpk3Qu921d/N6F3Ic7lJNlx+RFnjt0gdcUxLL5bCzy0C1YfvSwOMrPhxi
EltmGkV2MdwA1JoXTsmFYr4ERW+7/besYy/rdDjo7xCnwIyNplFhyA9ZmbNfDNpViFIKHz/Z5QWY
9iUoHWLGLKeqV2JQxJhSNbcHIG1WtHAiFd57bfVT8lu6nd5OdYz/1Sp/DvhLmdsOE/BUvM3EMjWW
g0uZPdFL0KlkTx9TrynREws+n9O/V3Cl752hIVWxKmxIhVZDxq5VW4TUgkheqNgYLlMrw+Sl1lE9
9w+T5sUoxQzMGO2WRLT4OmBSvs9N2I/ZF98utQG4APKT8EWKgqhcEg2asURD77h5cA4JmlrlRkm2
pGj7t8EmzccbDfM59PgbSAZXSTY9Ckng2VBYhr2k0+yLHVFWs6I1AKrLHQqEAbDS2AqC7HMQfMRh
NUt69iVDnGHhFkYzBzKWa6lXM93dCDZJlM5eaxgCiIZnNjEBlFlq3LHdM06lTgi6KsUVzdEOup1N
3izBvqPeYLfVi3EHAIvPfaYk5mxgxmBFiipXoChq/ayBmHFWUnYWy2Y4uPjB2oOZN/maQBZ3byl/
OHYW7pShzunU7K5rgedP9Z0jCUI2ky6/4s8T7MFKx94SbN5eNV8+TBE3ZsqmGHXTM6MvwNZe+uU1
pVgljhNReSTySevM7Eyp5y5lgYUtVrbxiIOfU8vLWQ75UuAncxJkZBh5ERGH3rI3kcL2XXpvieLF
F+TMsWwjka60dkkbXiEjRmjKSWYOEGsuk1jvibNALbljXZjjhnfmT7scnmjNo5Xej/7eLUm4MzOH
+CUzMa9Ohfub44l9iWhssIWCAG/K13lzIruTjTJjXatEHcfcnl6tTAhqaBBzIKYynLRRdHC71n1i
mNXdVYOTKQ4pyZnilpwdi9gONOBs7Pm484n/1Fn/kp0GDAxVRvYjDStvVzJN23Waj8LN0Hy1DiXA
ucCccMkVkBsHOvdlGKf1OQfWunWb3LtLG/OdOShWnRCJmgLrt2BK0q7hmSNvt/hQHoYMdB6B1EW2
hP7Pp21aCTeqp/kAIuORh4hn9Ug3QeGpJTV3cYxRAV4S7N5fvU7/CMMN7Flr6msdGvqKlNwOX7eX
f6tLz7uPWuaXkC+K9lvi2RvT7jQSVFVxMeCVr8Ys1J9M38x+ylG0by6ZX49uPed911HIcqTWN1kl
ulM/tUBDdCHR5BNivsYXlnHoRnH3SNRqefAiab1bkkvasuoBdFtdnDyjksjLbIPENztdKlaF3FXD
+MgGbzY7akZ8xp3VHsGa9kc2z8FOj+xk2ScyRd/icWRm4YWQiIS4ai1msNq5HkJXz2Xra4Ur9Owm
WRvkyx6Ip442eZrk59jMgueomAbCiCtbfh9jM8YFofXxkZBYuUOeXLPFNtRH3nbpkvZverJ6y1xW
QeIiN8nili1WLZ9rppRH2G/DcWK7jTfI0ROutzq6Qos2HhkUmbieCGBBb9sSWsJi9rWqK4mu3GHa
LMvZYz+f9jzR1XsE8/MJK9PM5nAMtQZbm1J3IjJBvt0eSGh+aDsEqZewsQxIOnrt+OgvRgf0g/5t
xLBWoPNxm/iVyc9sxGhLp+NJlJKVcpnKiEjdwurydWc49QpkhMJZo6vpy2t7Zx2kY0HzGHMER5Zg
SNg0EFTDaOy2g54/DYqWDq57iOmNlS5fZbbqiiJ7sMDTr+zCPXQhqe6108T/3vz8S6AoKludofQ/
qY+5zooyln+ukW8/9HdBn4sCD0bULehhjtDi9/29TjYohm1CtcgY82e+Gt3777sfYd4o2Tr8KMfl
RYg/RIhhNXdcsGjYMW/U7b9k7HTErNn7wzBJUFuSfzWPErAqAKX6ZZIXO7FIMkNGB0UKFqVcBclw
ronuqtuOc5zXnaJDGkyUNlPLNrBhyuu9hz4slHRsOzKsArrTeX063Tap2W2r2s4LVgRn7FoBQrN3
TX1WsPVtG9vfNrNjkDnoLEzZH7FJefUig9zM+v+20w3m9S6aMja9tMLTnoEF+99iXgVPGeMesDCJ
YkM8lMGB+Rd7Y+FpDJ3nZfLN5tSS1L0OJ2JxqeCzVlIXkioF/3kQ5tE3UehJCtDTwI5ikffdVc4L
bPe2y4aoxF7bnlfc1bzsVvPauwnN/Dp79oq1q0pCLxJPhfaisPXQWzhJdc3sCodbONTURuW4CwfH
P5hk9lLweVsk+A2kuDIuN3aBs81EHMCHOcA9IhEpqGErueZrNp8lsdVkj4ap4IhE4nvYjxUSn9Ff
IRa27jszafY9TLtVZJj3kTMxXiocd62NSMcVHKZ7y9Uy1GTD1dYHcI1ZxlO1Um706YBT3QqeoqD9
C4CaeZ6tYgqba98wIAVFFYcn2UlxHqJ5atN2U3fUScakXj4HVZP/THrH30CnwtdrMxwIG1deTcf/
tAM03waJAGz5ohrtFv/AkH318c0u0H0WyyqzD/1Q5kuXRKfHpJHWlbJI3VmVO9zHUq/JaY8+EtOK
3u3SGVZTqO4y3R5X9hxYxGiTzb9TsbqnRXrMmpT0kTSTZ+LNIsaFxNcHfvrQZEl71hR+/Zg79hmt
NFwAaarzGEt0WcoGTGPzSjU1hBQuQfg0Qe/LEUTMIaRJUfr8WrJh2eJUJDtGtX5g/vGV8d+zdxfZ
A8PULFqhifCvbmxXDx4dyoIZeBKgwp6msyAUdZlUPSskXZW4lbviqptc0a7TtUczFeJuZJZaNZbY
GFz2p1JZ01vf4B5aU0xHBI1FxqoSacZs0+rFqk7TYdslQbjRUO84li8PeuSc+l7WOFsdCjwqh2Tp
JUrbUZZQcEuuwZXSxxw1F1ZcRtsvmpaR+DFdPVyjm8C9E/2MuKoLvERdch9ZzUVjD2iwvFj5mbhS
SWRrQqU/JbqfPdKLl9GijWRw+j13m2yTxiZP0Tw2IY0NGYmgfFPjlxZiUimRC4FN1F9Fh5qTyjDY
VUOvnQbok+ugq8IVhckbh6G8mPDeN5psSsBUob0fsSe+CAeMokpcucoD5qyaZXJbaQc3iOxFEJtv
kHrRRLl5s2W0bu4TeZjaGAUIMe5wqeZG90wOB6NaB2lvw0gPpDxc7qGKNynykqVIE4nu1soeKs8O
933Cx8yWxNr7voMURKHeKVoA2VVVNdspVc5JND0RfXTkDUk1EM0MOTwwI3/BLqfttHq0z4MwooIb
rJRi0HHwMfT1V7XRmMn9SPprTi6Lfc7RJjG5JFDMmXzybkbyrEwUbxFo+3vkYvGFOvG9QD65R9FT
L6bYeHeq3m4XUaO332XDW55BmKumysw7Kox8o5s2l7QeIn3LRQYeKcruR47dRaRmcmTZlOXSLcbv
UwdlmE1ZsMQx0x7jUY3f/ZEc3wXEj/oR4eFjobMyBHmVX0qUnP6i97Ouug9J+Nhb1RDJbUXIA7Ih
GyEdQrZyX6V9gNqxaLO5Z/SvbeL+rEp9WBLTapAh7WXEhjAVIGzVaWHXOEVezpqavFMgljo7YSEW
O9rGmKJp45ltvkFmzYh1UVRDprqXKBulIXYjc+QDBL6o49mi1Z8pXcfI5j/p6MmiwXQu4L7BdCSl
8nZp5yXTUYnGeVA8sB9pxLhF0oFLb99ga/8mjbg5RMR1k+GKk/+j5eqPl0bH0H5paIGLEs2p3Gud
aZ65CnCoHEpT9w71GGib1k+KEBBou/8v9s5sOW4j7bYvdODIBJAYbmueOJOiyBsETUmYp8SMpz8L
tN2/pO4j/z7XHR1hd4RMoaqISmTub++1oa+HN1HWZQ8eJ053BfXA3UeIL7i62cm+VJ7dbDlg5QeJ
Z+fNWzqgYHqSBWEn3NqXEDdyvMJLhHIyDx22vApeyGD1PTXc40y6hqX9W5HaFF5TkTlctX3T3DKQ
AIwI85fCCNRfVJtEYUJY2bjUnsUi7dRaxC88kwmQD3l3RfArvwl65X8TY4QuFGWBhQSd9s8GeOTr
HP2IuVj2NV8kJfWhLsUfSlO3iE7hIj+psj9irMvX6DtoU4ytOXv5AZ/iKkki71O3CFmZ02RfjEQk
RJc6E5whJWfDHZxf5xPPEX9bfUhi02SikrhuFawJy0XhUS8CWhrHvs1iFJIQTIv+dnRrTq35FBm3
8YcCZ36IcR+yXMZgjrt4UetM2tcgR9TpF5vBBLp/8QCTC4YYsKTgmMo0J7Aa8WWtYLrczB/6HLMr
+CdmExPPn0xfXDF7Gl7UMA1f4frXr6iU/a4wEl8Do/RD1Kt6Mk7MMPvbQrHewDPUmLXERMOOLiB1
WYbXHDp3qvTBNYbq1Q9H5lbTHFB6IFHwNkmcIN74jIaeYTPb9sorrfYeliNQCmO0atKaVXbkOxcn
e7yPnPsmGz83r9zfWq4WL4HfBva2iAUJAtkbdCPh4b4P/IoZtTW5sOe6gsy+R3MGyzO4GQWRFjS7
6V6moa1PkrDCxqkA80/9cho3ueHcrJrXIynvbS0IhDoJXDsVgfZayaa6k13TbhrGTJfM6LFwukSe
NqObVMfGtTVNmlmhX1KdLDaUsGskw+am/Aw3siq2re1P2KmTev66mAGvAjFUG8t0frfDyH9ycW68
lWFT7mDw9dmGJR4VZ+pTwnaDn7IiqnESx9gV7pU/2+5rr3R2qJBdQ5L1CsP6ZE3W7+5AMVQbSOuT
T1wxRuCwRntVa/LIRQmDLvRG/m9KlMA7JLiA7r00qPv1yATyradXaI2+Vb2GGOvvlE8GlXp0U7x0
HBrBeYqh414STbcC/CC/+LVZJ1t61cPFn5cEn4ltFU9Yg5xmZzFiO3dNN+37xDCizaxpGszJfR2T
ML0FG09fRuFehxOSWpT3694ztsSFKUmbWv/Obn0B1m7h8PiwizcK8MaNk7E39FCb9wwUMS4q3du/
+zSHOKDeq/ATPVkuvdm42KFRGJac8K3GYg+vM7xuWpPeS+ZDRzOh42S2VbuZKyvD1i+6i6Tp0el0
/jVKzEVU7Bz3q0NFLXFPAv4UO7T6CX0y+N1h5rKjtRFfMb9NeHGVRk1AZU3xQFkpSe9AAfGPdUg3
epjayZeKcGUBEol/VEaUsbRYw1XJwPE5QwB/jJWI9njmDc4HQXfR1UhVlUydRWrJKcIS7BHzITx5
c240ZFFqxoKxj6pSmGH6uQFpg80rGPAORLEiOV5VprOtg3k+p4asTgOWugvvMLuYuDXfgzluYZ+0
7SGv6n4X+oQ56iykFCednys8Id1amlK/hVbt3lIWZ3yVItbH/06R/lf+SKwITFd+cUr+8hb9gCCX
f/zEX/ZIKRcGOf+TNlo3v7l/HZGldDFBovKSb8Mex4zprwMybHKOrHCNHWbf9sex+q9BEhE6HzQ5
5shlKo6n8p8Mkhg9/XhApj9KWIKXtYDrbUkTzI9ui1QGdcdXxLlWkW0cQ3pX6jOVCiR/DU9OykUk
xxJgwViBEJc9zHGl/N85dH+NIHg+EP+yKMErKY5CT3pOXSM+cwwfW7bUXsbJAVA+T9a58TmZgDpA
/M3MkC9HOAz1kyjqwFgVfZxZ+Tn1YZUDrkiSa9eMCLAQIPd22MyLYx5MjNCTjpVoWqYheWZvyJOo
XRRjItkmfneX0n7Kw1sMwSWDknBpOrPdT05fn0xfD18A5bzaeQvQwG/ESzZg1hdVXL3qPBVrIv3O
0bGaN0snDHhHL4Kt4ZosyPMUjQdyUPaOX5RxzQ44GClO6XeR8HDxrLWPAKfXbtXJvN+pJiPdagKO
vTGiyHzuaSa0O6vayJjBTRNH4n5qFhBIV1Mc2YpnelX9p5HnA0bP0WIr6j+Po+dsezFRONvnd7gm
64PdafOatmX8gjB4GEFBccfaPRyVE8VXvpG9+S26O581nlSAyGeEeCq3S6P/vUnd4DgFytoxRmJH
lNFLOCee/Gphf6oZYOvy4Jvx167DiO4P8fhZSW8AxMz4j5i0F67rPPNeCS+gtboJ+TKvfM7j/Lk2
uDQdmjM8t6F/CVogo9i1yq2dxu5aVUv7jzsUPLLghioJS9KnNWge7aXzMKqOyx35VPeNs/NkQEkL
W4f0AMCnxsrhunRywMCmvoLY+V5gWJw2VH8ODAlSGd7b7INup6mZbwIc++totutLRL805A4xKq5i
lZChXHuP8oPpirbB+GFgL3dReTVdIpgBV0jNyc5hAb4ldKh3RdOM7y3NRsUKTx59oKmBD71p2Muj
p8h9TjPMBTJBfBhV0VzawINkNTpD+CUyM2OdVZU6RBIi1YruD/cs8UlyhGhdcT0UeN0d7VOjowtT
FEDsep/zSNN9skZagFfsd8xdaqU1EWng2RszjPpdH5mE54zcIDfF5Onc5xz2Vi0KOLF5zHA7nzxY
XPOiaNiqTs08NU/oFaR4egYh30qQVVvPy3wgolD/tDK+OLMSeDGiBMorVWwrizJzMgUzpkursqqd
mwj/mRhluuLAfq4CWF85rQNweZT4vQfSujNB1rwTGpixGuU9toc+cvbYHtRKy3b47Je2hTQeuBvh
UkHTQb8NkTGG6VwOht2uPfBqJ+KDbJ1yrEvbqTPnW4Yn5Xau2a04zlhsqGA0jw09R/eoI2rvZUP3
SRGzuCOwELFDCLBUuH4Yn43KmohY+F6+9nzekoNML3Db+QRe3YEjpu4nZKo+gSpA51I8ePNTP9bw
sHH27SJytpsIsPhKt3ZwFXmFvnXQq2Xg6Uf8xM69b3UHXVjzzUBQfo3gfUK5i8naZuZ4ZJ8N02Jw
ytskN42t5NxMRqbypgfKvqorRirmo8kG6zUWssYtDrOmG/TAFDCOgmMB2fthTGpz7UPKsMZKXIFb
gBxTDnehXevLlBB0ZfEU1w274DUMKfZWOZHGXjBZDK1BHOdafpGDcq4ruy6OJmLLMW86EoCyYYRV
VCb+8yDca5MG0yCuHg23mgKcXVb7AFtk+pojAQF5dqfDlMCRoMYqx0hOewyOS5MDY6zSvduN1SYO
WMiFObdnOmnHJ+rV7V1dFSHGot65EmNhwDNjIfLDaNgE9FS8WKWIDhMn3TWxSkJzNg1QhImU88JD
cD5AC2VvktQGI/TIWk+O3X1LAiKFNjD5+4byrnVFbRq6q3gL5zzc1jS6bEzSTXuvb6jhrtiBvWBO
ay86z+5J3HaUnlI0ZWlNtx0ptNu5AH4xjN58KySRkibS6WLWC+atHTqaajkAKkSuvA29of2mcyP7
K907/XZwx3dab7D8sWbSMZgS0NGOMi6RAf6nrNTwzCYP9q6s5nvHG3yoXKXz0hHQ25kMsjez8rIj
fvTxigm3wYJF286gYvs1zdhEei78YBlQhD6LUr4NJP7Ai81PUDPIZg6TeVC9w/hVEOd+iGM5on/M
3hF74v0s5JHdA+4yhjLONhUTv+DCVP7Gjfu7oUrDZ2NUxCU7mJ9M+6PbJGumYmUwO/okQoeQHPvC
E1HCCik3DfwD66aBY1hcGtew7ue5u2Xk0q7qTGRnktnpWnHv4W0181MAZ4evBOY3XwIln8Po6HvG
fUoYdD0OugQFagXh2i5C7xDTqLgLvTbbktbJ18ILLuSkUzJBTYefi3Mc0DoGxVWOFERSYdfluOrC
Fvy/OWYkjukbw7WlWb6HYHiLYlHtjV4457lv3HfpZhnZ6Iq5YaPvGitXD7NHdclkw3H2KV9nmOUi
hxjz3uvcbltjTHhq8qg7KSd/S+akPUaJiwU2jct934GG65DakZWNsDnF4EvgGYb2fRMW5e2MK2/j
8eTq0QPuZFiZLwa51ovPUxkLsgz6ZxnHxiGbe3XJqzg5mbHalVZSM00TQHfsT6Mx2Cvh5dk2Lqxg
5UKUfvS9sNp3rVffVB6h0bGprJ2og68ebDymrlG0B+tEsovR16Eps/kSQRk4U3gXfu59tD+36ctN
NWeYJhw1f1MM86KcMbaZJu4DpcNq18q0XfP6cGMk1lXPqrql3fA1aDhbwf6ObjCHM47AxT06jKgD
aT9ldQoXMKHJzDZ0v+f0xJB/TINX3U3j3h5j/QqcAy+M3/lAdcz+6A5Jt0MdeR0k6wrpTLkLmbGn
CywFV86b0aFt68kSKxfd6uQzd3bTMDuP7dkt8VZx7Mv7azsrw3XkiXJNnCV7SgyneGBTlZ6L2uNR
ryS2unhIGSyWZSv3vhtW12Qqd7mzZNEwpaMs2cWmGJWxjxIb1TAyw4uLn2+LQNkdQmApAKqGxLmF
4zQeIzuDNuZ1ejMliSKnN7wSFE7QbrSq9lBt5psK+OGaCmd5Kmdd7JQ3jG+dh7sERXlmk5I2Dj1Y
dKsWK2eq7Y0q5/G9oLXg1aFrQLDNfctDP9jwQr7lXV7vEvA85XoqDH2cGuGRK0/B3886BV5fp8T8
JV2dV9VogiFMQasPfY6l1bDDL0GrzQ2QR4YcuUOiTvkCamGa3LDvXRN1pFbSdOadCCqeoEMgTzPr
AHgvdpsRutwhsAzxzQO1sWqZ96y6FpofJT3hVsZIPmw99LbJ0jvlIhEDVpogHgXNQrw0k6PgV/26
lPMd8IYGW7foKtrGpgaXPxOUNai+ZlMPGei1GjfQ5zoSS5VF56pVPIs7l0JOcwWAL7mWQyvfx8rN
buYRsU30Zgb0MDV3QTFnhXzwxgD9fxP0XlS+x13eA/3E2OHnj+4Ypal9CqhTTs/t6Pnl4zD1fGpl
+2U06A3yC3bKq0Q7csbHk0m3XxdDolAc4tTdTFFYbAw6r/GCADr9WjlYVQefV8geQX3mZ8pXIxwo
nDT76gg/C+1R9t64EY0Xn7req6/qiv+6bJzyxeKbZ6WT3nFF4yolW7/pICPtY5esN7HtscCNLbDZ
xKN3BGAy8w3mMHftds7jTEcGKo5yvthZ1QQrClOrc6D8YQsAT9/rnDaFxMk1UMUqvxNDFG0ciI6w
x6KhO9gZCjOrAXVoNdC30mYLYw7N4lyO04OjM3uLv888i6KxT1qQp0KXoH4J8znzvYkqDtfgeiKt
yqcx7u1nGkUwqjR0bBNilQYFsSLDAMAnd4/dl7BV1k54loKbMPH4WEXmjw/j4IebPmEmv2ZoJq6m
KjTXSUvli7YyZL1GeU6H1asii8FTGFYHSD/mF4wJV01FadSYJ8lj6GXtC9FcmreBVV5PxRw+YJBp
dtTw1FdBHiV76NGcvhTNstdGQLPeijY6LO5dJY5T0tQPQZCLdgP3GlURnuQxbXRx34bomiHglU86
0mSrKq/+XJThpwCL9sU2cU7DCqBzwjKX7F/ho/J0vTi7fl499NHYFBtgHYV7Re0V8JCofgO9ANOw
mkdQ20Yk5jXNmjz24zkE+CKyAGE+m7LnREBv9JIhwBXkU64wddLccxRqn+AW4YgxMH0zWgjPTR5W
mB+xmic64UtISmRm3NcqUHa1Zq9DfyKafKSG32d2fez4DQotdDlOt7XrpWDBoRfc69BnJ1bPBA/6
hGKRxjNojAXWcQQgGx+jeU4uisrHY2757nWmODm4o8PNJIzfM6+cn6hbCNQKVytvjhFNuRUqnZ5T
lgqcav0g1nPizjfGVALX66pg35p9dk8enOqBmfuKQAbZbTTsU2CmEOjY+ZLm8ctDkQRynXAsg3hZ
LBtZqfRFWWyu40KoZQUjBz3VA57AJk7y+nPZUvpyI5lWWQx2HA5jNRNkQS8uJvt1FzlQ3uhld+Yv
xlSI4VZSL3xwIgiUcdEb03NbjNX4OA8GvFOKzjjwtredaJjxbrvONZnl+JYehzMfifa8XRlCUF9b
jSzBE/6f3KaO3oaiec0Mdk8UvH6EhzJ++k7++Q/Jvw/Y+3emAzA9GA7IgENEI/KqFofw9/Ghqh6H
JLPkcB0ajdoYPuY0SUIdeCsdyxBkw1cztxBYzZOVqp1h652K5NZz4cJ3JK9KSqsYs/pzsqF1Yv/r
F7ekXf/ttZEKkrbj0m1uLhCk76JNuezrQgTmcM0c8Nqt2CsGh7j/u/zaf7gINCfbxdsBGPfnD0BR
OMehF0pLbApynRyBGdMWbvlHzOm/xva/NbZ7AM9/JUkWX+K34idv+8fP/OXbsX9bzOhkP9AR7e/t
7Z73G5Q9hsIW/W6+IP/2P6qk/M2F3CUE5kRuH/zt/7K3W+5vLn+w/Nifbp9/okpyo/x4A2HboTOC
v43eRpQ182feVYeBJJ6j0TgG1jxurDrL3iDZ4GXrPigP0QfxYVrgD01H+mSdhoQXnQg4xPzBiZAL
MiJY4BEu0tzNDG741f9gS4R+GkKZW5AT4wKfyIu5eM0V6VWc/eYNQE4HcjqmkSs0Q4KVuPnY1jZ+
5gCB9h5cnWb3euz6G9G/5Qv+IlpAGO2CxCg/6BhznxH7SkU1vqEHws+IP1gahrVwNcYPxobVLryN
akFvRAwWSMnonP6dydTBAsmiBRWxgqFE5ndXC6fdYtwRzOw3tenZ26z0YHsQpE4k2PLE2tc+8ael
8Du6WMnCBGGGBh/EKDJ6F7BJlu8VyfcXCBvzdddMYg0VpTmHfjO8c8YBOdLGilG7F05nNtz13VQl
4ZsZ4WqME7NcERQFYE1XlMMwD5AfSJNZjeUtq3wJf90bazI8+eDuszFOrz0rH+/szJp3i21vgpni
ukOHmohzpS86Qr/2BK4ndm/lB2wlAbuCAReJcMzxaivJfqxN2gdrIltGsVyztYfJOgRzJbMVGdzi
pNrQ3SQ0iZ29D/jL3MgaMg/+1ZX4wMPECynG+4DGaGPKPkEd6h66hSyTdBLITLfwZuKFPNMaHAyq
hUZTFL5xGWYTma3Aa1RC5V0PYzBf5lB2z1k6VfVa+bm+DIGuz2yxe9qMWaHZFy8UHNBE0U1vF9m2
Qs5KaB3xOSSg//dXOGz0UoEBU6de6DphMwLqpaSJR5qZDM0rVfHU1g5BTZt4WlvhbeH5hTywqMf3
UZVaz2aYx3f+rLgaeXP9ICvUS0gY9ll+AICihQWEOwe05AQgyGwhBQ0LMwiwBm7ePBlfjCLUOPFh
CyFFuXrnfCCHpLXgh4aFRIQXDSgRDQAlVeOh5dxGH9iiHl5KgdF6Tt/tD7ARlX4E6wTtUz4xe+Rh
8lr8HtMnZLDo1h2T5qpZSEkuIUF/Kxd+Eq2INjoYrccbbtfy0bMgLUEJAbpk1Py5LEP7qu7trtzy
mK/Airg4nBj18y3/PBYyWQrSQ2pX+Hio7BZgpOm25l8l0Yi2XY1+PyUOYpA/iuxSYMwrCHfD6qfs
bEBiDfpZBPfT0FvTKVJRcqgH51Z6CVN0GzgNzfbotgS5Ab7w7dk21EG+BAGHVpkFDHTdjpnBOq3M
Eh2uUQ8dcQ76vqEHrVt7quEPx+LaxvFzaRHkAZElatWUDSBt6uGonKEDxrNQ8jTfl/ugQeVdxYw5
nsYPBw3eKZHcujEkbX9jV/iLHuy5AdaT4asq1LUpa+MwdPqTzVT/zkg9P2ULiWnHwr3Th4VzVS6G
nnyx9mSLyafq8ukO45QJXQALULmYgbypye4GbSGs/mkVwtRMkeyWFsB8Q6/PKl+sRbKOrilCxKKI
6QiO4aVPTmyg+Zsso953i0HJx6nkLJYlhXcpSfDV1aT5AD7QkvdhcFqsThGzsGOw2J/kYoSiKbS5
ifFG+YtJiqYJZITFOEWUJuCUDtVn6sRzsdirKArjlzx90U1/bmc+w6AV5+TDkyUx1u9EEz2NH4Yt
nFueS/4gx8sFnDnbYkG8F4vNK8DvhRPlxhmS5LbFCcbGl2PTdKZRS+xyUT70MVjCfHTb9bB4ycSQ
9hvzw2CG6OkdwLqlSJMLfeoPKxqmtBpt9aSt5kyPfbibfK/fm4uHTTYUg61s08XB4qfRSYeuHfP2
qvmFw0VzBZ7K3uGeXpncRmdnccqJUJvIfIt7bqzLvaEKY8mzczex+b6ePgx3TYk92ltcePUEU4st
OAcBJLrsLl38egR/vrhlJE5pHMrznPv11mjYVq8ryIjLMgt4H0ziFD66sFg3MFvKTb04BOfFKxg6
4XSdLf7BqZf6aU7p1zEUKprpx3dKGzVfCZyHREYbzF24EZFa84c+C4I7TN9UDC2uRQWJEZprf/ax
Q2zSxduYjcFbtLgdzcX3aC4OyHjxQjqLK7Jb/JGt5ZyaxTE5dtw6iSGe1eKmVIuvMkrGgD5VXqmZ
AkzC7XBP9sBdz9047eCW+LtucLNvoPOKawKYzeLfHFobK6deXJ2sMcYlaWOsnnWU1/c0ZWSbenGC
WosnVC3uUABN0bv9YRlFfKcTM+3uuQkzes9FRixsOSAtbtN48Z1KKW7BNNmbxYF5zBd3auZZ/sbo
FsfqIF9VrxnZSyN9yBdfq1ocri1H9F3zYXtlOVwssMiXa+bFxY4EADYI6qv2cnHNGj3+WdUME+D9
eDw6LY/IMZ2do0HdnPyDv/LfffLf7JMtJcxf7pM/fYWfVrTf+9v//Jk/98n0INuuBQ7WEhKzr7L+
Z3jvWr+xjmHbYaL/wZ7lSn+N79VvnHPZtRIRZZf8sb3+a3xv0p7sEzuzFS5Bodj5/gNk7XJY++4w
BzxJUQnu8gq5iG2L5c+/O8xRLdvNtIWpg+cBNAHiiiQWIil9d3b4D+fZHwFKgGsc+GjSWTA+HAis
JTPw/VWCju4IqwyDQ5cAkqXkl1ZXpDsKM1oKWXKHqpYM2KSm07OtXn597eX39f1b/Lg4FUhYCfnY
XD7sHy8eOVk2Wjz2DiH9JenO1c2w6UfJdZVI7xNplm94jSofqEVsbRiFxl9Hoy2KraMdC+SnxDvb
JfGexhDEx9ogLJmW0U3jJQU0dDz5rLu6oq8snK+6xg3uiW0Om/+PN+Fi8pDItIob6adPUNCEZOXt
7B/ASSytsFSS5QZTkNgdpqfaoiI6kKlLXWmOjrzEPF8GH+qNouWD1xf7460DQPW2bCj2FT1BUZ8t
/44C6+zI7idFRBvkYx537Q5hjVJPI4fe/ev38JNu8PF78FAMpPeRX/4ZjtxQ/N5N7uAfYnyzGy2Y
aI+9BpdLhu/XV1rUke9u6j+u5AnyzR4aCuX2P/7GFXxPuHBcqbdCcZgQyPat49Un3Vr1nVCMrH99
vZ++RB/XQ6TwbJNbHNTOcgd+9yUyZVMUucG0vA9jfceKQjCrC/3Lr6/yHz4/G9EFZiOJGM7cP/ls
fM1yweCFoKE5xLD0km/UU8FCarzHX1/o42z80+enwGSzMC3rwr8tCkkoTZ/hgHcwebYdZ5d2wMjn
npmYy26mnPzFSiKzMbpt0/upV96lymi0tikBvo9oOj/nStV3elrIME6PGFlJYpKrXoIqo7EsOJUZ
vbkx9+ZTH2LDXoMLZrwUJsNMLjXkImNlk0bwzJicm9M8D84cH379Jv/wJf3wLqFqScnHabpkhXy1
KAjf/dYCM2DUNOvxMCSWhEDLGNoNg+Zo1DrdlWmDvZ7E8Ij3cKNSmDfcvMkhy5lc9bJqd2ml9TU4
S/ThtrBIlRXiWSJtXiuqUF/dIc+fVe1sCYmbD9LPiQbpIZNMhIPs0RSpv4tmoAQtEjLSKm0KRRhP
+zSk0bsPX1nOkOdbpUhWmOrQx9AneLpQIlQFJtUwTnyAMjEx3I8pSAL4vYcb4T3qQCXHBG79pmAr
zjw2DN4jSZwmb9LwyOGgv6kyib8B9rN9IVKU7fvAAaWGJ3vt2FXHCd0pszUyOsFuXSJL0LOQ1exk
i3wybnBjTl8mnDN0OUbtNkxba68CG3h14kRUUKaVQ0PybN+pyBKP5FzzZzeM0m8Vme5xlQp/ohpJ
RwX4CqyUyPPR+Nn1inTj5qY+KN/PjslE8hVHh4PrM/U2rRcX/srK4+GmA737e5Fk6k3UzdbAL0mK
NP1qpIZ3hVIBYzyMw63h6hNxeF61I+ttavrHsTeK6zKoAmbExdCCcmYbZbgF/q2E0WvAWCSj8htZ
CkhkOdCukFsvKnKGlU2w6RimeX6xg2p6MrK0ResmfnUtO4MR/4TNBqwoZ2+8p9beLH3v2M229aYD
B0oAn1NxbAWQrNptrMfUhidWcUf0KOhdbVlvZU3dcBqZxsaqRlxupVnoJ/rsunWZjgO/Gjw7VGuE
nMW7XRRZd2aQd1vWtv7YZpj9AdYx3tGR+QXfGYgWR1Z3k86uYuh2awNM9aYPs25Dth+RiZjoWgtx
4ujPXCa07RV4hJBMRnjFUOU1wmN8iKCc3QdynrbMxQCjpW8m0+HNoJtkbSSO/6lVgbfDKiEvdKoM
dI2l/qoE80w1PSJUt/gy2LAyrAbiyxLVgf7Oi2RtE0I4G17o79NmLNaT4dENVUUTL2YMdggCJOJT
qyxXWmDpWvEwwrs1t3DZQ88hCTwsxS6hY+510xhnReHOpTUo3dGjmt5QQMRdFzdkaouJPC9+k6Qi
SwprcSUbWZ+nSdrHqBizg7RicSCOTckLgwqCyxiZ57TbmhCZsY1xiJhbaKajSIp3PMbhZ2YT3RfH
babPVq+HE46m/pgS9WUoWNkXLYxqX7d04ahA9McOwxADkJQBUTZNobUShHXkkU4LCPAbWTv5Nhdh
jl9gHp/sXhQ7S5jRUZDJ3jLLttfJRJMV1qF4L52aePRY4t0WObNbqjAuSdFR7LQk0k743FM6APFY
Gw7tI3Uj0l2Q9NO3vtVDeS1old8EFZuCucc9pksTpcKEbROHPDkkjSUrU1CHJXqYfLxjfXIdgv+D
ntKNGYnpPLeieZ7hXd2YfFEJiAmqZ9OgJVYvqrLHgKMH0lBixv+T6PfIHcOdU8bupyhuiwuhAPlo
CPYXUHWiG0Ja7E56tnw4fRDyQz/h1TH4W3q1BJsZ4aT3zOXrz0li0V0uZviWBvtCQ1XTHgaBdRzs
Ot1VDJU/lW2TwTtTzZeZ2dohS2zWHs2bBE42XzkZacfZxyc0TVZ1bUVzcHIbzZMLZwdt4KBNNkmJ
y9HXPe88BZCJ+WAgRmeZW0JS5hYKY3gzk8XAKm+DACRQkTXPoQMit9MWrySl/wWTactbguMZrlrL
nSEHpQn2RT9SN4RlMhroaROscJ4fROJka5jPwYm9isJ9hFTCPlKfeqrQVxIf/jf2wP2nuNes66VZ
nxKm7VRz4vil+imv90FhqHNLVdL9xAWijYFvYjUHLj2WaorU6xAoTa+LE7X3wiX7EnAav9fCrKH8
RfKz8NS5SSVdwUyA901iAvRlv2id1Sj2bc2iIHVnXfdWbe8qckbHPDXBR2RJhBsliLYlbYJgeM31
0LYxrTqD2rqxuKUQysewAUJ0r6t+ivZ8/G76rm2vji70D5AsSEC8rNqxoHcJjD7t9hbqNAaYHAe/
PU5NCHvetKPrcTBHQisfj/f/Hlj/5sC60K85Yf6/veZnQNtvP+ax//iRP8+rvv2boozbxcKobHaz
Em7Qn3lsvoy/cd40ARAxXrE/uHp/nVfZjP55PrXIX/uYl5n7Wg68Hdzq/+B8ylTox808nCIfTRpv
uaPY9jrOT9veOmi9LAlH55yblcf30XEl/adyAFew7hqjamuc1kSLhlWaW2VwXRYTUBSthIGUN7ec
Sx8y3IBGTgzaYbC7ZfXVdnDwAhgDDDKW/albZ3N1nUb46N1drskMDtetYHkYGam48Fqo08P6smPx
yZ1Lb9fNexoOdxROuYS2TMOlA8VxdxnuRMK/dchqO08PhjcDEWN9jat1jfmNSMdiG573JC0o7y1G
mal10oCZX3EojZtDRq1JfYtFPH3QdeC/NNlsIaOBQWHfqPukOjuFjpjwTP5nwyKSwiUmZ96OIAhZ
b5ivQWOdCqDpZezdpHXhvNTMTpgfl8Mr7g0YIIhMO54bGDVwOyxjKhODZmlFhodnkqdZOufswbAx
vjqNqj+bjcX8Rpax/87m5j0bp2tP6ITMZEpXMf8IrvrOsW5ixYMVnUFu28Ty1yODAv4by6/vOPFH
kMmmSWzagUrDFeE+n61OVwKpsANnWg1S9QfQnfltR8jqE6Q3sjp6Gvak5ac7vzGnE6iSZUQUmyNF
GyA0DlGWxF+4H9RdkmLx3vY0LtzgZCNIrhz4h+UombO0xWM0u0CRvK68BXrirntMGRCKvNa8slVv
PhsQi2lFQ524Ke1wqVcHYJS7JHv7WM5QXxUxpbizu6006SiHmIgxCQv/zho4y2R2Ql08EMH51Zjy
aufFmbHHjTEfbYh078yP3GPUyOphFlNw3Rl1eSmNsMv39mzg2O9mp5c4ynq7BRTHYfiPfyPE2310
ZajFcLKOBTEo+u563y70KamoLylOiO1DVm7cNqgTf4csiNKJ7R4PxACicN4CbJTi/b8r6v8qveOb
3i/TO5eSzeW/Dcv/+Km/huXeb6yEJhMmi/zMUlz1r0WV9VYsLgdO9YhkJmnRf4mAlvWbQAEkFeOB
ikNY4IT65yJr8hf6WNIhZxDIpPjlHy2y1k8ChuQYbKMoAKtjLO9CDvvxKBxPeujof9RHBZbf2ySJ
Ie9FVM/U9sXVrqwTjz1oBeGyMdzgEdw1bsS8CE6GjqFLMKiDEgfitRROsWfb1C+NGRkDBC81Hr0q
pxslqgjxl6L11xKd/kYW8JATzch9jMLsk22CEqoW7ioDx+CqFDb+M+pxe1qdAVfJUOgBTqsxH2hZ
cB66ohv/xm/y01OGT2BByP9f9s6kN25k7dJ/pdF7AhwjyAZ6k3OmlBqswbI2hGRLnOfgFL++H+rW
bdiq+9mor7e9K6Ps5BQMRrzvOc9hdWcjb8IYtfz/n4oBKVC0oRrgpdJqpVZGbuueRJZgbSu1XBfn
/dNH9z9URD8Vcz6Ox3dtqa7wTbE+V0RtgxpdlGX1cTSg5E5R/rpQphZ+9V9smu/T/4remLXyOarK
/1H2xU2Fpbz73//zkxBiOZJ0bAt6CqUwi2/yr1emwfRosktycH4kW9nwOlbBjOIVJ1Byh57S3c9x
Gn75x5cnwbqQhsZgos6yXP7Pt9O06UCSrXPsBWkPK2Np+HSmLb1NP3lYav750Tzqy9BgfERJn+t9
UeCPSVmkiOfN0cvOZVvoHfIhyGx9HvyhOGYt642fykbL/UTmyUGkAxKG6vyvlzahQ47xfCXHJp5y
kGYxSWWbpimqjb+UimMMX9d92/P9ATx7QCCu6i15390/vmYUYnClXVMuViT56bFCpJFz0ZOH0/QZ
pOupmzuSq8PwPhDABv5wsL+PIY9S2dKPIM/eZQX46zW3xIA5qhUp9m2tbyu/7TbK4A3GhJzFCJMT
8GSyJO73D8f9+1viUYS0LGLABIF/n7sTGRXBJBJ1eizHZgCFw9McnX4cyYlE8v+PBpFLvgNSs4Cy
J4/Xgrf/6zW6iTFaQxwkx4S0Mpqds0TEabbzRcTm8eH3x/o0334ciyo+txJ9n+tZnx5eWigSmEim
OepZj9amIgvllCfO8Ffb7r9891mr/zxW/3UcVuHBkp3AcLV/vaZe5F0rqinBO+ENKVktpCWt3LmE
NjY43l2cJBQXJoQUaFwR3pI/XUTx+ffX+mnsLOdAs4qJDlITARqfxw7RU1nSeIpzGDoWxqgHSVPT
BlUnZy5OVeR7G9bl8x/m849b+NNruhzWZgpC/rlUywFF/XrpQyTAfYQSZStIk68tEumTcNz5qmY9
um+dmnBuSkgTQIh5iuQ6HPt5OI6inH6gcG1I8oD2eSIqHoHBsncIMW2dQp0at7+/O//pPL2lM0Wq
ZYDS8fP2JvOccNTSMA5Q2MXrPPdui0MvD3hEuRgFC+O0BuiZGhKIUTVmZzTwaGMd8nCP9KHcC7z6
4RFNlXMVGKKTO2x1VYq1PpDD/vfn+vdRS0/Fp3tHxRiu/edTNQPyXrt8RCIcmHOGYs6fMpKZOrX9
/XE+vfU8OkSfPDIp0eIsDP1fH11i2NwUo0uA7wL/D5KFL15mlXfBWt27+/2xPk/nHweDFmZ/IMJh
63ya2ma/8zp3SpnOyabeRH44bIDw9WuUPNTU7IW2P+FBtPpJfqMpFu0JbFJ/uLF0bZc38dfh6jts
cwmtYVHA6Xy65rytDZs3IzzInjLcUeY2k6kKJqc+Rn2tb9numa/ekpuQYHNgL1THacR/Zy2OrALk
PjHP4Smgw3ajYH/2+E3Sul03+Ilxq2WFPudxB2QXqfgXnTvh+4Dk5dGfc32GsUtMctC04g5iYnai
UOhdDK3JhAvl0P5CprS4E3FtHhQyncsY2kK/wftsYAsc9e0chU6/yonTu6bKo17ycDZftcEyjs05
jPNgKsN3EPtefSqLBm5kCYX3gOTO7QiCjJdABknhEcAmWJdV2djuSwxI5TtLHudhdJy6WU3hUGA3
g4Hzng/KHTcFRs8YCXsan1GaFUSqM7VY7ZC89jGTd9VF3js6NN9GcMWykbApEyfymARRj8lHuPvR
pYewKeXU/fAlavgybeQ3vxlb/wtoT8Ybb3+U7bIq4PDIo4xb3+6YOyFgyG8aPdBmyoLoLJd/2xHj
hcjSw//UJCOEeMk28D6onPnMdyZ/bJp5vP64vaEgqMUuY/O2dpoYnLqWeXwECS6ckw3B6JzRiMZ3
RlhNvZUfsxUopYtWaWYo35qM57LKGJGVOYEoz3NLH/qk5t5R9iaznOp+fI/dyv3atyauYjsyy5uF
ebKwNPmdMU7iM2QVks8bmby2ZoBRO2zbOUIpTsTRioqPd4d2z3nwS+qRK8Pm3hakmLzmUWHvLNiq
L6nXENrOS0NHLEwKfeuNdCEogLbTjTk003Uys3vdSNdKnnOhmJroIYLPMsEwOcs4LBYind/DWl3P
sa+SjZ4sFjBWQUub2HjGkqTRfY7GGfd/yNaL8mE3EJziGcTiLoSiTR93IGFSLqBbEX4D+71jgG3R
dtUv8UjLt5p8Ri8R4BOFSkjShx736RXSIONexBk3jP7HfI6MPD1lfr4NNAJMikLTNYH0zQ5gkwWe
Dgt009Hdn42qhRUfJ0fTb8sLomHdNaDjZCPszjxbTqlPfWOKAyKO8D5Sclu5i1JTlNl55mhryCDy
utBynyWaQlAZTnA/Uuebj/h0hVkViPMMGzkj/dw0Jk2kom2vLSo9u2BC8gRcBocNd9V+DJLhOonK
+ZRatA9jIMRgpCvMmQ6wVwNNIWnywQrDfXqid9bSU8lyADcLUqBzCfX13G8tnagzatDrdmkdUTqZ
NsPsu+S/2c7Oa5IHEdKmmLvavsiR9Jp9RtFaleM+Cwpi1zW5SLE2BYUSV6+SIP7SxfMrjJaXuje6
bWoURLgLWL02+uqjYfpPzaK3ohRU5+t5ojkT9rX9XDjuSYOEBG6YXMUiQf/livthCC+qUkZPivLZ
Nnbn6RTnBROwu6yRCnu+EonjnJH1NbdWkncnY6Cer7W4zGQz+1SVCxouAdbWxo66N3jM9WG2Kjz4
ZTiEwMwiJz1ZlVtZq9CI5GXv5ZxQlQPdWA2zrR88ene7acxxcqoB17yyrOaahZIbb0bCWjaZJN+B
jI/oAR3zeDdXHuuHqoNysCIQfj5nkAMWKo7cuRmkiLRI2uOUC5yDTVBwUFbR5zYyv/jeOH5BuDFv
Hd3T0OP7A0O4qjHFJ3VT3HQKVankTcuPBDKzFLAzCGHtzFok8ye+haXo1gKzP1NROYINDvkiyCiQ
hzpl60O5KtsULPN2AX31fT8OBFa2NICuO1M9SpQ2G2vEseE2GjpehBo83SiCQNKdl9rQi+su25Vp
5t2YMIx2QvbRV5VG44XTTxuVhOMpxdWOQBYL87OTTpjSvBJ61HpgnjyW9HdPoHORxNojGCg9FAzM
lLUDW4TcuM3nVm6LucVjBX6D5tbwrXdL/125EwBqUVp43wtPfp1GHei96SUG4s4REnjVsx6DLXKo
tQ6uJqMREA3J4aVtWK8N1UhskUg+gsmyFYKDvn2rbd/f1mM6E2PknGXhmucgpAm/dgPrkpTMkiVM
KZGl5sFtHjbkFoVO6LD5T2OXMkVLEyvBMW6pPDjxUJH3esDC+AiDMocs4X6ftNndSiTgx6kpu41f
4cPyBUMASDUC3zDy9iO0yZ2AXgvjKHEfMuTsN4RTOOhlrfQYpo29JNEkGwcSUjOE1n7wPAZ2UJ4F
5YN1WAT2TdTkBI410rkMIhTabQ02JfQaa1P4Y7WnC1fvct35L/1CbWKiadZDR4Tx2ldVi/caC+Q+
HkqbHv5I8G3UhRCTzMm56k2/ujY1Bk2K8JVY1QR3lNs5MyoX3f6Q03sr5TcvExRxqia6AIHsV7jd
3Pw4G8H8ptiOX4Lz6imEG3gpSaAhMByBPd90NxjbJXfRu2LHTlmZmiobAKs65dZMnMeg6vOYFvlN
LTx17XfTdHCaLibgKfAPxaTb4+jDBiBG3b+ogN+d057arhsNxWtWkg27hdbSfHUjr9kJkWbvgVfg
LqwlgdPoYqklAe54lF39XPDT27apCEcNPI17tAv18GISuIqs2+jg1dQYufm4mmrdxCV+sxRbAPbn
ZG1WZI17fbLNCvv7aAT0XvG1AcQPnG5bRtF8lkFfvUqrHE56SslyDfgGEi+p97MHAp3IMnVjmUP3
mrYZczbZHQVYgKDNIrUeXOy73gPqgFJ234XLXnFluuUUv8cGknCVdHnMi61KtknKeG9EXJ4nr7av
ktHrH8BJDq9um/jfoj4APrZ4DwCH4fent+YRpyCJQiuL8mDglTjZdgrqtRADHX1Q1WZWQJXwBxwT
abPkMo+ZtWYVRZy7PcuNyhuqGnYTwrhDOMdZqenglql5dsckhwk/8s3AYzIX67zvBahW1HDkn6TN
dLDChfrf4pbYKNeumM5mXJq+k9rASUj6OnrBxGfEojrEuCRzdB112rhPiC3ZBRmutZqPwt4xa3Wq
ddJ/r9kbLdmvOSSXgrvQ+slzaC9DmYqSeY5lbUOJsdHwCNMJH2fPdl4MuzbebdGPl6GPftkrdQpe
iJ+d3Cl4sMpkWNm91z6HtZuwnDRRZ3TJAwvjcKtCYUJNb74I5xE1H2A1zfQa5iGDqng0vdLEj298
kQPZNaks9Zq+1Y5aPu7GEugnXHma+yxOAPzEGPZK+rI+e2yI1m61DqbkNcvtuFwb7JPByaqKT2WE
Q9qwd70Y3+AuBnv28u66ae1gl5ESss4KcbK7AkBSMqBR8vodIopojcrB2MiQ4Wymk3UxewWGVotA
CX44rnp/b89NtiqKOd9jzZnuGgGVw+796JyWw7tRo71pNIAdMQz2KaGwu+2oZp2Sds4PgUl5wJ4G
whXqtt/X5Me9Zgq+PHt8vjoshE4YLVwMTUmzK0ZFfIGa0svMmvYZBIIVTeNpzaZa0O+ZrkeEr0Ap
J3HwWozpZjH4bE2IkwN7wQeiCm8mqyOBGgXOzlfdm2qNalsblUYCkSzOoeC5nY1i1861uFA1tQMd
mUckH6CTjZdEuLuKVD7WKcEV3opTYTTfxkJf9wRaQRZ/IFTwzJRLwQge+oVo9XvaRI8oYr9Iu9zX
rKZB2oI/MhPaTdD7VlLBpvLMbq3bpR1kWN5DtTCPzMp+nQKLhRVBnRs/to85pvpNYJu7tK/JV5fj
CoXK92IAv2AXVLURpbMjiMa+/6od/X3CWisw3u4aYpnG9RzM0VeTbg5W3tbPTi5ddGI7ZkIOEgeJ
xnZokqdpmOAoqvjSg3TlD/194zfBNu6SO+lE8QEtZUYc2dA/GXbrbye8w4eBPcxl37dg5WDE8JrP
5slzEvkkOkKdkqIRcEtiYs2SRlAeHdNlOyEDYueq0WIJnbTZkpkk9KUaPKPdxcX0hYi34AfhFEAf
jTqnoLPKgs439/Zgj86F8gs4R2jmUWzkdrv8nt1k6QsZKkioZjSB6hhB9Q8IF0czt6Kq6eKqN4Fq
7yAEwDnKWA8dpNNL40r1CoRRZ1QpdNSAoqnoRrackL3WbW+H3/woC9+7UPACclRaDOiR2IjYPhsp
skortkURw77fVEwv1JmWngYZI+G3PmKDEBoNe4zK9nCEaPLs+MY9+k04nw3oMcRE4j5WcyPMq9Tw
kmGrliClopdMS2OXOmsAWOxOQHENb6kmNDMVM4w9K9M7K2rJtsvIsIoKgyJ3BN/ti9V5aiu8lp0I
+dLmK+oX4Z1VPCxb3kBV8zr26g7i98DSITeEua8tpz2ytuenYVkYmJnYoKPyiAhotST7q1GoZ5EX
9iZpWf6t3Li+8VochgSAHOGepmvNJ/9oZx0f0s4JT07sURSgjXwGaEKNYOnUfBxvqF1jO1eiPYaC
5Eb2CWTJEPP19PFXwCJhhRFs+z9CNKXn6QOQw/qlKxR7sKm1qRL4zng9InTZGGw26fXoUtwFGTeT
zrIH1Es1u49CMdwt2ihT5W/6jLpxXiQ1jt4kDrDrc4pFTMYWHOZyLwqv+1oligtIUn6ReUTfdhRe
brwkt56K3uSplxmpp+E4tcfWK6ebDOXI7kMJhIyL0NN6nhXyLa7LBbp+X3ts+5ohrkntmtNmz1KN
vX3f57LdDFk4ZvAmqIpQvGQy6C12JyaigcodvOaYhWZRMP5NbVwGVVS/UPxL9maWUlH09UXQtihE
rTwgEpBvB36nMtLVTmXj6F7mjTKvPGv0LqoUCVKnPYpXoc5OH+POIDZvN6Q8AUdjNQJArm9j1ZHT
MUCm4PxiYooMorGXFGBX3+b9ck/yni6bxR95VtNVJYljExQp1wtO6GyXVrnHkaK2HfrbswSufE3G
jb+pqkTvhMsIUK7JbwfD8oN5Ku4iOzAgqA8+oCGMdErW/mYqpflEvp2G9ua2R1ku/7dS3C1LTAxY
y5HzeeCHtrNuAw+Gh2E+ITB18ZkrkHGI8KwvscHymjg0+JkfhScoEeG7tlyKSimRrI7mRyFyVy+U
EhHO8jkfHpRNwz6wxvA0xGH1EsZE3c5hzKtjxLzCSMfpTY4qPIW1Vb1kslPHoJkMZzV3Q460uM1D
6wubA66wtAXlrzCKMlbAJLPvgzKxL9m3tF8JXeYvFBArTn3FbRo6wknHDLn7xwtrd1n8o9BF/QKU
lkNPfTec4FmER0XJFWS4b3QvGupqZFKRQzuVAlSCLsLk+9p73UCkacLWQ9XfS9MPSEMiOrgb2vBk
Kp6OUiEv+8QbGPZzQMWiDPaqHVDRVmI+O5TAz3VBVmM7esgztNDWRR7Z1nXpiPDk5Q5nrtj5eJuS
6XCP+J3iB21RNP7LKBjRxlx6tUdJAVkPDCofzdUKDwCjRGrzNTJTsjlBEMK9jusA0X3rhZuK3SnO
YObHwOVO4esy7jUbgncZ1lxwoJYx2JpYCiCVhKcksons9PFSHQy5ZOr6km2fL+LhzRfskwGoWNNT
B8bkeRr8JaSPBXlLKbWOtjHLCr6MQHAvrW4or+JR9feJOfo/6sEN35NqCk6DB9saYB5fJjcZm93s
SUAmWFlB+gdN+C0VS5xnhw0x3MiKAvcmr5N/Z7f+f+nYn6RjS970T9Xzv8W4n1+S8u1np9NiQuJf
/CVyEAi/iHV3hWMvoR1eQP/gL+UYJij8N7RjPAzLrFup+P9bOEb8h+dT6Cfam0+GDYz03xoHF/mD
twjRaCMHNASQP/wDIdnnpgLdBDbM/M7iQYJS8qkfNBMU6oCSQ0EQbudg681nuFA/3Y3/0Gn/+yEQ
eSymLJo5uLesT4eghbQsDgN9GEIH0LK/gj9C5CO39P/K9f4bR1nO4qfWOgla0+RhxzjI8rkznqvp
TXn/TJxAU/LXC/nUnpRJ5bJ15xCkW0rzlsD4Rr/+/iqWfsbP/Q5QEvhk6CUtXWxwEJ86k5NVKXDP
iP6Vaqy9HGNsFJF0wqvcRlWsZ8LDhp5oqqot2t3vD/25IfmvQyNMWILkA2sZwT/fwMBzJyuynfaQ
jtnMjhMaAE5SoOHSMJdkiYjlyxyDVP79YZeb9rcrBpYB9YLLRevz62GdLhCVTDisbMiShfb6QJwW
fhihCfCS6fxPn+Fyg/Fa0che1JqfPUlR25gWq38O1ynvHl73XobhBCFamn/sXv2nKwsQetDK9gUP
9NcrC7T+61kK3Y/fu9nC6jGH/Q9yvqaVAZmB7girW+Fr8yWGUH1QAD1Xv7+7n3uTHw818CHSuA6K
k8/+OKxvSlP5b6nCR+6tB8/gXEd+84ej/O0N56byCC2La2Wa+6ylcelA9W5htYeZVA44Sgu3kLgI
IGwYSP75BbksEzB/eg4TyqfXPJv6cpjzsT2AOQZgOVbPwq+e/9+O8ek9hxtui2ZgjFAyBXvS7l2/
+FN/e3n4n4c9448UeoaiB+Hl0+AIUn9sbdUeahYH56g37ZONRBdnwpg8xYbBkCyHhebgDBtSj8wj
7frpD4/NMj+ezK+nAdbO5cWz+Qwtz+/X0+hyAyTJ0GAyMsr2e4XWZNyy+rC3bKL1wQthsqBZZamW
I9V3OrPfTZ0zbYkGtPbzNIz7BLvXox1rx4Lk1aWbVslbQkYGb8PGF65jKxJKEcjcHTUNxNeE4V1C
uE1MN6tP7+elbi9TmV50YqCXV1GZ9GtoFn4HjcUaMMa2awL1YnJdEMNsMkPGZ6jAMzyPvlqJpK2o
XvTsPcxcXpi+FjSjiXEkR2iOz2ZjCBaLOXfVpAsTGx7wg6joeQ8nUkhA/veXPcEQD4nij3GNVSuV
zXdBaDDChgLem9EMm05qlKl2d+lmtnqYytm9HdFI7w0K5NsKhxF7KiwzeW+5O9CnyK6n2jr7lBO3
sB8nKN/T8MWRih9h9XkpdTpvK+3bM82VzjqHgHgOFZXIdVT18S12lfF7oEBNDNqBCShCQhrlkHK8
RL+NpQif4hrZ2AaAqX5ACeE5kB+st7adjHxNz169Gw0GLRJxcvUIghrW8CSUezsMJj+03GAkY+eK
miC+ZrXAZ2ZPbPB7KXI5KKqS/wmWJyQWjkhUsHbUh5Vc93lqXKWR+6Y65qhxVv2PdHHraPstIAjk
22STjej2RvKkMuJCzZkuEw4svmHl6L4t2+9gFY+NPqSNOYH7rXkIXqjJxDH5vWLiPNJJZqci8LrH
ZPnqYISRF4XfM2EVY7h1vNba990Yk6cISTEqeS+Ctm6hNVJyqWz8SitPiGgdAB3c+ri22PXnfnTy
6BAeqNxwAFuLddOkak9qWHZIvXS4yyrd3ymyASlsBeCGM9gQt3k0k5uah9kJDQ1YBqPqtwMylWs/
4HZiE7HCTUHjaGOzULtSI6TkY0pPmHB6VM7EgCRkWvUtWy+3DyOUAIl5t7iUphXQD+/azrGdxFFk
7i23DV9D4tXIDrGN8MoeAxpaWUz/fOVaJSE1dBWu5xhi5cy3Yg1W2j3NddtcNsZSSSn0cBRBLW5C
wzH2XR07N9IqosvR9eD0NWzGZNwRjuQNJq1eqp3HplXQN/qJcEdk/OGrQu6wCuqxUivH6I19Re/5
3U0z/51aulp30C8uWuKaX+PAtLZR37gQd2DbgcVQAc2nYLkfIWGaG0tPP3Iaw+m6G6Z8G0cII7CZ
zYeCELtLIifcewoVehvOmOs5mGftfVm2e290xyffDofnEnveLdYeE1+nnYuN20/UEEDx0hWipfLd
ykiybcB/XvXONL5gOyrPJX7ia6LdnXsqDjSwu456Fol03sVoR/ONM1CFiurWvyG8onzBFzTetvM8
3UxprK4muMiX1sTevWsC7yKrKflYjTesASyJu5qIpY1CiQbWhrbAGiQCB2isZfLKbeJAWm3KcgUC
J5OrEifUBrFRtRvC0Xx3E6GKVZxXMVlJQ/rD06I7EMjSbYGPd3uGBkoJqAignOpur6oRhE9XJx2Z
brG77U23ucgx96ZUrZv4XrO9jFZwbvlNL4zFJg3wV6Bf0CfONrq3SV0/zdncXNConNe5FybNOsV4
C02kSIOjz/ZkVxF/i/wgCo4emQE7ReFiSxKUsW/jLCEdV8CcXNOSoKYWmGoL8aU9/quEFTf+vAtJ
Jt3KsA/brQ29ck2sDvdhqlil2ZRkbsq8bV5JylRMY0N2i22P7loKbl8xCzxDNNQgbqU8AP0Y3jBk
6J2NxO3io0AzVkkO+ABF10uXVdarkiXqhpxCwXsXIMeZO9AsKBSpri31HLsU3h2ZU5QwJ/QXK+3J
peSGfJq8HrXFvM/elzH8AcryN64VLW3g5ZAIDSjjUvId1v1sUyhw8qWKn6nuK8kK3YaNNn/VbR1j
mxDCfP6oHdpdZH+hBcU+242rxyEpir0K+nJP+S/cJtoyWSYv8bANPRNzWioLVf/iB446Yvv3s1XU
g0/1w8xcVtYZk2c7XAV0uCiNxcS7tlaQnEU2DWfLALq5ojU/HSoaiTbwc0x+LTwcnKn+UJzSzqLw
IMHN9ktDjhVjWXPC5iT0ATyruLOmznz6kIUk7lIG/tCOe7VfspVYXOe67jksWaDhadI4JPG4DdS5
G+OeaC30o8bEo/cd7DmVpOba507846P8lC2lsQJs90VIwDMVESildhPBbCZowt+z9W2PTm1kj2OQ
BPuybCh6NsLYeuCfaLhSxow+itXLx64LaLcaKYXbUVBadizqNFVA7zemgH3jEJr2YuEL35Y1Axzo
XHbSjOg1ilFydV2zfEv5hh8RmXT3XSb0IwMpuhGxEV2rtA9w7tIzFi5K9aSty73fOuJJsftVIO5s
QizGMpr/VWayQ2O6USrTt9owh7ehDI2HYsmb0kql1sY3xF/PKVNT+D6bnOzkOuPOdGvriuKrcR8R
vXoD1Ic2Zm7jg/Gm5FvZd/5tUA0E1Zm999XpZ/fr0Bru1xTf5hVfKrGLm9jYzHCuNxQyaVgQhHjW
kdF+Ifmn3NotViXoddPVx11XHjKgBVBxbS+gprKs+PB16QU4b4sgP3w7ZQ9hrGIg7iboQReShu22
DMByF7NytjUoMWrTJvmLoQzmU0/R7jr0reiIvoge78dY1r6FpNBwfdYVvnuhQedcya4Mt/RMIzg7
aoAm5JXZtdmkxZFIMfEUhOGwVyGrW4BKfAxN7fL4Ne6IrKv0eYHQraMxcMATzxQQPW0tNVD0Vdk8
XTEpzEebOIRr2WoNe9YD04O8Zn40ERISj6lJNdck5lLhz8iWInkcupxMrwEoGTtsqbSG+oKGxain
G0uONDHaerrGUM6nm+QoIsabijropAuJeZdIEZKfLGKy+DYNx6BFE7EK3Y5uu4KXvC5lWd33yF53
PRMOayC6zxeWa6vrhh4FPRYxYMGgWjyPhAg1CNZ2eAugJYP4Nu4706ScB/GPFbPrkMwx0HIwo45X
U3lwe/WHENwf4Mc09UDJ0yrzR5O+zraoKYM7QWK9fiiv3AI1jTuO5isgLKq1U1I5K8NdBIpIVLYJ
UnRa6ogL20zKkxjdeesDWQFDBm0Zi9uAKq8IxDDhNkc2uCpJdLs1Bb1XYhFxxq9D/nDvwq9XhLLF
w2WvDAK7+as3sB6IFqx0Ex46wHD7xHT0MfVDoijAhCxXdC3jCZZB4MVXlk7sbt0nxZ09Ze0WoUy5
1XVs7JVXERbjeLP9PJezD36+bO6IX0aZmyXGBe35m76e5QqaU7weU+PNbzDeWW755PT03fN0Di+5
jGyTmxUzpxd17c7323FbUfPdhyFNaoLU1AVKwxYtamPKLSvEmK44mH4Vzzc2hc81NPHiuyyN7zQY
rie8ejt7Gotl3dYc/RiQldTJ/VjFet36RnRgttpzIxY+DNjzCNEQTXf/ySix2GDbw36fdE248UfS
5DKH7qbpKwQ9Xg0xUtZcb1l7LqsqShzM2OgRanCzZRytMzByW5HkyMgrZ+gx7qXxc9QP3iHD47jg
c8AwE6hQ3dWYcDQsPtSXq8KOL+JU1DdlmdVPRpSVK77qxTdko3T+B4kc1UKTt8n9Ojv2w6xB5AfZ
HoxdfzDizEOFEDXujeu3+iaNRHtXw7TeIjeSiA2mttgILcR2kqTshC1k/BzY4m5oMup/Zp6cotSa
6eYpMnFbXVxACXYOOsu9oN2MVeSM9KP7KcsuuvKV5b31bRKlf7aCXoEdsIkUGZoU46Zd9eNNqOfq
qGZaWqkRdzvlo7+yC0IyaJQadILblqe4mULv1Y3dZlwPsZ6vXUult6Wnql2P/+qbaFlfrSYrtq9m
P1DfsjyWJ8jM5ddwlhAVmrJ3Hs3lCymsoqa/5seHqSz7izjx3XNcdOprqRzvQDr5eMq9aLiA0Z99
V26Krim2eLhVr8KbQdbFj6KT5noQlvtC57ayeUVqebKwHV62iuKXwJxEZ2UoXfa6Hd7H2VDug1PK
YouYyKJpNgzxVWXMb9kg/Se7kiUKIk3ibZTrHcrQdJ0Oxbxijafp28YkKKx6qHMbMbfMZGmeHtIa
j3stpMnj5Wt7mtlVoFl3NG5Qn9zkWm+6pLg3cprgpSJ/k1l+RZXYB2ZNkzyz6q+tkzoEtNFEQqIi
4RN4rIz3VSCK+yorAETo3D62LXIR1vMFYiwHgUbt95C8u9EoDmyXhPE2K2DVq7H1jlYv/EdlAN1k
3+nv2cWMK9tIwgdaL+qSj2J+w1IxfZksp3pIm6x5qvt6kvva8OiIJ2GTZPuhWhBwYBtJKAAhdeuC
cC7XHw2RrBUAnPt2TE+D3b9Fo49ggFry5RT45YXDyvZ7WYN6m0MCXoWRXelqyOGfO0a+V+gb17Sg
q8tsIHIUrXatrpAMRVcpi6FV6uZpR1yP16AuFIhh29T+wvv/Q5EOuur5pgWrXhL54YSKMIWq628y
nFvwUvL4cWo7hw8Xzl2rLMLbrnaqV8eon4G6jM9IMO90j3h0J2nybAxKOPu00czsteGsedUI+gzk
qNaIUdsvnpkTHwP6hGCk3tzpYSCEgRF/MPzK3cc4pAn5heK5AnCOMRbo3QEAZPRKvwvOBTPhynOM
CIXLJO/Z6vA9QQ79vHDYN7AfvroTURZmDSWdX7Fx6DTqzk3cHzL32+uBejIWupDoowylHfdtTs8B
oaN74oi4Y5Xv75sohdJvBNwUJ5Rf5RC798lAGFLaJ7ywbRCvxpI11RyT4+wRKqmc2L5hD/LIhJxd
T7UWpwY9K7HUSmzrvAxfqiDT65wu3MFonPRKwHstEX6wi7EBsB8mPNTraBjLL6XuCPa0jduiKNRR
+XNxGyaGuJGNGW1EKuwr0nOcdysijKNKx3rb9gmodIJgrktvii9zL/Pu3BodJbJpHRr9N+hjtMiz
bl8w3W5JDCdARk3mbRj24pCPWBigM1X7eXDyO8WMu+oJ9tkGwWDu27y/j3rwjZM0xcmJqnmvxvY5
Dkp5SAkRWdMTnYgslcYBGvxwyVJOnkYXhVgXNRnr36p871U6JJtc1a8OToNvna8IHYWjH2evlZmm
JhlWfXjhj2G6oVoyMtg6+763jWlegzP3gqskJzF8XZXN/2HvvJrjRrIs/IvQAW9ey4JFikaiSIkv
CKolwSUS3v76/cDe2SVRFVWh3teNiZnpmJ5WFkwmMu895ztEEhgV8Ti7Ug6QZNyoQssDxuZRZh65
mtbo7aN4tg5RwnpEc/1rGFA0q5inEb8Y1QFeyN+OxanBEnoGEcnikERVExULvfos9rQtxwlfQQV3
YP5b35zMfsqQ763NALQOu0Kxodzxd63HyEYwaqOp4vs69r3fDvarwxFkIDvXqtQH9lA2lTPKRErr
an+bnuivzdwytnZpUEhJZXUXBprfeUrwOwI2cg+EQH+oB+93OZjKU8jU+6rrThVtrDonqAy9YLCp
XW0mLVv5XvUGUDQx0W6wBqB34oC44Io61YNQHcvGOkxrQF+aBu1B6HDhXYrKcDpWnUIxLi5y3sly
z3k8u9AYOFUtx52o0eXB8mwvHXXOYA3skxyq5TnVchVTxirOnGErwkJszleyTw2FtxUQrKVbmHgX
9hm1tolAGSjME68cPg6JyScj6bRPakPo9/mhTrWPSCfELo1bkBEXRXPyL9QRNH/ly0q2N6lo5hwN
2jcBLy/ArSHb5ySGXOgGnLo+XTM0gzqchVlsMagVB1AmYBr/03ggFYKvdEXJjjPppU7K0jM4d1KY
0DSpHJoc5lEnhcV/Kgql8skaJnZIBKQnKKWbXKU6FU3Yp+V98dbiEVP0qRW0eM7f31OdHN0ARont
fW4ILyr1Y2gWEUik2nczmgNsumY+Q//1/CDHE4HISuj1aBZVj9PEYhDTKpAP5l7phxowuyZv7HWv
pSXZvgnKn8KTF97P44tiPGj4xCVA1nOW3biSnY47YvrxM0myhGmPD7B5nAuz+/glgRflwuKl2qIj
lNU/9ji8UGvA/IrSjxuAvHVBThmeAgKNKC+ev30nRuIiiKcwbQ1f03Id8eo4nsbRzX2anaiWlPoa
YPxjUSVP58c58Zg0xyRqgmfFgvUG+X/X6ybOLDW8ysn9KVa3lXhVIHAmqZwFV4fzI+nHr73xYajF
CsKx0Z6dG1iFIFWROmIStt07/8DBsWR1cvo6WiyRxBsE1aY0G3ejAmn5brOL3EKOarYJDZm9XnOy
zci1gQ9tIviy3KQ4NAY5BGEfTZ8CwdaMzD0DsSgFXLY6zVbo0OoPTieG2z5vKSqN+HbXnHyTVW/H
04ULBb+zbMgxqSi1q0wA6IfL9rcQk2J4suWe1lHz7JEgf6t17meCVOLXbGqdQyvg0yGo+l7hdd85
gOtpIxFvii8otmiWaGWRIib+mpFFt25swgXz7HPRu5+mgLNelqfltkYkvipjEuCDKjHQYfY5Gq1O
dw5KorTrwcxNn3ZTv2kaPHqMk2w4VTs3qYmWISGLDb5zHm28sF9PTjhsIMeTBeiGusJWbqrVH84s
7Dr/Bpx412juaig46GLzFZ7X/XfvWpB1JXqEkfuSKPVNp3nGFU998ENSd8jqDIzePz/gsQTCMLAo
mxYOHggeSwkEnoSuI8mO/FS3MXHw5tm2BGp/QzpZsw9cEgojqiGPJq7F6/Mjn5i+LLCqTZQUUo+j
bUBF9rYStbbEPTiO3zro4i8lJdhHjOrJr/NDnbhIeq6sRhw/+PdyNadVwRZwbKWfdRWFSgwd5McC
htxgNamu7DqN3XVNzwsMkE4d7fzgJ64TpYVBVs0bymppPScyDjZCLqVfE0K4L3v5GM5ebzcZqwsf
reORQLMynzDwsuM5yuvhWFaHGEeFj+XoeRxlv9HdoWUWGcYfv6YIEBBMIYxiQ3DkFy/mxMqwawWt
vrbfTDa1ECO563vL3nEW/PmnN9BU4VajeDAhMFjLz1YYi0KaouSyrMzwsfPKnLI+ZdZazJnn5wc7
noAMhtgBsYBFj2n5+Spp10Z2m3FlivkYGcoz9rSfyWA8Igi8oEo43sMxFDtFm0vj8/Lmxn431zMj
ionUozeKLXFrUL7wcou4BNFNZH3h5hH6pV3V6RHh/yBjmyfd8vNiFo6LITn1S607pF7xmo/aozEn
ixJYJVZRq/8pLRhpHlKcGZ0G1IIGzMflzIK2gvvWSX2lbQ8gBX3TTO9iW70wzPHGZh6G3ZoxAyb0
5R6/c9Uhjvmj/U7RZ0O4NK+KgS/i+VfjeBVhFE1lswHKgaDxhYgEh8wgk0RL/crgkMnhC01p+9uR
9kNSQmJsSdkhSubCKjlz8xbSFUZll4++Her2Ee8gyCYcABH7e8/Cx94L6ItrWaTIzD0aZ5Okr1SP
oNdWGOaIOyBLraASrTr7ZijDK0FrZ9ezLZpGq/yMEBe6QFGwOZi3BYTxWdcoVeyvng7kAUegdeHX
n3wwgD944zQ8Q8sHQ5cwEhQbhU/BSG6T0UsOykDp4fyDObXu4XebT3mejmpwseXMzJLPSJgLXzaO
gO/Z+WqqPbpOc2nXcupRkN2AqhLwBKq2xdvsCEMWYIhxSxUGveUguhpsddidv5pTKxC8Qk7GgAY5
f8z39N2yMCWqPoStktLPx9HSOXymMACiqa/FD/T6f76L5oCFTJRPxsxIWp608L7bHRqIlENd8HO+
d1VsP2RV8Hz+qk5NHmCMtoMkl4PBEtsx1CS3TzmTR8SWe5+OGlXvwPpJ/TPfVaHl/t0LCDsc4OsL
n6pTa94bAJKz3IlDD9UMNTLMLvXDUL9rpIKDItwVyVORTF+YiBdGO/XCc+zRednRmh2dW4EhoOrC
uuwXIYnBmW05D72OK/P8zTzitcA/UrmJjs7nyEDmvFhXvVYfWosqmO+2vfoUR2q+U1Acr4LE6ATl
cqf/mmhuvm7zprsrR5neWsIx9pGLzGrCxEavJymAAeMxx59Bi7Rtk0tHaO3knXfQ3DEzYZktNz4V
QawWAHK+NoNJ5a4pX7VmjpE13JrEAPe5HdArOkVEXVEa8VPad/VV4OUvEU3WyZ7dl31mXqEr9Vb2
qBCIGHEd52/kiblGm4ktKNkTsAWWH0Th8Bvige12L6efxaQ1O7VA3xQIWsrj6/mxTtwO7U32Z821
E3bdH+e1Dn1ChfnI1j7QfqpIEDdEP7zWo5C+Q9YWJi27ubDDODHpyHch1oPRVC5y8Zp0lRiHKsy5
vMT6FsUhNA4a6ZQWq2ll4M78WlZ9uaFB2vl/fq0wyrxZ48gGcblSmqAy48qtc5+z2i0eP+LSKvFA
gSzE2Ro+jaQ5/fm+jQHnMoBOOgVL2eLu2jQAarPMfUUNyzWpYTQKpdE89EAP/MzmIH3+Ck98cxiP
PdQc8MdmcXFrs6AyI3j4uT90IcVEExS1WublxkCk9m+G8nC/uzYbRnBdHy+tIIqpySRHNM3L5b0l
StyaTmNfx62mXVi+Tr2jBhNq9iHMxbfFO9qhUpETlQG/ztpHqB6/iFB4BOZZreKwfHAxtf/x4YgF
DNOFDoiMXJHlBNQGyt96PUl/0idkN07/uSLZuqAOcGGgEwszInvVgm/ENoTEmcVNnHDrqQFHQBFa
z+Ew7N2pfLzwShj8GR/lvZD43o2xeCdIeE0T02QMNLbayozj4gCixvqstzYQGQHUPw5VrFF9VUAb
S8KveV859O9pn7QucfU9QP9tJWOaL+aAKMXQNIANuKFjo6kOk2lGD7oXDms54tAKClXusxq9BKfb
cY0yLbiKLBfbgjpgVtRmmlFCR+3z5GXoH6QGTyPP6mqvdlB934Bjd4mYA7jz2RyextVdNDjRHirw
eCUwjELjjrJPHWHqvpt6jzFhFGuuPt1l1IpmlL9T+OiFoOj2U7EN2shCv5f2N4R3x1COSKg4f3tP
vZum5jga74kxU0o/PkHQJ2Uz2rybKPdey6F5daPizjSUnZHlmGr7/F9MO/bcbPYQ9GMRWYxnRaMk
xXCUflNGc83pljysq76RFzavxyW/mXhKrZlaJmU6bzEMwJEIHrQnfXSdD0URV8h43L/L9Ct9oU/0
iNetpb+ElbxwZDJOj0uVljvK4Xq5IfMKMFhFb1ETycfpWzRAbXYrU3lAe66KLW1szjillcEjSLty
I0hMot8kWchLvbuyEN5aSa9cGWqr7LTGlOsArRYvXLGnBUFTyUt+WFrHQX1AnQOSJtwQi032aOdM
m1ALvpC2UK/dySpXOB/NFFch9ryE3wP6ofiFDFu7T9w5B3DAgoeji/89m6x1VDfJ1oFd8FQa1qVH
cWpNtwHQQrmlzGDM0PH3O+9Yra1Mpp30AYiNdChWY6/uU63pLrxZp9aid+MsN0Zd0WUiB3vlu5ZQ
15J6w5rMq+356TIvNsvFyIbWR18BBw5U0o8Xo5Z6kZdgm3xsKO56nC2Lqv6cpxEy13q8YDo7ORj1
Ss4sYNePtr12xWIkBXNFieyMk+i0h/azQ5SFvBFg//krO7UQ2JT9+Vpg2Tva/JJqYdgJwga/SqoH
gGgk0wXjcy6qX01MGzGyL9xJ7dR7MbehOMDS1XOWfZqpJljINdmnJYOAJjLp2sGdqv5Kpxa/yQ0l
8s2ixPFdeMbnWA0ifwzRGYegcj+5oZvuvNwcvzqo9FFMByHIqvP34+TPY0GkjET9FkPbxydNvGut
pBHbnL4sfhle+BTp3Rdh0Nr9F+OQL4X2nD7q0eagJrY8KpDI+JxEC6o5zasclX6Tt9WFD+mpbeuM
tqXEMv+Hs5iHRu8hqkYO5TfIuKMa1VkvH6rcOiSudgdG/zET3oVCxakX+N2Qyw1rMpkC2Yya+Uo/
7MM2/+WZAr2pfajyS6Hixqn3dwZxU4sGt00t6ePzanqXDKTByVhm9PGliYrfMAHntAvNXVO+Ddcz
H2CdsSJv43KW/yraLJaq0OGANnoG9x49ByVUq1ZHRIzRBOl/1FRfwskD/ysJAoLM7u4Gp3efXItV
E6BVjYZBqYfNlM6lzVz/rfY6CnN4CEOhviR5e0t3vNg2bPligm9W2WjEWyJY9S8FOkg+9rp14W06
dRe82alLiYP3dmnJEqKoa4lk2J+K6WpqJm3VqOYz5vFraqbPTTz2FwY89YhnswS9a4di6/K2F4kW
jiWbIT8uYQ50RVsVuzc6gREC11nVs0z0/IQ5cYl812e3MRx2du6LM4lnjy7IEUP4UBrNbUQU2ScZ
sUMbk7x+TuA0+6iCfpwf883BuVj3aZzr3FSmKEfbxdsVkhRNZ1Zkvp1N3jrqW/uLGWndWhqjdR3l
Qjy9hfAkJgKqN9WwG4F/yNoJIBbKnr3Sg/O7cOu1E0VMfIpUfeZV2zk6+4aDNRXkF7N0TAHqMiM0
d2jEjF0dVPUe5rKx4k1BzGSBQQyriNjaOkUMbV5CERsn1srZF45BE2Y2jTb949xTMUvaWRNn+JYT
MCpvUuPYAH2B3FFa1zwu56pJEAjieoBSJigiawq5sSt4It19b/TqbhwDcBNvfPlmUr+xLZb7qOeV
wsSQ7tDZWHtUsr+IYlixZHdb006iLfI9c1MpsvEju3S2Q9Q6Gze81vPU+JIacrhj2uILIT93eo7c
1jsI1fmuAgW7cDA/df10wPCgO3OHflk4otyWiLoxuH6RDl/AlCIPs4f4OdaUaHf+TTw1FFpItAa4
0flsLDYgNJ3gkc+fJSCk0aYo3dlgMxTpwYtE+Hx+rLfntnzr5+ovSYFUGVEWfXyuUrFF22cxh4MO
GM+qoWGM/2IiYysgKgrGqtCuNcK47ptB7291XQkf9EaBW2KIYl9IcC5vP+j/8Q0X8A1zk5Nj8f+g
BE7gG+r69e+oBaLV1O8xDv/9T/4H4+D9xZoJdJ22h8EB5T3GwfjLwvdMFc21kHO9Zdn+h+Og/8W2
gVeAf4xaGrvR/+U4aH9R32NzSsWG9E92c/8njgMjMIVY20n35NctlhHPIFUyLZTCJ2zld5QTKYe6
NFjFLsf7d3fn/p9X+H1wwvEs0hydwiA1VLzeR6deIRGBwKZlJB0TBWrul0KSYtgHUXuhQnJqJMag
WksNDb/+/Pff9R3CRgnAr0MrbYgXAw+j3tVdlnDemy58Fk8MhOYJ8/q8AKlH2+mOuejl1QQWtU5/
pyL9TZbO74T//uM7xzAWcQwcrCmfLZ4RmhC0JdZQ+NQGvK3nluVqTqBYp0P8L24d7yqrDl13+k/L
YiDmy8zE4FDA3MiqmwFeLWZN3b2p5B+HyhKgYVMp40xngA9ZnuqcDsRw4/WFH/Vwo+x2/DyGwxPe
mKeig2h0/g7Oi+bHRZXBDFpdyDPmbFL74xsBdi5nbuaF75U1nB0cNn4CqWyVK/ErKGvojpj3VtqI
dfX8wKfeEHqGOHHftjDLR2dXeauLSBZ+Ucb5lxaBLbxL7G7o4i6FQs9foaNrpP7CqsAelFn98Rqn
NmlHRC8FHWp8+VBiSZ3U1eDLv7igd6PM+6N3c8tlK9IprWAUb8CGWQ1PXUaCkqz+3a17N9Lire+J
4cg7yUiRaMeNPSSvEzhpEqIvTS9tvjMf7hznQKB7RFUgyoCWv/jkhi2qalOh1dVQykRuXucrEIwA
zg3zWwnFDkkINEE3ifSdBaZrjaroQj/Wektw+fAbZjSF6/JyOp6JXGrxhubE+LlZXmR89vV8U6id
Aoa8aIb7yczGrReo+UbzKm2H4djy1WrIN4kwvK1RmvLQlXQb132OFtil4bqucomEO4ozoMeBcTXT
dXatk/4egWNchZPWfSocKMOAb2t7pXt5ucoL/i9jFGRbNe31dctHy3eGMiP+1NOfU0fPr6wgCV66
rBs3fTZYfuBgnM9HoFt9wpRKnQEPfT22SraCKuxuujI0r5qGXnmbCrllNyq/YBozDzhb+r/LgA+N
1tj8duw3D2Ni5tfQjTsiaB03yrejKdQfCZY9OoD8HoV90msWcNEppNtd7oXFXahP+aZBfMZ50wiC
ZKURToNi2GigfmLq25UqfJakhKulkAZAoipXN2WsnVCtm7XTSH0dOKxvURjjtsJigZtv0HacYnN4
slRuD2bWxXs6TPm1pkIXdTMcba4H/94RFKDCqLOuh1BLXkI3F092n6KJqo3ie2ln+nPAtRcrB9vf
9yIz24nf1BGgCmLVa9aGMbLcDLaJtVYxK/FU93iawaFlDxDVmpeAW4OXqyzu7Db5rWo80xZPwzOJ
Tr+Hug++NPaUX/Xz6hzVdX49Crbfu0qg82V58USEbd0ePiNUNa/4qDTEhWbxnvBaY8VOJJ596K0E
P4aed2W2YXwbGoUHfzGUv214GbdAvrmJraCGqSu9667eZp6ooQhgW3dvQIzLbQqP45liOQgEE2Ro
RmLoozth8QE8FKcvHoZDeKM9hGMrIk1XYC2ccJtWttjHUleLT1rbFd7GjoLuWxQUirfVta52kT8C
dl/ZqqxukGhPzy5i/sdBptlv3YHOzjWOWzxMwUy+LH1Csr2nnMn9aMBYStb4CmBPVqaFUB2BSYcd
bMi8mwqdA6VcMqpXTTCk4MGJoshXuOQUmogk8dZkB28KEzrhujP5yk44KTGsFLPnBvdH9ETDnXDO
1pXJK2Heyg6MWvcJgSuZpbEH3LkmXvhzX3ndt6ma0j2K6IaOhFLp8S4BijRtp8RNy1VF4Fy7Arip
/UDfUv/UJ+aWqQSjthG9VX/tyDf6HibQ/ZxRsIwPOT+2ahXjQNxOPOLyhOCtpTwJKwrTlzLU5WEI
8AtWQ62vQa7+1t3Iuwk0MhD4ITBBMWttlLEm3zTK7OgWP/WwbUMxm+t4Qq3B1xfxtlhHbgX8jqyI
L0lX4biLiiH6JQvP8mVqA1O1IyimptZ+K+qx29OqwKbqtbwIE2xp7CwxINE5WU/B0VdrYo9Z9lfT
Vs4mqocvIOT9Ju9+tNEYHzJp69s2gEDL19h5iFompSb5Waomuk9dU3lzFHaxo8dMyHThpM8uUMZr
/Bw7cNxiHU5D0ayzPq1T7KGkJxqN4KVmVRzuI1GMG9km3p3BvnZXKsz6lPzgTUdMxsqogahMFasb
pN1ur82f/sLkuvUseY1rxb1zaTC/igErttE1GrWkXntMzMA4DC1vFCLi4KX1iKRVxZhvOjpcW6ue
mEaEf3uIMmZgk1KBUMVzp6wjyC0Pml2VK1MVr5bFQllVrB+Yzp2HKcaTrxMXsSF8lghvy2jdBzy1
1Y3Wg+rCi8BrCI66BEmetRuCvFnE9Dbf2D1DV3le+TE2oTV4pf7viBZCIYXE2VfjRUTzuK1icYf0
Nd9FPUCKiJjru7qct/a5nl8LreBl6suoBeComfQ1uDtx4JEFYrcaAVusuuRbfG9SV/ul9qxW3fyO
WOqk3RJcHN8mFhnFBNWC+O3ZzKwUpbEAvVi7GsDAGheYvrYMMu7LJh/W3WTnX+OBOzQ5gQSs7VRr
Prg9SrOGlVuoVYVmy5aPXREGABClJBuozR7qlrVHCVk9eo9Jn3akgnVe3u4MYP6rUHbxrRHo6g9P
a5vrTiFgIc3bOzethV/bardPIoqOmRcqn5oqvjNIhPqmJEl9Nw5R8ylIpmfcyv2zm47uxh2RtJqT
ZvkTCTlbGZXZHa6N4F6k350S92tsRL/zcCZUNfFX5vNT1anQplEhwizJQIyrBk28sQamnZMAwuL+
Q7FyoiIcPnpz2exKiSPSSyQrbyVZcdTM1SA2asBUJx5p8c8iC4CAYh7PYMfxD6q3DcaH77ZcQ68a
Wp/qpVntZeStdC0q+lVTewlcbSFYzBLOmSWvSOJlc8RfOqd8qXCmC2fuigJ+I7uinIgJLQwKNEYI
VBUsSF/OuAf9a53p2aEvDTKknEYt1rnblgdD1OSda1RPiZguBxRB12P/Fi/cq6Ji/cucPvhc6j2O
NFCuOLnNuMuiQ594Bm5y+COdezA76KAkKreGY6w5DlCqWk3YEH7XYxLB7yD29FdhIajQ4tC5Glyn
0ABewypgd2OphIYMrOujOxdCoII0zb20HUzAiYnnfl27YUK5L6rMDdwjrctYe+oXN1XTZg2O80uf
GAPWWM0O2SGMgRmvCmfsDlIk6QZy7g/TbUl5SBLggka2Mi2KR7rN/GLh6B4sK1HmRBKFQAcnA75m
6uOeeaobqzwBNdIKt/H1EknbUAavaWSl8K/0FNIJ5WjwGFB2IbHetnyjtdUQQrOSpt4qa4Irplum
a/h3KBz0Y6lWKyvhAPZNhKJcxYOlujsnzFjfTJvl2wzZnXBgM/tVj0vO2hRcsJ9SJ8rW7mhdCqY6
ri3OG2L8XxYtVVSiy1NggXgeI1Sb+lGWmYe2q7PfuYHdc9U3hMNnc0IGShGwt9TBEq257Wx2FlpK
F7vQ2FbFVfbKh0seXL10N6POUaeOCwngfmytaxPb+Y2k43WT2rVHdkEZF6umDSw/nGXlBhikfGs6
WfAFs5H5atgUKFdkkHd7QlmdhzHQWG6DcUAKEMfJy9saKCVwwnU/peTOnz/vHNfjyAOlFKOqREnp
BsLtjweeeoKd1Naq8CFys/bqffcJOxC0aLdizwQoKb4daZxBX5/YY6UeZDEWPyLGjSyM8VhfOjcf
leLn30PBBnfNHOC8LEY6IXwiNHXCrzINChZxRinfl94hUVW0n4ORT/75OzCfPD6cTHgZkFwxksbZ
hDro4gaYnZWFfSFgobMhlaB8+FizNZEyyq8VE6v++fGOm5TzgI41dzgQlx1JrmTFZs+001n8D0Fp
durnm7gm5mqT8GKRMudtU6KJ7mzL7e/fPsHkmtGRj/Re20UaSU3g56xXmBTdfgABdOGNODpnw4Gk
14WEmRnCfVncD5QbvU0rKfY9ztt7Swnz68LsL83Bo4oFo1CowG6BYQthw+I82MZtF9gyj7GEsXO1
kdGilbYJ1dA9Nvl2CuBjTNi5Ay/uvp1/APrxeZj9gTHXf5C9HdvRSBg0Edz1NIPrPgyIZc69GyUI
vJesZV8K/t8a7zzF8p6ILntKvbEkAsHqt83YAXNrchnF82JHHHZJLIGxDZuCvZyZVj6bX+8myWX9
swxmjr0SoKP7p+Ly//XqS/VqRIq8JGfq1fHfCCNf5YdS9T//0H9ilfW/6CMxyTXebudjrLL6Fzpd
DZgrxTMq4zad7P+Uqt2/EA7SqiBBB30mivL3pWpgZNgZ5tIlkwbq5h8gh5cyXCpbGHZNlCB0Rgj6
XbZ8yoFktFLU2rUszK4hlofgrcGvLE7pEM4leo08GkFVJKmm9Ow3MU9AsI8ISai9wnqFCCd1bQPh
b96bWIk94VvCj2Mm16E+p7B5gWRuET1EK+/dnb7/Z7V8X/terKGkzczc2Lk5zMKBjGUxm926JQWr
mqpriJzDZy2Sytpij3Qzdo56C1iEY+n5AfkSfFy25zBUlaaDiX2bqhL37OOyrcQCrlabh9e27d3A
nAfYIzo+9XuEfWGpAsJUSl+r1OK7h7K0HNat2Tmm79ksPDsrBHFyRdznzP7qMH6tAEhSxNAbSFuu
jB1jmxMafY8eXXsUOkbZvRnI/BoyAIY0Cip8srU0qOxVWZFRuLbAr6Y7ota514rdDZ8JzeLQpU3W
KyiyvCY5x2Uoj1pAuK2cYN7xW3i0cWwqlARsngg726Zu2x0SkZEguFh/rDSDl6A3WOsrg2/viFgX
N1wDZKtyKSKsnTAewy2ShD7cUlEZ7tXIFJhNo1B/1DS4mKvYqbk2AB/ldyUC7xfaPT9jgH45QI7U
i+9610OksIngiO6GKOMXEfZsXPGVjYavVTkTWTjx6tqjnkRaTReUjsQt2kFH2RHwYRffdKOV0aGp
at6/kOQIalnAFT5PldQfMcnqwzOkeZIIDb3hzsU1HtHVyJkpv6oKl+1dhwN5AgKiMLQoOv5u0QI/
3YLDY0M1TCW0fgVARHRPHBTlvBwIWESVwOD6sfZarwQDBk/tyIGja4lKWnk9gUKbEmsEai3+aLUu
uUnk4fEUbJNW17eo51vrmxN5DVvuo9GurXjG5ceE+fU4OJpy+jJOOY+1m93Z16g1RHSY5kfizDfH
A93C84N8cu2VCoWNWDSKs4Zf0n+KyAF8UFw1AuY5MHnpnwOoKSFfYgshmUaA76O6sapQQTubnDzt
rRk44UaQzwUVqh/GR7vRm1u+PhyMsgQWFxy/Nn8Nk8b6NI6h/aR0jnbbd4W4B7AWvupUJnwKx6a7
jnXpvMow7Z4Lg6CfnTbxykY92Qhd3zXuOkrmDXUGwJOQp8G2hi24Be9JQbDZPOjkptobq3N4bbrK
4fb2cWZXd2ozWLT/rVCRyFXa0iC0ejRdyLYc2U2FqKts4NnFBpuE32MytsV3/jJLfqMHHD7HmUp9
waZlvs5D3pGa+IZ2zbFVexz1+cmLlGS2lRL0PNu0nwQ1TGCs37kzTC5CIZiUaZH3wa5WCZr7RsDi
8JntIxNBmRxucKwjdNqn0GCuLX2iJBkMNYftLqFgmAT6cE/zovRbCErDjQFrNAQT2DIKFapkwthS
U5cbhoT7Ag+etIIWfNw1kQl69ZhOk6I8gbOdyptGr5Tqfhw8folgP9x/nTLOcF9jU83Sz0GXVP6Q
KVVJJdIwriZSM7rVNGbcSw503MtB7TkFeF7IjaAHVfmBcMXArgFky6EoUZ2u317kdFB4cFAOmcd2
N0+KpjL5U4beYA2VZq4/xq2iEVWhuZH9bRBuq98lgcdC4YZamv/tGL1GRKJLoR9pCWMqpGIPoPTC
KnmptKoPSfxqw+anEbhN+lyxQmhAcYPJqu7yTErbZW+jBN7WEYD3tnqKzGmFbTA51CVxhWg+K+02
IXtqeHbboEx/WY7UdQpAYxlCxVM7Xb/L+P5M5UpvwWxdBVInHgavl62qV5FucEDHF0txXUFi/RIP
E1rrOHRvJUqIb1bXBjOx74uDVr9fE/LZfh3zUdmCoiQkNC/qtdGG0ZUhvGBDVTwm1ydGBKUZ2ghZ
2cksn7KLPUubE8I9qGFzttmZnL5lQhNgJFpSkPlWFK76VBOPtjYy9UWhzrJqSM1cpaOEcRf1g+uD
twp/iDpwfg0hWAsyJeQdOJebtq/KcZuSgfsAnz18sYxObjM+Uhu2fcZnmm7yRTOjbKdLlVoPjGRQ
JiSi3HshTEGnSDkswuQVn+IiFF/1pHZWnlo3u0lpOH93A5pxIHxgyfrirhNTdmNRXti2vSMeWNaL
l8Rroy+dKe57Rx2SfVUCWypHmDgq+859RxzUl7C2xVcMOXW4qxopb7AcUnxNy4kwKi/dwbggrxZ3
M0A+h9IJHNn8kY9O8U1aWRFtkqmWOzdW8+fItudbCxOHWAKrlWvbIR+nsAeDpKQuAwnn1L/jirgX
0Zqmr89+LSjE+i18OsfcRCSgQfUa2Q5s5pwgqqFZvndFOc5dLiO/msF5u9DSHpIgL/YqUpsNjJ/i
W5JWlH6IPrGvJMfhbjtmTntbNmbwxSsie6/UUwpwCSUeeIDJRedj27dK1JTXLNijj8B1vOoVzUOs
lvaEk1bw6nSzXZftmPiRrO3HLu6mn6oqkmvP9abrSlbeJcTM4hzL/gSnEv96O1TiMFsco8o8M1x4
zgBFm4Jahpxrqr3BR8hUqMcmapdfE/BZ+ef3RYvD29uos4oHPyLQGXx0H3dFZjBFTtRb3qEUrKIx
fpRyXTQ6e4zz4yz6vm/jYGrD9chub1Y9fByHzHC7rb0wOJgUqVlT1Yo1Ww7Fd2sIWDD+fLC55cvt
xKF0JBnSmMNKyCbw4ApKxnkemVdv+gAlbr3t+aGON7IcyhHOshdX0b8tG+kloagFsFcoV4R13cqW
rbeFyJUyXJNf17MK84/HIx0dtyMwOhuQxKKpjfOPaSsyC3xlFDz98wki8JkvhiXnlkYdEx1w4XYu
jt48Oy5uFuzCJOLhLTfrYxaajVc15qEChdytiLFg88OCyhdYDnNizxzZYqyVrOOvVQrKwx+/pHTh
LO6zOgP2cZ1/fHlyaQI7F6l9aNsYBFOvGFeD1l/yYx9PBUZBO+dhALZ0TiYfRxGB3ssgru0DEYQw
pWIZ7x33olb11CgcKF0YDpQzjnrrdkP0paVwLW/KCzumfYPn+F+8JuTjEPXuctrhuLm4Y2lJaxaC
p3XQgyqG34s1D0p+T0McSYd22xRDN1040h2vX6zprGFcFg4zhv14+8i9DMZe2OZByQP7m9aCjJ/U
jq1IiyNiKwkK1CFGT7wi52fE8cqCEBHJDLAKjJ5HMwJ/e0xCLUDXtGV2BznrZGMjmJkS273grDlx
ibwcSJvYgyPAXS6WDnEZDJXphwHo5BpORX491bQnhTlXn+cT3DC/NX9+fXgQXIRt1glGRqcSYhaR
OHQQNjIWmSFZEKob7TnoXJzpb1W0d7VNprpHdQLltul4jns80+aep8p6Qqu09txVomUWrjZHFZ8J
oK5u8wTtDrVmtslDz76OxttY33ZlNwQ7+lcmh4ucbmGo1z9R9xvsOidJ891N7eKSHft44cWNYmCK
YEVC9bd0bsjY6uNRCXjDM2qm6ziIi+9z6ltNbArVPBKh2daffxLa8dydrfTsKylFIkBbalJCQb0k
4Bt3UFyFve7gGpwfCKFpfrqVxieTXL35fU9i7bZsRfm964A1b4zYGz6XtV4KCJHtNCcK9/G+GTUi
Jc//wFP3ZFZOolMzeHZvdcx3WiS1rKOJXDTrkE0um27VSl60kE45NBUZr2h+XSrjHM09RIXzbKCU
wysK6eTjnC9JEWbTDzmXiDVgr2pCS2QsJa/pMLc3zl/dqcGoG8GkgdBxHAOElMLDAAx4e8DkeZ9I
cNZq7XLKsdSCU9L5wY4eNVeGmtrUZoM1y9liX5Sl/8XeeSxJbmTb9leu9Rw0ODQGPQFCZ0akrBSc
wLIUtHCHxte/hSTZt8R9LOO8zUiz6i5mICMCcD9+zt5ra6JpI32Gm25zsIzTjjuLB5FT4t9f6EcK
CFJYlsu1eEDPyJb+Y2UEGT6dnMYdqSBU0t7qnOH6UPPaDp8gdqv2qskGOiFWbKEzGROmbkUDU55e
8roN1nK6T9KcPoE2clhi2Lc0r4vL/FjXHFpZdL3MnQ5Nh+O5JMJy/x7n0FW1X5f/dCF+Z00wJmNf
Q/z5YymUwqluXFJTT8bC/HhkSnFVMjLfxzp5aH//of10o3Mp7gGLUQAtvZ8mIl2sG90wJeqkkBMf
PTAMBQR3smsBudRXa8bAr/qH6+71zcJosa0hlVzF9R7xvD99S9VSAr1WtnVyQB58ATswnJQV+U/v
DRHHbenqyKUgzHeajF9sAMaPt4i1ijQRa5pceZ1B2ub3j5lVIDBA55KdhKCTtGz0zHNwFs/kYZnI
EqbI++iIPLc2Q82w9+LHSCGAbsfpwehmlBSgSed7vS/pIi752q+RMO84WPSKPy8u95EqnTbb97z+
rUuKXcUrkbBy8NEDMSbOyeO4s7OWGf96e5F1RPUwdwqE+0BwchsYTosxeZxojbURw9urnMYR+gk5
xKsZghHwGVRprjak2ZZ3I92Gi3I6jcjs1LmFVKQteyDPDHeHrlrwiktDh4ic6bCNXbsn8Yb44usu
J/UWqVkD163G78MBeklPwHhFaA2FTf5KLxIJ0rWXJE/R+9aHsX4zl2xVVRMVQ/Oob0QhPo8EItMU
1zKeF39q1mboHOfJ7TBP/NklxLc+OvDX8a8o6O4HKCqciiq58LeLdP8sPsl3pfPiF2tdIxuetaQq
7Pkr3XLil3MSezm4z2ry82PsadN9A0E/uUUlVEBZjuXQ3bWIb8oNch6e7lqUTX5fL8hJNqrvhNwx
gpzuc1Bd17Hj1Pk9IoD2M6kUvIsRtcfyxXSq3jorKdZW1AgsOJj0lB/krdtv9siv+9AgbGY2aGTW
9cCnOdDR6OnNpWSpTjunmbk8fRA6V92S0Aj3ytkxt4gHecUeGRqKrNGsjnLKeu1hIltkCWW+sGsR
4W3RwkkKszVuqnGwu3uRQibf5NwuyS3nVTD+YnbHJkS+Zx2HQbWkB/TdoIVLUzWQuo3Vyb7E3EEV
+cSoLt0xda+tIRLjMSGBKWJfFchZalXQ0/Igui37CdeQETAtp8vIxHlSj6KyVbEnaogbDP8VlGMt
VewN73UAPXvuviV2aDUkDlO4k3Bcc74ioW6CTgtTffrqd0t06y1ES//RgrOLnl/GTCbxaGWG/ZZG
SRJtW/KSkEq/P1bOKpkjwcI8jq6ZeW8V2A2I7ja4LTGJhCkou6IMjQ5hQ6gcm7tIes4qNitsPlej
XXvmZtb2HxEnj8NuQph4+8doBkDlW2SbayERW9R2Xu2i8hTZ2olVtOeDBvTGYSK/ZQnftz/X6Wky
JvSu3GubTJklyPV0yshFzvX2Cp0Pj2nZaEwaitnig7WiwTJ3mW/E6V1bSX4RodM72TWF0UKQFnL6
vZ9cUxto9Nh5fu/VMHbO9lSIRyfLKiskiymdv3gak4wtenHDuptFQxc4mamNYU6K0S3ZjxkDELud
0K7gXrGY5iDLtDrTfaYwz0lDtFVXM8QtCMHVsiCKEAqELOE26eeqpVs/FzQld3TQFo+WBGqzU6nr
cNrJcZg6jwbZ0g/Z+MeO/9856S/npOwq32y/P/t60rZd/4FQ8P2o9P3n/hqVMvTUKQRXkczqnXF4
yT/DWX3xG48YZh6Diu7PGanJH1sCAZJ//8vUf2MWSj/DN2ijOK7t/ZOZ6I/7NKIfDoNMV3Ej0rH4
EXPS6x2mxyGJWbUIYKZxPu9NaAZpYBF9IjZ6nKhPKBflp4Yok1+I1h3vh7qE5hZqYtgxFHSmz3nt
h6qRjC1p5zCijmVGcosbE52kGS0LAaHPaEm7RAc5YaOQZUK46q/kTLjIUBsV/ed6/rBEq/KTuYcR
B3UOVyfwxcxSmq9zCZVa+caFlvRK+JJajKDN0n65ilJ37rdV2xgEAHXL2Xdj/bBqniNCRkFQXIak
Iigq89ibJVjdnUpMApsyitJ7hlFuqLIIZMo4sgS6a9STmcx7l3r+VNsTn5tTTdU1vyaUAZiozRts
12VHTyxHVMoiONMiFYGTWBqejmJu4l49CLSK2smbklEEs8a39HmIzdjZjb6rGU/6EMXptuzjSWUB
inb7NdF9xIYM4vwuuao7k3IjGJFPj7fScHGsujGRIZfF1xJvV8MXi+/HWHeoavNSWoBXSsRhRjt0
+kZLmMcfhbX+lzEpNe7LpHKyixypU8NreYphmhS4PIxEyxBNjN5ieqiHHQGKMiidCKsW8+74Y0kM
983gzvW21pcC3L87yyYQsfReln7qtG0lxmnLJuvue2fZdPyvtd5Qn+xMDhfXy/Q2zPXYPBRUdShb
sTCMxPy8gEqigVzsS1XqZ46MbF7+rlGDl2ESd+SVKsedtGRzC+fe4IZpXB0pGFEs2uxHdwN5QR/y
xs5fdAKH4ElWSWgy7Au7NLe/aNWU3XNuQPPvT5IgC83fJZVISQPwzdfMRjw3si5vUldVx9SvupMV
oSkSorhPUP/dDRPNf7p7EEwRSu41MTqntq6Okz8/EjAHdknz/fajXYvovoQrt5lMMz3muG63+tiV
V3QJ2m3LKC9kCFx8qAcC56Umkn081f4nJ85lESh4vbcDA8S3eEBxB1hh1i/+7C1JQFKUdoKYwU/N
eqXfqbaZyczBo2YaxWOmNcYrsYRNHBpW/ilF4P7keDxUTHatHS5v6xjn5YCnbSqPyhy/RBjl3xZk
5Vu/gbofsCZ0b2ppt9nCJiqS0QryZrwarMS+KRDI7kxyIkuERVF9UGy/R0aOzjmqXZJZjN67CLca
qaRHguGzvDii9PFRCNTtY4um4MYc7fqQm6V5NTI2vzCrWw5l3NhgXxJxQdefvcgqyV75Rov9NPXm
VV8vxaGvquaSQyj41CD3XXNkYveUKnO5lXY3XJcdLSVmcmIIosZz7+esY3vVNJNlxZzSM/G75p2/
6A5CRB6JQzGpSAsaL01PlRObN73XQxpWZvpM4TgRFgj15NzkQ3ruklw+Ets5PmBtbk7MhautNqX+
KzyLDCWv012B1sf5PPVuRgKCuxg7USYliQN+dIRxMO5xSMecRHxvp+Rgf7UHhNkco+bnKTNAUfok
++RNeezs6MywtdrgjNCD0WeILKr4aPjN1WwTaxf5ZkCYXP+5r0YKoxwGo875PiAWCIcPUe57RYjU
zkiIclkmR35sIru/0uWY7goLAaxTWeNdVtsS5Zc3H2rVm3c0IueXHq/EJzQTwx0fSHQzUfs+L+4s
VjtDueE56TZ1OWWHEb3LvrEyByNMX+cf4PQUnEYET4u2AmrcvPlsak63X7xyagE16+Z2ciYrkKXq
iImkJxQOVM7EYpLi5rW28XUxEl8LdBQi3MpoZ6EXPjZTPpwxFN02Q+dfjNqIXyCgFPuFVNbdZM4U
Xfqc6mcnzfWz3+X+RatL445s2J6NAg7odV2vJoJiuilk3xSB4EGlIR6j87V8Ksto7KZjysHj1NQZ
8Uueg+2jJ9qxl4RUuSZLDXp41CaUWYa0xIMzl7YR6phDw1Y68yem/cSXENGo0qBvs+zQYpL4mDt4
2qkST+wltFdlbfyeMeU4Fq1NPwsS1qNQWXsfk1px4bTJTLLnIBzgb5cf2qr3L5PtLucB9f9bU/c6
O5oY74u0lnHA0+NeV+M4f561moQDjkV4Kyp7PGlxOeyjVgwXzA/mySBWggmjlE8jnoHbyZ6jzWxR
3JrplNyxszWvjt/XH72ucr/OHG+KwOlapB1+/HkkRnXLRByCIg6KERX31UxsygZnchcSSMqQ1dda
7eiR5jESIlEMb4T9iQItB0qa0Fk0qlJAp08Qxrpt7TINhryRRqHtZPlXIozkDnaHfPZioiu3Vh2X
H8049vaVnKJzLyLvavBIUimmRR0T30MkmaOInw32t6CwuuLSWTpWI69sz7kgdbGHrQe+VUOP31FZ
A1CyL2PhImoZqv4ZAgZnpQZYSNha2uQFrTn2d03cetcLSYdfdOK/+tWFwnaNjy0m/bLTHpPEdl5R
EbP05LBkg7qFjr0u2uAilyUCBKV79Y2bV+YFyA3YbqKhN7lXzILgVNvbu8TOrvfEmKJX9zWURwKQ
I+p37y2nIb7TU/ONmVt91uLKfvDimEBEfTKvx863WAZn45bjuh7GUXVev0BmjabYL12Phr9KN34m
jTPGB8JoDVScKqnq2zo2zA+u1w3ka2nFTsra3mtOViGJ4IhK98NgQE3Mp1abDeIjvb1z7dj61CWK
0DnREe/Uj4P/IOys2VX0Xnc6J6hHLHuJFZZkBd7mkSS3yhgmn5Tayt3TqKrDUTevvUiNfO3kI56l
Ls6d5UwnvzO8LSdc+QV7CHG/2jz6h6iT7gEVWQOsup3DKprb22YpGgiojTzgjTQOEyCrcLExKI3j
4i/7SCj3mVrAeJxMP0Muj0H+KzEU/WtZe/YuIqbMloW71TL/zjTIJuT96R11B1ZAZPVjSpB8l+Em
aJR2dCqjRdJlOSpi05bLp7RRJUboNBpPRj9t7JrtDYBczK1ptbsyy+3biNp0J2AOXvVObmW70VNu
tjEBYWfhxCJ8MeNebrB+PcFNKG9QAVlNGC26tWe/q3YDEnh8a9q801LhHoy68G5c4XKS1930lQLN
aZmwk0Qt5+jQN1lE1l/uExMnlMiPdhGLkDsbKQKxEUmorCmzmQQTCkwLAI2Elo/3jlKkJC3meHT0
GQVFLkeeE1qj3By++5nCN9kinTX2uc6ywsiSYpqgw6kKOkMfHwa9iD/oeV18sAxqQEKBFiu0Iylv
mrzzr5Z8TRmI7eiou02Pbh/pI8q/mh0M20V0RGSslg0CjuyUdb4v0TqItKfE9OtDKY24/WJilmx9
lB/07z0wINK7jgY733AuVQQEJfIOgZ55tiw1X3ypxMbPUzTAsZxOSTUu25jC/2VxvKvMch5jB5tI
b6QXphmE9pnWqcxd8XtK2zNQeFhCAhLpZ7kl87RlMI4z/OtgGBNzI3sicBtzeVPJ/BFH7p3XAJ/y
k8HZFEjxglamOvlM1bjXwZOEOU6giSPCVVqIclvAJ+RrMXc9wvnQJxp2YxYUN6Sh3QxWap5b23oV
rUVHaSAJKc7zYpPnngqbsuCDKUc/KEr8OZ5pNgE9iuoUJ9LcVb23S+JqPnnpcJPMlvFkKkQyoTfV
RFc6ldoJprvhok3o9/Le3Cz13JFgWDJmRZS+pJn5OtPA3WfEy4bEZ+79yHZvJifJw8ap6PBw+71p
QKNQDEaPqB+dQ4NR8GQbrU5CXZFuhni0wsVTbHNtkh5ToOi7ue2WkF6+Hc5WPwaYWeNLhXKPbMJs
vrF13hw4OvJnu5JzQqO6kG78r9jzPx9LHQPuHK5+1Lo/g82SyJqLtPfSYwankRJucqOTWjxWabsn
bpYwVk6k1FIVW7ae/2Is9MPgZFUow+cBi8Q0GLziqor+1qK+pJVy5qVJj2Kq1aclgzjYpEWCL8zP
77/pDPwfut4fxibrpaCm8u96+v1ZDpHKNHOQhXKpxpDVlmeExMpqjusvf3+dn1wo64Vo/6+cH2TY
zo9s67yeZ4sIk/jYN9G8Y2xpHZ1+MrZFlXa3UuUMhwY/0VO+9PKtWU0irCpxcgPZez1cRwm/3fuv
9N/+0a/6R0ywEL///3X2ly8fFXnTb981j/74oT+bR779G0aiFcHH1/qnmP7P5hFNpd+giaz0cvDi
jKb/00KyzN+IH4D8gidrnVV/K7PX/0kLCbTh98OelSOmw02HUYGmfh2Gf//AFGavkdNGrKsJaGtI
zkuuAHORb2jJbK6ukbxaM0cbFA8JFYFGMzknCvrR9pRzbJcueihKL1qCil//rETm3LCXO9cTjVcr
6Jie0AUukiEwTKXtmGH0L1Zblmi0XZltBsPvd37npReD+TIrtyJjlnmLsW0YqYc2guJLF5c2Xn1d
7vTBK2/zXK9uO+Be9z5G4ixA5J0/KQLmTqt0jPRbdDsvnJiQPeuJxrSCvu59ATH8Xhkdp+h8ObZo
rvds5fGtI+3lXheFul91jDvqFOdmibppq41mR8Cdv4RoS/MQTsG0JXyRpTLlZP/Yp9n05rol6VBt
TT6htdDXxiDV3iKoSJ5lmfdzqNewyc14MHZ+4iLatGVyb08O8YK6RfKoplfTtWJcdO3J9gMLOr1i
ONQuUeIDgy4Mpctj1fV5qIvpYz4RLRkQTN8y6hzSa5lWWb5GyLa/I7cnxVLyHX4o8qy8eOOQ7LQu
WU6qXEcICZiyTTF47tpGx1Gbgam5JcacILIivhnzLNu52ZRvlsTOwhbBy0Ef6/F6SghkqzSByUiU
6F47FL0Pcyf7Xc6Yh6ii3LjxsJ0fZta+syv18dpqq/nA+mW+0XCrT5kvuge8VCTEM2HOt5XRdGQh
JYZ3LBurP9OC13dSuNoG+V91h3PcfOhmq3tF+VJ8ndnnHo2hTzeknFc3ZWtrFzN1UUTq3QufVTOH
dD39W9l65Yup0mFHiVJtKiojWlU5s1+dmHQNJu1nObbtDXUyY7Cpm0LMqTjVM24cDk10eT6ZZtar
kPpFJoG2mCi54WPmW8upkruqHXQANb7sEBOVJDLp9bDzkB4ESPHeBmPwrt51cAipm4ulRBz2FbHu
mrEg5G7jaTcJWClb0gGz6wb0MdzmxjvoeCa/ZFWc3erEo3FPxctNTvneYOONtE9ebXplEMWt8AM5
OsUUsPv0V1XquKxfJBenOfsqguxss04SXlJR6s9qyqZrx8/1bWK1/Tl1G5s2XSOHO6XFy6ssGtiH
WtFMV42dxo8+Z60bj5ai8pp4PwxudZsitb3nXG9sc9vsqNgHMIvck5Ub2LVk4JKgdt84LVSyoB0r
bQQU5URHM8siWhxCHe05a4vAk4LyLJokmT3U6+UTy0hzO1d0iapY6tuBCO5tqjX6mdg2ijYaRvDz
Zeptqe/kTRmX8Y1KLGPjSMf8vUgLKlCe7em5jRKsv5PXzw+Ok5txiImW6JBMJAebvLFTvwz09EoN
V3I4aNIedhUdNwTg6KlCjRzy8qJxRHhyRcV51HXqqAktKSNWkpRD1FLWnwswMV7QO+V0NheX2F16
jcSZZmQ8PcVDi2M1Q1MXhYVGkJaZigz7dgbeYDdNcsFK7TXTnVHo4lm1UdWHcWOoRu4KBybndBYI
5CZaryZJ9Gh7FX73ck07nx0vpu2Az/Qhamdjdj7Ebtl09ySm9sOhXuVt1WlpjFZbws7LyqnZWIOR
jw8qm2LvkxXnUVLBTin00f5QMiyCzOc16O52xNV02efZbRqR03wVSrFxsbn9tw74VR1g0lv/+zpg
ePv8fRXwx4/8WQUIwVZvWmy75Hn+wXH7a4REkfe/+77Bvo9O2gWDaaP+WFnOf42SbP4KBiQ3JMig
95Lgn9jrjFVX8Y3oA6c3IZU4WnHdAt38SdGSdNY0ADI1z27Uuk/zaNnH2RQahoSl0DdzAjxnMzX1
iZpbiqAWctjqC2RkBA7FvjdaeW1Hem+84IrKL7VbqORKToNphUYjWTZ6hV3UHKzhpcuBEXTxzHrS
IK4L/cFjO2zI7dtw/KnArIyzuO/Ntn6thmi4WdAlkGRLXjJe+UW5KDpoW+zSkqAkV2WM71UOqMVt
5m7vIHGogyZhQyNAm1nxBmc/Npd5dkkHmRitHKiyF1Jo8wzGUE8zIyjmPP8s6SrcpDHJt3SXy+km
imp6arg2eO9lUzKAwLGUu8d6VtayIy5savY8q/ytuVolTihAZ+YYtpyPeIHsbFOW88RciF8QjU60
QEbiQS7NO8MjI9a3svh+yXJCTQpOaZlbdBvUTl4cRm0NuWJU7qH0i0qGsJGW+MAkmJkYSejVBmIQ
mvmzmRsfcNZ27tIwbNHrTh4iYaf9voyM2HT3nLbWvEGFXFTf4OBRlR7mlTddTEwXMNCx62pHqxU1
FKEmlgkdXaR2hMdvU6/QChbbprCwbAw5ShXFQYsTMMGpw3TJ5WD5mFmKVPkcMGNV7lj2vDjocW9i
6AWikEU3kZi13RDVAs6HDamTc4jswdtc41Qakg37wBoPqbejiOCIJUVECmQ7rDeOC/qfXgld/ymD
TpOXzlgMp67r+4ZwxbnMOlMFqm2HkQUXXtXYipeYg46xvLK4zpX63I2yK8vAxqJURHf/XfCqLu3m
Xy94Pgrhvzv4jP9zeCsbWg2K8+2X9xc9fv73v951ZPwfb233739prv4bSAmKQAuqACvonycf1/jN
ZphtMMZeFdzI/f93CeS8tIaVwUZbz022Kf6zBFrGbziM+c8JYGTz5Mz/T45CPx7nGaDzQqv6mCXV
4wz2/UHI0pyJkSe3H8ZJRo0LYReGEz9986H8Hz0D3uK3qyxoRS6Cmo/hOe/zJ1V1Vw9ag952OdAZ
l8HktgvGrMENmQp127+/FFvDT5cik4HS0IKdDb/i+/dTg0yTWWwuRLukGLeKNL8yDNxakBDLoEDk
eSiFQpa22FbgQ8D5xeV/+jg9NBDAid33PBtEEt9f3ijo+IyOQXe4Gh+N0n32aGH//TtcX+KbLQti
HpewyUpDx81B4kdGtFLa3OuRkAdbjI8YMZ9aXxAWhaGERHP55e8vhuT558uh+sVkgBbzHR///TuC
mUN/3G/bA2NYeWICKwDl+Fp5ym2qz2KwPljvQB0c1itcx6yzEuGqj6evfAfwcFRMA9eIqeoTcGBH
fGvAeoZ68CUnjhXiQ4EJ0MeQAocXzGEwN75xNLLS/Ghk454CtGMIs3qlVacbTzPG9nVW3pebXGOc
kcje35hJbm4gg0xPcxap69SJxzgwOVbiCyZD6NGhM/2czm4d+CTr3kVxbd/YXZXfOzbypMFSJWm6
dA37oRIB9Wm0WVlAyI5tuRv6ZTlSQZ/7TBvIKym/Wm5xX6fWJ2fx7jpF65Ms9PLU6NPvMZNHLpE5
W83mNUszWzZ5s8h9LldEWyWIbc/GLyrx5dHNkhuycrRNClB1axllv+UI6lymibM3jfboxJ725Goi
OmVJCgajdRu61QOyQM2HDtemm1lkGaoJGT92jlWEvce52R9iXJExnd0xGkg9LqJtho/uXLV22Ce4
dyIcL1c28op8Oyqtm9daPPaREGT9tEtx/z5KF3NFQvEVGh6SvQavtQ6AQERiV01KOR+sytWek3xQ
N1UteB0PSewj+XDDVaHS/kAVSctAKRSaOGGSq6iU6lwXur01KkkEzehzi5Qyu5V1PWNyrcR2mHtj
N6SF/mTVOQCdQU6hlqRG/9qnuuSAqc/iGntv/JgmElZVCl0oYoSzSSS08WBMV2sf7KrrKErUXbNU
6rZU7XXkz+Yrs4/u0epNssy0RJzFZDqEaHMvSAzcu76rpn1Vmq9JruyZNk8f7zLXnCCBpP6dDkRp
DwtTnZdYq29XqprR9vMZwUMjQ78p9J0asdLXjs3BmkE77YzJTvfKt/or5jSwZJfEucVSu4siE0F2
1LmCCWnMiDVPjvzYMxlUYBejtc4c75o5J/yNIkwbMshSZTVc0QTPcaAO2B76eLzDFy32hpmSG4Ao
/jCXJP/aTSuvZgjZ6BZju74pZ/YN7mgk/fioY/3OjOT81jJqWs3VtLfiTLvqYscAPeQnG6fgnLjJ
iE/ZMTRzN1KXXC3OzZrnBS1CWBu4P6ImQZivedGrl3dExngx6QZRNF5NsKRCLNRj6CDggQqoRzz7
pRZAEaZLFPW0QuzcD0ynGE8MzsU16ZfeLloZhIRwZTRK0mrjuMmbGZnPvlhm+Cmdfp9Os34wBvN3
l++V3O74Ia91K6CFxbNNqnVn1cwXo1wFi6V1m2gc8o30sC47S3bWWtkQ7RkVG2Syn3ETt16AiW4O
vCgejpEW97Dh9btp7nfdVMeHTGMIX/vNuF8AqjHIdOQHFJluyfI0apsGVuKuZ3j51g64guukcbbt
tAMAaT7aduOHlcjR3FTu0N72WmO+sW57x7Qczb0uEnora4MhSfrVy0CAxCUq8g4tRNTMH2rhFdcs
SAvNe5+62LBfVU3clOF7WjB6UR1iGTU2rZ5cxx60ejaAoBz0oQviGAV2UYrq0pbesRiMD3mJAsOI
RBXGDKug/GkbHOvRJso17xxHOdk8PvBK2W7d3rDeet1qOA+Yw01Df9IH+8izx5Lg3KQzfRUsScUR
sqc6mB79AKKixpea1mBANbT6ABlwzmHh8AAFqzLpq09f5lmMUn8ElWrdoct2GDv5IhRFmbUBAbnm
3i2SbuswDeQ5cabPHBi0m5xYTj7mCpajmz3ZgP0Os88sm+5U0YfCmixOBKwehYfBpl9c67ow01EG
NAsHemSedkAp6IRSup9cYdJMHcAVbmRkZ0cv81wy0CaxR8VbbpVhzaE7zMjmc8vYCsdPDmiv4FcR
yXiwO9u+cVJyLhMtjn/37C08q3lfzAkf/wD9QrBybdA4erQa5+LRxF8f2rpAqqF1ufFgSWfrIIt/
7lDT/T4NoCcd5SzPbWVugHOMaZA1Sl160XS7vCRjq5vd7GDhHA8KKBwbNs+vVd4aQcR4Y4dOqT2y
P47HITNZM/5g0XXinUxnrJS6963+v12NXxb5tBi+qYp+Usdevoz/c/qi2i/z9xX++4/9VeGbv8ED
cgAZW4SG/DHF+KvKt6nyWdAgwTNs+FYia4nfOEO6eD/Wcs6lMfKfIt/0QOivUGv+BtEtoT3/pMjn
ZPBDFefrDOhtaEZw9V28jT/YuAwJI8XsbXXwBw2JR6VMWruo3fMr+DMwfXXm4w+x3aIJ1dOkPw5p
1d0ljTaU+zwTKGiUGgjSYNaPICHqodH1aDuNZorpOIAYvEOvou9XfQk4TskSM2kj3FXBIBsEYfQ4
GZX9wmP/VggKDl7qkSA7+6HL6+WuVf5j3ZA0VhCNjHTFKaJ2BUK0HMGz5dzTlCHeLPPEfeugHuma
Tn/xgVDACNFS476qxvzUqgHpDrDgP0a7o+NqW6JkpgtQvnYjNCHuI0C92xK4x9fWULXOKd5kJj2U
qHZgg0B2Rf6E+HUAy7KMBMkvFgm+7x/Uu+9zTXvh+0/xO7T89CgGWr+IFbw99TrJqFnZHxciBEPX
RFoVtPbYGhuDXiwU/tIv/echW2QcVoWnv7glMl6nGfzQNnxkhPq0AO5v1RHOOFcXaHWDKkOE0aad
D3SlNnva0L6y11xCg3Kn5YCjMo8aGKav9tr3JqKcDmRJ4PSmuCa909f3oy2KpzkvXNDUcS9eFPj5
NMgnFETsGsl04zWF9nUh/iScTBmd8mRKPmsslpeGnu3+/fdr19+KO1vNAWR1dTSKji+jKkkudB30
kjtd9dW+7+cBemazUD/yIbceKid4SKuwt0sNti2B2STou5yEQdwVSQLrROTLga66MneJDVpmby5r
uZHRNAoqrc5Pi1UfB2WxS3bZwFKZxsZLg9TY2Ylm9vQ9twrnya7kXvDIJcn6tt1w9RS1Q2un0BRt
+wFgT/GkYA49QMSaX2STtNdeZfqPGSbKXWIaytlQiJqnCv7JVSSt5JkQPGwLEI+uOLKmgFmzHApN
R/U+1LzJbGG+Yi8GsTHoJBGY2rIbA8fvnIBA3OV1qcZ571mtvy8Kw/w6OiYOmUiVZQ01A0P/Jjay
lFCxTO+SS17UvJYPWn7n1GAWjdCiV0ig46BqF8RnnLf3UenP53QZ89BkC9ksnR6dSwcIGCiw0dsT
yiugYCfmE9w5Mos9fDFB7iSwKyaScjwS8PT2oautF7sr+uvS1p/ph83ARQfJAC3rFw2yCOyRMo6W
Dm+h4+xSb4lCoE5NiFAB5UdEKzZA2qBuaC3Vt62zgKnVTNTe84xcNLXEqY8rPxCGjLclWK7D4jrd
FoD5ckJWlxdBjtAuHAvb/DAJh0NiOaMgApXVBuNEf9OCFxFWBv5ybE5Rvqtw/m2NurMoZ0HWhv3Y
anvZmO25Z1h5w9A0v2IQY992dmxsh2RADai7rY6QBZJRFniaT4mAS6ffjIB3X4ZFS8+REPGnWWUZ
TRxIUzNf/dKsGnd8eWQfihqu75xhuQp1fuZtARBGLZRBZjzEdSkfpK832XYcRLLtk8GEYp5XyweE
ijrDGJlcBg4J2OGbGniSPe8N6QIkRvRZd4GKGx09OQStJhiKztoYEEe2ULKQBI0sFAID/ahvBseZ
r0Yib+4SEDjPPu/fxNBDX/DYlLXbbpwlVqcehRvnX2e1Ao1U4kG5+pMCXfZ4EBK3xj9XNSpU/4+9
M9uW08i26K/cH8CDgKB7Tcj29K109MJQZ4K+J4Cvv5Ojsq+tquuqeveLLNtKnUwSInbsvdZchaWe
gcaaDHML5PBWV2ZX05DlC3ytjRydWS4UabfpQwDe81GZSQWCtoQhabaAlBfrXHMWuK3h2z8jD2Lx
Hy21HgI9ZzY/ohgaZDhrR4M2zy9exYmxhkn5YLlMuqLeHeO395WlzYf412Au80tR84TCPxPmj6eo
gbj/NK+sUZ0u/cg1TJZVkgCQ2OJ3QCVYu9VxTliemXhZksdBW4/C2X4QIsA5QhzHOymmfL3RJvCr
ndJGUN0y9lpu+w75SFTX5GL1Iy6RzhfOj9C5v8ulf18ubU21v+6J3nyf06/1T+XS9rLfBkHmJu2Q
+FxJrCGPcOt8/i4HCZCDgFVkTP8Dyfh7U9T2eBG1TeDTzPqpXqKUYtqKhAS4jmlhV/9v6iXnpzae
ueVg0kQkSgHRCQTIn8qlNpMFVtAqu+6sMV0+y1rS0aikN8i9ifCbxc7WnPsXwn3rvjTOtaUap9t4
xdUJW615RCK4fOvQWjIVNxsnnBmmrlczGOfvHGq8iKG2263tqeIUnvfsMIVe5BOSttUf4XiMlgUo
v8CTwZO9JHQ79/T1MxXcmakxeA9TPU7C3jfu0DXLk/0eReJq/DFv+OqKdNlOxJs5UdVmVV5S39Ah
kGlO5FPpLIC2ktXJZ3XtTsyE/SdleWuts9AEEsOhqJQD3TuUuCXWB4xQYu8jbSjMD2nrDet4rJrJ
t4BOm2VlXkGFzcc9a8ZXZfTdwWub5d6xigr43aIzXkr6+/qJkC4vvfn7vPKfDSWYJfzlA1h3g/qf
8HNXF2n10zT2/aW/nVmcXyS0XeLW3W0KAfz094fQlzxO27jCFPR9kTQyFvjN1+f+QvUHdAkOi23x
Ml7123DW/oU/ChkVojnH3gAX+38xnKVb//OhRQAjQqKFuNGH0uD9ZIr3cuJYugLNDtJbMBwi2CxJ
a59gtbWmDoHJMDVmvYMppIDKWQvAeaoIqNjuyqofWtrFvk3VVeb72qmTFu1PLYhDb+BImjtT2f23
MnX8a4Rg8oxqlOwDpyDCRY4oiBaLtl7BJsVZSNC20XDKqWQKzgxIxvxrwJ2Manu/eWvMFbPslOGv
3NHL9K+ForeCnUrcUvgbBIJXievuxpop6NEqPNXt+9zYXvLuw84R5dxb7RC8UrrzgzXFAvC53p8f
iV4MXstUzI8dTvZznG+We7uZPdzRVpXXGPi62r8ANui/9T5YxaIqcRW/w1ax4GxgQQniE4w+1sB8
C3HYNYEEdmFZCfgIYYvnbR387G1e7bo2xpM9Kftl1f58X9kgBnrbhCLglr24TayNF4vOMn79AW+E
YAkXwAuyvj+iGeu/ZR2h6f8AEhIy+0bTEUP6bHf8MTlD0ilrx/m8JBv8fEx4AwwweLe64KeZNoDS
LFY000eb8C9K6plPLTfshZ/bEAkyk88OCB6K4qhN+9aVaQmV0VO3dm5k12i7xa7T6XyTxel0tmtc
+UBbec0PmJX7DiErITK6Efc1V/jHF1qYCdCChByIV2vcvmE60fM9X2nffwSKDyJSIz8VjM6ZSESY
R/L0wSgtPkJNOgWG7Unxq98XWOexlnPJNQC6ibDEzeHOom44IZHXyRYLUTrTqdladB8ofbFpF+VK
tc5I91cVbxhKc6qC16XQj8PaO4cFp5wMiziNXzlvZA84NjlwFHNrhI0oredKcgNuDkzu2pIbPZ/l
GB/wZ/I3rbHFr55C9cY74SZCZga69h316g0Td4PV9XyzgT3AtX3nuwJKATYA/m/DwyU9N59BjFcU
T2xtBF40wze0uuARcCtAk9QtD6EXzHzBNeRE/PtBsm1jWYM6vMqQxId5QNG4n7hFXY4GFe6mJuBs
8J7PZGQTZIZF27zvdB1hVJQ5WTI2RShgRc3AdReLERrCLPmRFQ4dNsXtPlmQOryN21dENrV9Lh2M
Qb7o+cuG1kyPoOnAVEoITcs0BftGiuatw6Xw+n4LpwZo0yUnPajeHnZkW81b7ILm1fbIJdFg5u/f
yTMlCTVXUiEdPGy8O+yJARdyc7TbYVP43DAjpoaronK3O2B7JDjDpUc3RSoYLjhIjkz67TN7Y/uD
1NI6DaZ3d3SBDug6JguNtKtd05PWsctaElkKCMBYmmo4KitDl2OhHD0x1ij5OCZ8hR+U3E3vyPNg
mtxgBhkNYZ9PXJ+4A0k8WQOfGrqEtWOeZ0NSBGGu6yK4Xlt3gxi9Y+PqRsA4LXCA+eHo9cq+x80K
Q8Ho+oX1FK5tZAKfOUE1MLHfwmt22tmIbK3QxBDMw+e1Z/Sbh5XgK7UPeCgYGHf0A3b4bOfH0qq1
elz6ublJMmBd6UKAlL3wLOdbHohf5cBVS4D12LUZ35zznHo+G/DLmMw0nwcyhLiCpZwfG270dGfh
YnzLzbg9BUxFjvGgIO6CDrgFlg931VdZtz714GrkaSaj4myvfOA53+KUjMDiiyosQzzH5ro2l6T2
sCbaVQm6FxUhOVcmaS2jtIAtTBqeTpFuiKMUoNqeUHLuKU6+3OBAWPhaux7osgn4D3JrJcQz5Egw
tg4+xIg5p40EDwsk1pt+gEe4YQ81LTEXx3ErbtMNbluWjAiYspD3sp+C7c7xRFEvF5l1/PUW3d5v
SU4aRKoc7m5MdM/kQASvHcaR7Eo2Y3caxSYIfr/npSV5kTnwmUML95PNt+liQ00ngDX0zvic5raN
TFq0w8OEZ33Gw9WzvnX94Ec0DLb7MVggURDuCvDX3rBtP5Y0iNZpGTUEeVmEpfjdeM78viWVgOFm
h0bZEPfS5ekqipxhwqi5vDbg2vcnrpx8+aoryB7h3DqdOryvrPAZgY9o5bevIrWr6lUnoE8/OO/I
5kJuq5SYIGZJNTifg43omI0ksQk1WjBsq2+VmoNz1zTbZoBli80ZgzlGMYwwt3p1WMiQMPIE+/Sg
SB1ReKLVnbWo5cTyY5c6Ik6MEmKX1MwrQVuvwVVZ9QPuMC+eIS8z6Sse1gx1qpnSLgsxQCWvbKUw
dgaaFRdZmTw1+Tiz1vJMdpFiiSFKS1uoh+22c7/VVflaJ6K7oNoaTb1bfD1Th9jdsyV9jMbbRtS7
VfGMALe5Yo/x71GYmjHP7mRjr6Wf0ApiRRwThHQ/Fkk4+Yl6Sb3WwUpYxZ/awQJ9VLdIiYjj6wYv
ND1cyqRZlaI09GkYlnOvxubKywKGMxv3uw6DYPhQIV5umA8eDLqX942cdlnpPcYo78wPi1s0xoY/
xhd/FqIuWVW3bCmSqaPVRtdGKl9Dj9G11ir0etotuK9lFja1VZ6EaBO1S2Xjh4bM7UNeWVOwgz10
MMdZX5xM5XmILHVBBl8xOzwsLunWp4DbsguTfkSoS7pZQGqIXO/8efAufRawzaUzAvPZaOhsaPEi
xYTpEG/RXbrm/sWzYu5eAQLbVX69T/ysoZfRzNDgcm+86uYJgS3EeeJXDGf+TI5D9rJ45Qv8lLa4
LtpePrQ5CX3GQP5cKFHZHfzJnsjl6YIvyqeR1GvsbCs32b51vDTy6RQdFux6yJfbKVrmodyXPjlh
oZSI0RHsZTd+p7LlhuvlfssGvzqspCuyj6cmWHj9EgQ4FHMs+Ucv1p+ITIMtnnlf8Istj8pZqkgU
SGnt3KOfPjjdQw/BgvKncvfOXM5fsxFqeuahYEHQfeOnan0AXeCEtTeWBzjI8hgHE0P6IJX7pO2f
22BE0tC5VEb7vmzrG/g3LFFApUJHq2afUDdcxrITF6vvDDgSdX/Og1Fe1zYGTi5aRT+wpTPj0o6d
29bfGwEnxowVCxFNmd/jkEBg4F+MNRd3bAILJd9UHUAgueeis5eHpLZDu7Krk8WJ8Ih0l5p1aSZM
d8F4Ap6Bdw2u31uPUidiIBbcrJnzMKalFUEnMB8JdPOv66UYXqzZMq6J4i7I2vI9XqepXb8MU8HM
Okb6dhnmqsVLNtQfs830hbub+ELubyt/trrYP3naNm5N0BAhO6+H31USCuksB0jg5VmDIv1s5OXH
2dh6lMIrNvR81x8Mj9tmB9vI3BHpPR7NOFeh4+fM+4s0iVa0JMc4UcN5qpxvDSCfvQUdIhSNWWyr
lTgvWWd/jskZaCMElfNHEN0gao2OSjA1q2ghqWk/IKt5jltWFFb+rtwjaKClmFoe8sDZPpYKpUFv
MV91dCH0NR4UdAONTcrbyEKCB6GNBsd8hNVfCOyORbdQi7f0Ch/TWKBBF1kpi5O39lPyjcU/OajM
aiOggU0U4zNu8G2SGAyJxI6PpO0aLExd6p58gAGvBjNIn20PECJ9X6GiDl12l6l2T9Oivkl7novU
HvRrgwr2vMLb2AXdkh9WAtBpjpr8a+alBxeh6ItOZp9bHCqWNC4papvJYiGFH/01COzkOmnLW/q3
/QdDBeNV2fk3bl5B9KYaeCpHi+a+7t1uB/czxprStkv6oXeb0TyXOU33i9GK1RpPrFoBPhZ7bDVS
dYPKKeHghh6TtF2qWcRGO0QZtf8WtwWLepxlullYvhdQB0yaupW5dAbPxQmtQhomSXaGqZlsOeZo
v/mqZNeFXA4AwE99G4Gpjp3yqjU7/juSBIBeplOCcJo6Cwi9M1KDqncea6V7ChEXJNMYpm1TLBdT
rPPjYpGwRy0KPL8FykJDifrsDyf+f6G4s38SNkt6YQ70YGCmPi11ulh/lm15k4lXuGvVqXETNkzG
yPVmG9eIbGcWabuvnhpV+PK81Oyi0UwfK79M0poeRzlBj1GTJq/NpE2+Q/hFOS8Gqup3vHIiV6qJ
NMEXUMSYfTFTcPSsAuLRIqOMObzlXgdVCq7N8O1HjYwQYn4c1+1QUi0NPMM4BY7DRGy+37aVz+mG
eqzWnl4yLNKGguyvL4f1T/NPwF8MPl0AW3Q0/okXrYTRpiSPGEdbOXwlVr0CC/PHrfKqZt4992Fw
vVj+ZDxV1spZbi4Vb2uBv/M0By5XK7GBuYTO+p7HK/ktF4tfZ68gS+L9tGpbDZ9PdxmHxlGTMXqq
Ew7kIaYUIj6SCbbrD/4/LDPOkm6+oILwqU++/fWH/WfnpHCAIzkeliF09ML7SQM5BUlq2AhmThUh
qCRWLvPYh8rNESd1hAHzkZuS/Ne5bz8jJ18e24EOw3tESFrP3WOJAvvfvKN/dTci/AeaJD2bafZP
78hwWmMd2e0ZWjKz3bmoTh8HGkmvPY0ZLgIQQq6cBVQW7pN9biZOBZWGDHcUuKTTsO+b7eTEceSv
39g/mXYFQ2DQpvSZLI9u00/qV/RwRdoMaXaK64C7t6yZCX9Y5Tr2H+WyAnKVZUDRXlcoY9ydzqlR
//oN/IvvCnqz4HFFXYnV8WfIrVauqFdrSE7OHCAnj6s+SaMxELF1K2gHJ5zJ4uaY2qlKroYmXiua
vn18m1SDePbNUdyil+Pw9dfv6l9cFgQLNvQvl/bfPyG2KnuMGYfJ5FQZW57lTJG83wLyAg4uQOuZ
6XJAGEtwh5ExJc3bX//097XpjwpXLgY/nmwlcH4oJn7uvleLl8OnwAHgLNCmT5loFyQ2feuXGV+I
WhyDw6b27efci42z2E6pPzKNJtk21p10F4ZCO+IQE3UatkZT09LLJ6uVoBBdbZEe72/471HQvxsF
0ZjlSf//R0H336uqX+CpVOmf+9A/XvhbH1oiaKfDi22e0Y7P7/6vD23+AgaWxC6OGMxhUM/83odG
Bs9/2pxARBQiYXf+YBIKfmH5o7ON5B5bD/3r/6YP/UNR/cf7ERI4qh5wMZZE141W/s97aVHaQM0b
czkx3smXaBR1ipAXHOKtRUB3sHVBiF8pS1RxBz24LUmlfdedpV8L87C2DIpCVZhGgIR3IMlSYZE2
dsy8ybYIvjbTEN/pbfRbLsKMZMopc7eWqG8x9fXArMQC/8ctLHJb7F4Ye28lJJ3GSMwRhaJsPYIT
rl/p33SXZRtEswWae89Y15fYMjhXSjrO++59ek17tX2i38lM23yfb4v3Uff71Dt/n4DX79Nw/Jl5
hF0vjkZVnVJvTb+joEm+6m2QPvOaj85SZ2OEkVReq/eZO3Id5u9sSXghx20sX28Depa04mrahvZp
Tf7spBnki22kH5sx0/16G/T728g/85JsCp1NCDBvkgBjEwcUZUkocNDEzIU38YBP/FWIJpNqnVm0
uRGwAItsggNrkx5YAVdebnIEUCzl/bBJFEgNLx/gu9X32SZgUO9aBsyt1YWRSBNmm9Qh1wr6FHvp
EHZ+eVN5JMnusU6hjwAtt2ZhxVGZgeRwPaKjIPZoeBKoFRH+dPAviQvPkoajB/KLqhvtV2IMrAOi
Sh8wJzk7JAHH8Q2rNHJt28zDEqbtjeNM/SNeTD/bu+CnL6QHmb/2hlvtZSkevel+80FFvZYAtxLz
XpKKUId9bdnbpjC+Cbq8LzSd5rupz5wwKNGbb7nIDpZjur5gLuxqLi5safF10GTVA/ZheYPi8UOq
pRtRs+YRCoIFcE4SP5FQ2u5dwylPGhOvWYshzDFIP4IqNO+gkHhRTBv2nLg1WjDb35dS61CNJjHn
RGJB9Zvq+JRB8jhgIc1/pcb8KuLAONREGcEIHQrxyE1O5hh2UczzotzRpLP34LJ1lLMjRm7lPNTc
bSEUyStUzGqLlnZB/fUfVwY0uxVC0EHBg9s5i8+77JUTJiMSdzGKFAuCMj6yiSXnBjjLo1M0zc1C
ZXzx6FphFVbLvhPzFBayY1Ywtdw33LaEybiLdSQrj4An4huJX5HxRiEZnT1iAYp0PTi7KUnhPR1d
WS6JeIFEPqcH7BYaKoojVumSUa1VovxH7c6F24SLEfjjk2Xljn5y+g2EsHPoN4hXIbkX9uDa0yu3
M70HulGx+jDLtRxgqhJ9c6iCmsqooIfMz5/SW8wp1ofAhmy3KzLRTWEX20yOpKgN5yMC6io7623s
vCvqFazVTDNTVseOY+b0NKXApBHXpaPToBI2Mvs2t80pe8vzoVuraMXghqNQOeSnL40brNHUWzMr
25gmyVtJKDFxPEqArgEmRRKJrWtkLjMCFloTIp35+L5etoyyrPL9fVvaQ56clsGXb+Qe6+GrlxNp
5r5xjYIR1Ow41Jd0qGxaPlWcDzb/cOP8nJm1Y1TIsschfq7y0QUf0JIFAFq3s2IeLPgDf+/U/+HM
eKss//+dGsoyM+Poc14Pf96piXvlhf/YqQNmvxwrt+MkWamQ2dlzf5dtYO2V7paKifnqz142BB3Q
PZBUgKjZdKiUm/+YGEvnF3I9GO3yMspfir3/ZqeWHj//D96ozXe10Xeo5S3UG1L87P5Cmd30xIdb
1yuPXrIe0z5ZBsw8lrkrl/7GGIBlNyXG093kw/HcMc5e35hzuVhdUnHqoRVfY0Yd90trlIdkaWuM
DWt/UyfVSXX2eCGe14sAzbpX9VgZT6DAcUNVCW6K1Kc/I0v3aaI7+JL5wQCmvMbEIZq23pV91oZu
j/GWv08cLIan4Num2D5mLc563vfM45ic8lTduHbZXVDPoWhq4we9tndzX0fbuWony0ac2h6Jog/U
A1K6exESef+YB5FK2m8jI9VozJo+LKcuCzu7Wm4gTpIICTqV3igiDVRfBIoae5og4sC8aD06G6mv
SqwjFt7qQ7BM2b5vNq1hIffwJu+6fJF7TmjANa2BqaVXMjRwSLCyS5efXwq8Iksr6d75wWnpx/TR
S4CQlkKsjDstBKz1wii0aSYS77O7bglMKqF83WPxR/pGyupOmo29JxzMZhJrOKBhxxlobtFf6Jve
KEGXhg7SY2CWRO7G3jEoSTCXm7kGbOBuwT+FcjIxIys2aVFkiPLV8uoME1q3YfsQkMGiYbTjiDTu
JOwcw8VLMH4pe5xj84x1C4bqVYPoLbSteV+v3oEs0ebgrG0VAW8ydikH7l3ruKcgDi4DTpvQzynI
0jU2XhebUQDNX2ffMwrd2eM8HyyZBFh4yuVscZB69pCGnnvhT5HnAZzEjuCAszXo8M2mBOMK8c/x
k+M8ujAnmfrsA5F9auZGXrWGf6b9D1Xcsdto7Du9s2k/KnskJK6lwVgAg8iz9rnu3Vd/Xq8zS3u7
ZHLlwahoQAtzVUevKT+vJIVk7SCPWR13zKg1dED8GpfWCr5L5qvRMAVOxD2xuSV2ruaW8LvkISCM
6jAmqAZpUxbwGwcGE2INZV+YUPicc0vt+2mRq8C80V/NRv5lXeS8n5Xf7LMUhZRTMd5c1wonUsG9
AMKljbykAdi+yhG8zDKHzBnbKBfdR6MfcPV51J0uCBIKnqU94o6R+xoW88FFpH2I7eylw6F6U5kk
6tn+lyToTfJCvDZ0Gtd4BiBf9rR7lYy8Ik0fyyn3Q/LdTAYEYI+bNOieYdD4EbVG/rhieYz6fr1B
iFwc/IxsOOTJ7mGlRRk5CPr31Qx+brAM8z5FsIX5Py/3NIJUODoQCtVg4xryMvcsaDiHaeJP1KIJ
SNTJuqKJOEYGW/QLFECuoh/bkcUgInSTQEcO/OOd6dQ0N5zMfFliCQfYEC5PbrseBtV4YTCuaBrW
vHrKDXsB7TeaF8HgwgGR6CqUBkau9m7jk1A6lG44FhjZ7QX+H291vPZwR/IHjWsitcGd5uThyfxL
iisFJg5926mFKzLS8Yq8levZoDk4eWCCye00f51jRdSRrp3LBibaZe7wZMI241juXnxSNneycx7d
OGv3aDHqvQJHvFvJhoqknDmctMHXcSgeU8QnzPHvC8CaKE5TcVxS43sp1+VQdGTsDd51qvnzvVcd
tbtsk4SqOngEzoS495poiemQKdJBdkKmn9s60bvEZ96LH+3kbdlIRY6oTfvjEArTX/YWAvCog8sZ
monb3SyWdxhL63PQbgUL8Dkorr3zFFsqCUsv2I8LCFceNUIq2u9TzzCNs1V863QZrq1CiEvsFxxN
CmvaQ3zsCanN4Q4EpX9StnlXF9Yn1+2vs0Rm596ZX31NcqOXklhOHKh7Hol1eg6C6QMxyDpqGu+7
qyicpxgvp06KZ0uMV54cutvGty5pjV3UqesCBQaZa2Z3X6gYoq6t/BC24a9dN5oYRQH2OetYH6UE
ERRDntm3eiiu0Yx0Rzl3Pv7bODhRlUENVZ+gLgfPiwSZW1TianVxHE3W0h4Gv2Aa4/MTq3V9Zqyb
3ve5e50JNqHZiGeExZi24MwWh250CKssnadNtxK5Q5teLW1/TjpYMtNkG7uEEfQOT5cZwcpw34p8
/qjjcTx5i/etHi2EMEmhDqM16ONczcYBgQdjkHIKiM6c7s3Eg+Ik5fbG9U3T9nE4OJzLyvixztYa
zEZ6mNsUmwb+1rNQxoeR8wzM6fmbnTYY6IpxPPvkVrHWpB2wotg9sf6mF8Ws+pgYrHLaR4EzcrAj
/NSyj+lqO4eEwdDBKho7nGUjjomXfdBT6uAg9Z+Xob/q8xaVmJH8ahuNdymqIt6GQutONq44kAcD
KlSW5sVvEL7Ukp18ZVU9dAxHIu0vwJS+FLSMhxeyFmPcqYzGCC05zZqkjCacB+hc+nWgN+vxKOJf
zYi24e4r/TuSiAJomJ5Ck8BDhpfa6e1Ta9VQKkOvwTvxYo+0sHCELkvXQ9Bx+prVO8fL2ugUOJYV
O4+2RIXfvdUTgPzq0tlT7wVhVvvISLGVFKmhIPY13dp1f0syfyAd/l0jTAKQ+avy+i4vPtNc+XNp
/eNFv5XW8hekk8IjO/NHN4uq+/fSehNLu65HS+Jd2sz/+k2MuSmit6b6llyPfPL/hJiwI4gepHin
DQYs4r8pq9GH/KmsdgRxaF5gkXvAO0AU+HNwacceWs2uaC9yMCBAyYL9aRrwwg/+g6MqVZ+dAADM
jkTeFaVyR2jJC1KODAWza9Hfn40OSzYdsiCNjwahAt3zuLTFFRbiNLsfAId+wpTgvTmrW10U687V
oDOL9hK9d2RdaXnBgIwjMg8m6pSsus6a1kB9qZr6Bi1FQwbKwmOscSUlq7KaQ4meJ3ib0sX2T76p
mHsM7eJ+nPSM8GKxHI8JdqooljCZ7G0XglYYgChLP0+DoT6OiE5LOOM1MJmmpwC8ZtSqhuRgFKVJ
RApZnGpGncAwUN9CjqavecCauja3WBz4uGruOw+PxEKuyWnoUYHM+7JuTaAJFZJzn8fdigk6jPIR
Xcitb5EKoalluZ7waJdyZGgZO4FJKT+R7B0Ken3mV62LHrxsrsjFg2iLn5/5bcXCQ09p7FZjwfvF
1H1X+ZZBTDpgZrRiyl8BgUdQ1uQa5u6UMPnFjmIpaGYY/mkdfEMesPQOcDswzg5OMcgGO8+SU3K0
8jnubjGrGWdT46gnlCrewQAmuwFkwi7rVXVWhjEdE2BA1CjuiHakNwkLh3D2IArtHNygWT57TQZr
AHFkuOSLwqWFGgWqYX7d4UU81r0szwjyxmNeTYDM26p2d8VUbAv7HJIOATGgrOoIWWhy51hBFU6q
mCMXAlgkB8emOEnqU7+SntCVuvwQVwZA5Zw07d1qTM1dkbkveV0mDzbyiHutJu+BA8H0BnloBmIP
XqFr1PzA/VCjYarTVwrg+L6w6uVDrhqD9K1xnGAx0pHQIvVugyCPX1Uz26dZucadwXSECqYjimHy
Ovs6duPiaCANXSkxOTq9oq+CgRwX7kvriuoJnV1OazdWCUKQrLXnEEGRN4c186ZzRWnr7oKhL/cj
NdNZwxQ/6iJPXmkE2VfB6tHwEY2jn5kocZj0mw4c3ggY71dBZw/KmrfSZEHnVBEKVRPLjsmCXJHV
O3faec4w9/fZKO2dtGfvemsjwptO14Lkj26c7lDlWldinuuTlOgMhmzhuwYX1T2owq3oMc/kScde
80Vb6oNoaUoNhe9f+KbLPb45GS5949+s6I0fYrdXl4qa5DnB+PZxRF9WbuYh62tWd+aVsVboXdrW
9i66mIODzJrvEEHik3CwH6mZ+U0ee9lTkPvjR9IPig9LvqYfbD2kTui0fv6hxYUR6ZwnzDWG7sgc
1NoHnh4OaeNe6TqjkPape5FiLHdVUDkXPffY66sFjSp29cC4EzjxdquDrWJHzyO9r0j7AnDQzB3B
9LnNXcyMWjn+XOzSwegjaRDzXeuxCXVMb5jrMuw8/OxhYpgciHt9qc2giuzFsV4l8VF3g9G9pGv3
lDWG92126tyi3NzIigjfPLQG9JafQWXJqxJd5zUt2mbnZn0ceWlyDmTv3Sy6a3k0xv5pJW8iQpNZ
f3VHWH2NXut7Sr31S8uUtN0J4FVwR3RzlVCOvpBx7oRui2uKo3S7wAAIkhvaOePb4ACerJGXoSU3
QxQ8nOWyubuMaZN8pmZMvxca40g/tdfWGOu94+o5UtNof2TgkJ5sw0MZMmu9XL9H2src1f1u4HzE
EycVqCrUooeuFgYaEIjzD3nWE5XVDAKtwCafm/oUhS+iZnSVqtTkCFvwFR9rvU3U80TbT4xD/C+5
LtEVjOkmb3xPeAbrsTxKI0YZhOrm84ju/SpwsRBSlG/q/HHTNyeiipGW+wp4gobu7m0iSqLn+lsP
6dGyS0YbKaCNWAYFEvCN0kct1EAwvt5GKLdEJOHMJOYjHMz5a8ue9yg4lYA2i/uQvxRBSIYlHwVT
cES+M18bw2Y39RtohHXn/Fob8lvatNa1gAIxhEsLSbEIKNEZevOQG/mN5lh8E9h5fq3MmkiPbP2q
TIhIrVnUSOTnl9rsnmAq0l4QnQI4z6gy5Sx7SIVwjiYRBw+t6Oq94VrK5gyu+1NiqNsin5IDJ4KY
s08nsOk4HPMRrxx43r9mHL0fWwsimSIA/DnxMCEK1TUXnXGU7brYKW6cGsKK01fTTU1E/cnQ88KQ
vnSHo0QV+MCdW0aVGej7FE3Ht3bmZLuzCNqj7JH+a+LG8sI7BI2iG9wODs0hTmZOeV/GhnMorKU+
CxClodmT8LH0ZnptdIlH7lBVH4dxHiNJ4M6bBRc+Kvwa/rmXfxp68SVrmxyTobVeT7pM4Gr2Wt1L
v+Xc0tcA2UtF+9qe+18FjNj9KJbxKTNdZ/+uU60TPz8wgvMjGLzxEwV0f+ua3nDUAZ2UpU+7OzAo
tiAtJujAlFh0tYxOGWeNjDCVKL4q/aUzZfGpZSB1wGybfyt9T+zJIuB79f1Pyi++d0QUnG2D7d70
cvAjDr8DaR7sFtKhTyCozLOZFcQ2psI6oNAW1yuBaF+DzHdYO5VxxE5tYICNi4dsKMjBIPLpABWw
PY8UJPsRktLJJkXj4M1UXgYH8mNuqekqJWWQ52imAzQIw4hMlGohFMBpb3t99XUgOjfkvT9DsxHh
uCj3pCe7DVPnZpUE3VWyzJFNBtahFs7X1mwextGndKA7E8qMqMbONHaLbXwUcJB3SnEMS/OVCqMw
3X1u1rde0z14hM0GfXtcaddxRsx1ZKrq0QeFcUFLlRzgKvo7bLOEQqcVqnQQrv1aJAcmfzd2aRiP
QT/rY+GOwYlIGoR1dvmAqfYeIZo6YOxOd2uNe8YtFugCo4ggMBfHHqJtNKxAb2VSc2xUI2iPyV5Z
hD37zhhQgrK2e8+E86WnNYOeEjjiO5R9bNukIe5SNII77BsOG1mu2A/s8UHT6P6algv6NoPbr+6N
kwsW8sE1Jp/NmOSiyRkFaKVmPM9lFwD3Sjj5pqt/KYfloUidTzL2Xv4eVfxHowr5v+ydyXLcSLql
X+VarxsyAI7xmvUGiIkRjOAgkqK0gVGUiNkxAw48fX+gpO5MVVblrX3VpsqykgoxIuD+D+d8x3bo
P/75quKm/U798idv6Y8f+dlJsaH/gMTLR/cEPI9lAOuGX52UabHAEKT+wiH32EewP/jZSVkOcgJG
zQD3/h+m49eSwvjgk3iO4dRDDMMSw/93uin2VX/uptg8CFLobRN5jcBEZ/5mLs27YcmnwU9vs9xH
uBgy2Gd61sa5c+NHtWXdWU5DpiTALAIVosjHaEfBnTqExJHZqi5MiDnD3bwBSEwsWC/uOYlWeqXN
MC/XQwc/Ar4kmR/iRerTbV80+rdSr3FJBxwOqRe2RuJxgiNkYJ9XMWzwxn3lW7j3kyY7lpk03kRM
WxfweHtfNRP5nwLXe3RzqwmqKkYe18NAs1nd7+OlWjbCL/QbXBfVGDKcGAYanJYThqwUmBWLsLRH
V9e+epBON+VKXIPB4F6chJChFFsrhg0rvXJ5yL5MyJ23bAPYCbTSSe5b18uTTVep+RYOW+RvanMq
262o+Y0Db1h6b9sBeSavNIG8So8Yj+9hHJPzNcUP+9gx7swutomHBXuee5NyoqPOJ1QohVyEjLp3
kyQJIl/5Y9DpmGQ+unbfyw2fxPwczRwHGjUbKU8qij+yfYr8gLE0PdfMX/8qdaLktEwKjW+ackU7
ltKvYinGrY+tF5QAMlxj5yKwRWWfivoTcbGI3+Mmo6Jwx/KodRIHo2YTf8rQa/FIbJjcgbmWxVeC
HDNY765K4CVmdte1kLrc+XNP7wxSrOWbFZr5WKoNKZxqk+qD2HY6JVGpZcmb2zI3T+I0P3SpNeym
WDgbe0UiDFXi3jWLhfFBJnm8MeeeOs1h5zRXzBf1sjHuNNufiGwpnWNkEUgYtK3tfJtqH6EoD82F
KcHCdmquyoTp1ux7xq6RWn2NVgEhvC4H3a2PEJYmr+b4xSTJwAw9MnO9MYGKbeUNI4NFpoYV6AJH
BDtgj5k1XobOukYOwjomwMPheWBaDUtYm5JpmLgbupjPajFG92NZS7bTrqb8+qloRxdWX9WtwF6K
wqDVmcWEbHZWZgKRLlDZWXr419DZkm9l484IPwo3d7nF51K7HiGDd3h9FCWg5qXXoySk0Ink9GKW
iUNh200sBGvJNkfFM9oD5s+SqLzC0ZPDzHi4wtRgFUbQk+5khIRQaP2BcB13J+M0Jfl1pshOmhHA
RAUZnCc78tDzi3pO+w2kXMBpdYTk8XohKKBh7W1BXGMpLjb1WDL306XWLkFGzxLfOhIXT9hyibln
tZSMHzpb3xOTMbD/EzELdMPSwJS45OYVmpsSMVYVI0zaqKDLMXQHkWPhTc8mCP99z9Qe9pze3S+q
z5Y7nAOv2uJLninNqaAP29lsX/oK+dOub5Ky38XDXD2raMWweUj/HxaqM6bRUd3KPf8Qlx7m+L4/
cBLN4LB8VV2ZNlPjMAWH4uwLPTEnwIeRwKBZt2+TZj3ag+Ndi9Tulo9jbo71YUIvAaAjmtXGqzXj
JDqyX5YoM+8sJKF0qpafldss5jSzB10G+dxk+0UJ75hp3pxvvElT6loZU3VykTkTIl23cMC9qNsW
RhxRivNZVbuY7mtjLpa40+ClA3YckmLj+Jl5gjvhb4WXIXfU0tW3ZyWEBcOxTzcYnUw+59yKs69t
42YvcFy0R9EW42dq27HdtoheeNYsNcIOWQRWN7rTKzawODkR73dbhz6iPfEvWGj0tdXRhJCtnjHW
eMgpjxa2Fbz1M/iampXVXFhM6ukAQpMVFrG6ThuLQI6sUrWmZfESkVAA8KyyS8yblawHL/AIFngw
5lg84Sz9hF7SgYPaKbYlvtTNg+NN7p1jo2CLe4whvZmAovTxImGzxGMECjCKQyhv6l5GnXUpShMF
BxOK0jhPbVWd0fg72d5rKvHc9Oo5VgrXT++kiMiNlKFLOI563wXDmKnhDETauCyz0d0Tl5rRV3N/
xXeocaKWpZJVzMt8KAXBcvio6O7i6IhDZ/Iulpcbu//UU/+jesqFr/Gv6qn7pPr2/b+uuuJFfvtT
VfXjB3+JNI0PINphAghEl+YPfcfPqso1Pnhwz9iUuegx/5jfAsfdhPmOFmFlCfxxQg36DOm1vjIC
ViLav4EJwPrx53oKIC74ZN1iBYwABC3Jb+Lypo2HtvTJ79KobnhmkoqxEb0W7jAfY41pP0/lOJ5J
ZcEbNNTPRWyvA03CDKuB8KpySfJNzRCSLqOU7Cr1J5juMZOBoiFom6/jhrBbcdXiEAotArp2CPwn
LN/upYY+E5jKII58al98UZ6did5GmzCq1tGmR22PP5I062LkwWTE/TboQ3ph9wit0K0RiMiKJbDm
LfhTTJIl9OVU+fqtY3SsbtvpZX0OQXqz2bKAsbd9+taR47opOem3eLAurlB7UtVrHNvyzc8J3zPG
+0jZCTrIYYez9TzMy62VzSc2bUx+Mw13ZPqCgLTaVATK2fRqxWi8Vq7z3Mzdjqay4HZJxCdgWIe0
9RC96/g8qm4Nu9HISO3Fcz4WLy6ul50eT/d6m5/Xd6BHALkBZfiW1asvGaHHThQEY+K+xCW3rvnG
aXyIxXS/rhJCjxX+VVv4r9z2/t5IrAOO0FMOYfNqKRD8a1PHG6ProWWnR3P1gapcPTgMgabaek5E
foxV8dI2Gbwi++ImgrLHsbqtxS80Welb1c+3Fhfgbhb9rvFrHGTWyhQb4OL2CQMEk9meWfFGmQnp
euzdSNA09WSb5n4fDtpYobZHihdr63uZlC9MF8iOXNkpPXKWcH2t2uJfIJbvdur0296c9kOynAwP
uYM26qfarbRwzJM3AY9laxvpOc/VCcGwffAqytss5TesrPmJ6B06+d4p2O8KbZN3vNCYehk6YWu5
bsnyZDT81FpNxDBSPZS6vVGznEKZtEBPq/RFYtXZFqYiQWU5jSS/o91rU5D17nOq9K9eI258ALmh
Q+L6bPaHxcZLTErBw0IYJ8gGtDGtOMRsI6l1PUQePWzRgeBp7OjJdiLzhPQYQxyhTPhbtfSM6M2S
SNdOf5Kx8eozlA1K1bL+iYsjs6+Hph0eLFW8lVSDoe5UPV4B9SAiUuvylIhOKiZs7o6WhIaRMkFb
33dDOkzWreeqkdkOYxMMOstlCsDP8XuyUmEtPgnnGR/lTHfO1xF14KVm8PiFbB8/hKY8bxj0jHcC
bMOmUHHEBI4x6Oz344GabyRy0x6vOmJ9rtSoQR1N5mLL2rS8oXSdiY8EuE//04WmVojX3ui+zGPr
XBsevhm+NVWKxKllI5BtfJBxG5K0p5fIraCxsk8pnH1mNfIpl9FTqdiEbBYgcGkAKSJUSXSxZP6F
SfQY5qpAHIPScRHppu7ndsskMTE2reMwEEzx1h+9qocZ6DaXQktuJbHhW+qkp0pjRtexjidKxn5R
cm5fpTQHnsos2RZE23ouqMF68Z1dyZCDsr6KblHogImVfP2XzHytjKrGRlFSuo+0ico0dsKlouJv
gQiWVCsyJpCgKyzLN5buDntl8qWbc/fZ1ZzLYDbTVTS2b9rUniwn/7to9X84xX0T+T9q/feN5e+G
NVLlrIHoA1YPNLGoqJp+Lckvqd1Q/BnO3zhcfkfLeEBqfC40AdvJIs7utx4c/e8gnRlaU8yjvgHe
SwKtwHbLIPFvXul3Lw2vhDmBwSBeLAYS77fX68t9KuPu//wv439PrqtEBtTtYPb5i78SodfjODMm
xGYdveQV/0v/Ueu8qv+Ov5OMiqOskv8lh/K2AsPJH/NnGST8+fU1AX0y6oD4yX/zXv/hNWMh/cQj
iwdJrp0gERgfKsWDrQnrMGkERa6/L8CSU9txuv2hdviLlxa/W73eX9t3kHniwTAwV/35tbHATUs2
e/LQla3YZAzZb+cI+iPHxYkaMD/ovnqdOjXu8mkcj9nY8dz6SJXahIBiurdYLqchxgCGUuPg+6UW
ElS1Nb3pNEGVQ/iIPoS1T9BU2Vk6LTyE8V6V8ZNuJ5jqlHUZmA0QXVv5e5uE1M8xk9jQ8jge/vVv
+hdfIQGZ1UQMa+i2+fsYxyxSv6xMC2Go2e2sSr/V/eUWmmjzN+8o1KQ/ilp/fJpoWdfSCj0q8KU/
v6P+ZDA48dbvqg+dqAPVMzOW3er4UgJJx7LBNnnuY6O8K8b51u318g7RTYq7PX5rRs7ltVQB/JeD
YVGnWOvg6EzDg+Y7F9GO+8TjuLfrtGQukTi4vUyqetuc92Vs1ti+5vQ06G13L3P1pFqufeJMrSN6
1xJ5Tg8nRaZvUYqEUeYFn6Lyqr3SsreoWp68eNgtPSJzVYsDvq0DZIY0jMvlnWJ0QrxVhOaw3Lpz
I2AS8WfDvP7S2sgNXYMa619/YL/N3d6fClx2ZDPowHiZvP35fVwY7jYW2JTDMkGnoJxQnGxsruHI
TuLwr1+LCvsPQuQfn5mtc08hqnF9e9VQ//EJbM05xUU+S/zu4z0k+WMJ0vRvXuIvThaYHqaF+sPA
nvK7LQkQPjHYug5xzh9rULEKfmi0kP5pvqJymvd9C9PVtA6+Zl6myE+2UBuPrKs/kfz91UP0EJio
hJFFZeJAfhaXrM/pVM/lGa/P2+JMYutGzI/I5mX8gECLLdvSXReps0Xj/OjhrWEl48VXhLTDAQeF
EhiGIKgAYerObM0kEH5j7gkNQvxnpm82u9egSfPzqHLSIxhWQFelQDVwL9ikSkhsGCHN430lTSKA
xfKD2PhPT0XrL55YPgvMvzrnsGXZ5p8/FGnWoN7nUh6MgkZhTMo0TMkaDEwoAGcj4R1IKbcQCXuX
0sbNEXWtzripvGE48uQxlmLxJhmlRctEx2tUuKP05ymrxcYjqjjIR+cSgWEJh8i+JJjCWNhyEtVY
rzduNj/p5vS6dHqQuulH/NZUVQ2/cKupfZ7oTzOFWFBHSb0XxbQHRH8f284QZCgC0J1x8HXOSLaE
RrpTGRX+3rSXJ79uxx8Srn/6Jv3FQ8Kdsf4H6xzd22/v0RQ3qOOnUR4mbPuUOJjFJ/46FuauqI7/
5hMhFOUfn5M1wYZjDbSZ9w/PZGOJGQfQIA8tSN2t4SB096LsGHFT+QafD1xCxsgzDRKpg32QZVSA
cQEkgAJwqCInqCRxICmaWSauRCOl61Jezt7XLjeuWd/cFD5y4MSn2leyEhtRd69lttyrAr+du17G
fM1ikb9E01qlguDNFmLBB+IQVGWGlKtboKnerucjfW8vmZuKDQocM/Tb/Mhwh5+op3FXR0MfFEuf
XCkwVe9NUCQVekAQ10c5TA9pTyPpYfoDv0+rZy/TQ9vHICYsHwzX+GDmxi3Eo6MQVGsG8zw88TMS
EiTEJf8kGtcvZD2Q+Gi13XZ9jDplkxw1PTgMcoLCzjWep1oLi4ZqCW7uWbHC3rCo67YtlqEms3nE
+qi59m312vZkb4FhYBCanlOy+UJfUYpbhfWcJSNALMsBOGwfIOUdiaI4LgShsaLgAe774khTvC8j
bpY0Hvli8nQ4U38uDPtLQkTiMTdsFv3jRpjtHK6NESqWdD8RoXAil/UCAffZRGz/N/ex8xePN7WO
jTBqTQ4W+m/3JKLbrAFrUx46d35FP37f6dx7I21WZPNYr/XXe6tdrczk3qfSe3/mZdLv5qmbApJf
XyVepg3xFtnWx1Lhja1wiUOP4TOZntz6apgPhdFpNGg58u3YSrdkF8SvoPH8MyiTZLPE3IusDLEk
U8eFi4tJVOOMyfr5aRSUW3or6hC5yRCqmGTQwqOyjmkMiahMBGrwLKbMdrPhoYe8FuC4uG/xkqAF
L87jMNxbNnSxqnDUNm3JvGmm5VQmE+g8ELqloS3MwedXp1vqXQu0w6U7wFPiXEYuEZrM4UGQ2bpW
87376379jw36b9SfONQNaol/vrH8WA3/BMj580d/zdi8DzZ/FHM3Rzd+CDp/jtg88YGdIQXF/5d6
/lKA2h/wVOF2gpTpWCgX+db/3FsKxm/cdTaPBGpQc40X+DfmbAQP/HZWA+LUbZ0NKGEa9Pu/dzID
5HnZZmlFtJZrTFufzCWmEDL19wkY2Z0jOchD4l29Oz8VMAnMVKYXjJHVZiSK2Nvgn4KYFqXiE9qw
+Rbiufw4dk70hXBCkIuLQJjggvM61O3q0fd5j07p2p4RK8A2YlIsqTYIUIkSSdCrimvqfCDqGCJ5
jCxbEIXaFM228dN4Cdp5psrLGZ0r7I6ZfOtKNE7gKmdrl2uddZMYmbrNiW0PtYp5wFZvNHFk6yDL
ALWtJENRJGZyNaoOpXs1O2eTeKGa44zlxVAKgcnYE1ecmrrcqqIZP+sMsv1NU0b9d17FGIPWksjo
o0EyzPPqBui2i5bhB21RRbQuCDL7iuxBnNKHVKdw3YJgKt9SPvCDHUGBc6QN3s9Y0ujb4ticwDkQ
qE/1AgsoJJWw+2QhO/skJz2/93Mdr4VKk5tpiORD3XnVTd+143xSjYptJDZMWQKyZL3VV10YEZui
Bm/pktTencr5ezVcHpxTRhSVAVs5bABWpty7JV3qL0bsebdRQSUTcJbrxibCiceStJiqneuVxDWg
MFR1Wd/kRuPf2uTloa4lC/zQ8f7txqrxr7G2ohVJkhVmhPBEJWMJG8WW1UdIYt6dRh9Bl5JwE82e
TUobdxJ3DPC+Kod/iBLxqBWQENXgVjd520BqWbDlbh03M1ib4KyA7TNY3M2m3R2Inuz5nQ2xEzJt
vpKa2HxuIbB+wsbPes1n9OWEdmx33wytJIO3TyD442n17xRLQsT1lv+ROyq+U/BjYw5+9J2hTRYR
A7wOYAlrEnBViTa9eGDJwrwz/Ou6Fm68G2adnZrKZHqI3KZfrghHoJlKo0G7NkEvTeFkuiV4PrhI
kLDwxvdXiY1hOIinergnDNVGHiYUrDZPM0RgMBl6lEAAzskPKhG7YeRX3g9ekfMOL4pJSsIjp/3k
Gr1DjuZ34FGzso+0dwwSkUUgkfJ3PBL8jZWVhJHT28XtO0MpYpLVH/t3uFLxDloy6w7EEjJzG53x
ymJyo1j7iCaREVkend2yRIe0spsSIE7RSnMqqCj81+wH5cn8wXyKS92VG3dlQdlCR0e0gIvSV1JU
tDKj9JUe1Qu9uGqWeHpKkdRtND+pzrAxG3yI/X22Eqiw41EHu5lpeEHOd+gJ23yM12MlV8mVYVW1
+BkgD4iyDnUPylW68q6clXxFjdYBwZL8HQ6zngLHGgdz2My9UifN07OramCmOvvyvlq86x4F5lWG
WgxlX6WOU5oNW5eMTUbLLJ+bioG7Zmnf8AZuG5w9YRMte+VhIppT0wiYrLsXJL4fQbiSwxZPe2I5
7CejXQM0BoQRyzxUN5On3xtCmKwEaIW1jrohtnDcjQX6RQ9i0w4OTIi1X550WXffs9m96IsZfSYX
aMJH0hQfpUNxm41Vh6aa4Gmr6MZbY4jErlmJTFOK181ylkvaePO+sEAbJElX7GYD7TEREV1oMA8I
07atarBoy+cqQpAKnu9mqdtzP+VRWCMzC4kAa/dNhA4lczT9jFpwunE6lNWsj7/6nLZ7lvjeNo3m
aIfDGFRCZHdhZRCAuFQUM8U4ascMgvFpLuAADm78pUrNbhMbdD65C/zO9IeKwqRqPxGjNh30Mu4f
mff0fDEmbR+36m1onWI/Q9jb9i3crNEwoy8it8mWxaRmXTmZVWbw4Uz9anDoFnClWvZJAhne+T4C
c4JegWrWQ24dvYh5g9I0926oEx8rEFdTVnYpIjwLCdvoLO5l7hritOHHpNnWa9IekVoTPfmNzSNr
lxEezyEhcs9rvsoqr+hNCMh9rmHH7YyBZjpKTW9XwgDdV8tYf65Jqf2EvFDb9iNE6mqSywV9foWJ
amrZfJbeneD/OGNa1m5opZ9cQFR6aPhAG+NucS744A0VII/MjaOtsvjaz0vPZ0ZmN1Aq08ENc5Oq
MWhYwG6sCcWpTSxaOGLjuAhEswFLZYVWAbnE3kV3sHdrNz8ivyyAuiGpbHBjPPW13iGb72SzSQc0
xLpoV29fdcewX7+IjABej5Q5Zyj4GlhkviizC9W6tDFxPQZjZ2ns693su2CL9h22IHM4AKNQVfto
srkHHZjAjElEmM0NWeosnx8rUr7vE+Td34g2j7e133jXTWR+0fzhLWV4+gwQhlixmQTfzrIfpWVr
kAw7gixEPiLNht+2zE30GLfWngHrl8gZXj2zsfdLZfXwj7GCoCx5nsfZ3/QFtkDXbV+akuy2UehX
RN3k29Yw6+9x5I5gi7Vqg0E9O4wmK7nQxMPKgiIybgvoc1sEIPmdNJyLjHt5zYhv2Ja9iQrURG2E
mS9pp3rbGeVyWd3mGMy7b0OWPLCGoJSivmAaQ9CHGOHxQd/dsF1E8+uvh2tuN2sx03hhT1cXKG65
bSKj9MXM8wfNdNifTY3+JTFdYGKp535vjfZ+GI03IhXx56YgCTX3s4R+ivQU/q/Kdffoz9FyXesD
Ng5BMmFMLwCG4TjJPOLsrOst1H9kEvEoDpmayysx1oTYI9PMHOMxneb8uuA7jxgUs5vRdowasj4J
SYHct2NRH6tefbSWpNsZSyLZbK6xktnyraf+DHsxVB8Z249hitQTf3YpZuYpckRIThDKLLtypwZi
EFvNe41i8xmGaPRZb2xxgyIMHp5no3Du+V7Zr6VZGsjDBhZtSVqfaslObmjM7245kahjfGPq2SQ4
ZIo6NGQ3Hbya6JfOqq1t2iC1GT0n2VOxuPeGNsebpJiyHWINdWNKN7pto+rY8qFXRQtwV78kc2eF
kOf4irLBQ0ekMJIamXERdfao8tphq5oMezx2NpQbU1b3QzIQ+kQr6I6QOrGgYGJXKMmbztkQkfPU
Axhei83GkDeV28ehNfl0edUbaiMcfSXeHE2/iabuZingfiQ9sh78o1ldfmEviqWwUw9TN9zWRo+R
QJ6p1rAKOwuTtj5S4TwPOTUgdnYST5H2eEUybmx0NKyqXMu+lpnnXTtlIwG/tYE5uwRYMOZabs1W
5v+JQvkf2f7W7o126+8av3+kavz8wV/WP/SqFgoJm62NbeMW48/8JVjVrQ9MkT0Br8Zyf0Q0/BKs
gs6wAI97QvisBVbZxc++DzKW5a34K0dAgVw7yX+n7zPFb/oKfW20WF6hq4XDRa+5shX/sE3ydays
UdRoJ8syxjukteV2sVr7qiyWfOvWQ7fRl9G8F4Uz7r3KWrYGh+6VZ3hUNXk1Pcz0bai4kDXBovYY
R+ijHYCfkCE0ZpJDHZlsYbXdxywJLJbPKLxalBYWmOghv50gXQf5FKPOR/keGGQ6MJhdh2blmhpp
5ciiGqswP/ayYctUmySPMM+6WNPYPaAzpcZ2iVyaMfV90zWEnJ54ZA/1JmrMdkTZ3c3+TJFJEuu+
mWxLBiIbyvs0W4YjOAdiVV2sjoFqynyPzBxOUCHV9UzA3FUZK3Ro2dITtBn5u74bOD0ItHMI+dL1
S+topgJZO0ebUdEbIeRsWDHOupwPC+zQrV5blFl2Y1/rrXdAIHdf64Q4C8ZT5zI3TjJSJWNIjFix
hzIrT0gvbRov2vV6XYZ8YaqtJ402aOIc6QieQUxLbciHVZ6W3sp3rq25iHlxQkUVPd1gufVOmTHw
LyWFgY2qo7PJi+VjY3PzT3PyRNtqPqJXca6U5Y6fpVGZQdI1MOFnUUWXup1NfVtUSdrCMiNLVz+N
MhLLR9niaRm26VR52isRGQbTcHCj2rIbcDdTlsuqW0JgB9CnNcDlfYA5FO6kkN7FjyFC49LGCUfT
PjZMFs2uPTDoU3u3lBRjyETdG1XK/l5jucUtkmpl0gfe0okRzUFqX7t5S6iUQSm21fKFLhaYBQcs
Trf8os3objWGqIosqT1awNX2XP10Qec/TNH8QR0W6fqHYdqNZO9gn16t1O3CkZ9zWVfp6rJuKVSz
6S7q83Ivm8pz4xscd+M47fwIxeayt6if15qRls95nPSh0z9q44x2GopyVpQ+GA3YJuZOZ3FEU0FU
W2Xr6jylYFGbHf53SeBpoRufIJmruwkvUEkqmQQQDZ8mq8Jci1H6GjbMGI3EuxWwP2pPSW6Tz2ou
LvVf75TqTOobLjHpN/QpcYMEEsPpvcRvUoecJE0NDKNOniJb5uVFy2bTCEtEkDfLODnjDtnMFIUD
Gl0J4kNKsHJGcqgkpBGMhCIOAS7MH1tmCeTwaq36lKeFj6mtccSXJrHMTRGX8U2TzM2N06QepW/N
xDPBE7rnL4CWU+/WZNUGopQslkM6Iwl2ulY+IUelOXMbY21oZuIZAtiAZA5mWXSVeCDKvdrVGJ13
vYvsuFf2BhZ9D+kRlDofOWiOdU3Vz8Dk17RdveuplVx523h1vHcbK0iM0b7xszF+iArmrTVNpU0J
HC+f30/5/0xC/24SKliH/6sL8QEg5Peu+/79j0JD8eOnft6GnvGBOCJgrD8vtZ83oa9/4EwS+MU9
CLA/IJG/RqDOBwSGOlxGEy3H+3336yoU1gcuyNXU4bNcWi/Kf+cqhFX72wjUwwTPLWjprOMJCft9
Fe/OrdCSyZZX2sjIp96PjESycRtp00ROZcnggQvKNafrfkV3lx3eS2PFeRMR4h6a0kpZRUSYe5nj
GpduRYBTsedbZ8WCx7FDRPvUIhqOHfXMedXgUxO2ePFXqLi54sUH32bOtSLH3cj9NsgaCLkgF8Om
Y9pAhGpCY4WVA+IeSEDRdeaduMfwbKtuZzOmIWLVg56YoeK28CUTUtSVVwMHI+EQzm7oXHej92iD
xiyNb4wVoS7ntHjAbYhTkj4Pih9+l+o5MYZmb47aciQOe51emI7zFVU7jHb1zmsvkTyfq3buH3OQ
+NeKrdr9MLXmRhbuHWYu/6xn2PC8kpzlIulwi9LWHRZ3GLF50XxEmd7uW07iw5RaoIXAyld1hYuZ
gKedo3ETLrRBN9L1j7HMN3al8luiyanGSb4J0Op52wLhfzDkoOxbXcABaSw9hJFnXfuZ6q6GbtEO
kbYwO8wT7chCuMYx3SDUR7eNSVqvzsSmQM5sPA3DyoRgwkjpLUwYCddxVNp7yCHlzmyEzZ/aLXf1
aHZnN9XosQbzwVGg+2fGz9tuwl8cuXl3t+Q0KBOZCztnqDDz1QQAWGsUwEA9T27OF71Mu71R04YO
Izguir/oafTSascB6HzDIZHPrMvN7BwDemRztKYQKEUggVcCdEmZsR9oV9td4zBEm3UM0Z5tw/5e
Yw2IMfC/eq2c3mKmnLtlZSAxu4IDzXOD5YgNGByZrH7EUJc94oWYXzR0LyhMFls/E8g6njxtxZ1g
JCL1wSdJoI6ZJYMk8TbJGs0Q6YQ0iDWuoZiMxwQjdQ+x1GoO3lDld6pqtCPZq+ONWbb+yWpS2vu6
IPwkTBnBuodBG9J518IFGwPiCMiOWNYYCeYau+w9WWJRa1bsGjdhvidPNGsIxTx4DJ0Wn2QKtg+6
DAsTcpOABGFuCNbB7s4WOVDmUt5qGnIiaIxBMsjm3DrmS1U0bnTdEF6SnHCzfnLS1r0npGofaZ6h
XXXpYEXmvoDxhFdk9Cfpvy4WgTbbOJoXLkvV3XaD6ZWvyJdouS2JGs/rh0cbOAC5mEPCoABC0YMV
dewT2wFQfyH941S5Zhn4UQfiv8Zgcl8rrcymkKs8PtQWxcyjWUxWrjY2oNI+IaLUrdwjwAev0/BP
ZaZO1eHwvpcjkbuRk7FL2FZxpBO5CQ8o1EHXXJrZLd1P1BlkP287ezbuJKVk9C2LkDjCQPcDTjhu
REtDSkTXzjfXhgkBWg2VAYFCeahG4NiB3vvZV1eLZu3gyVEH9VEVkxZU3jDkm3Fo8RWsrbF1nuKS
sLK5tl9yAzVcUOmzEcPs6fUxkA2ce9m71jem732+Z4qO0wPZD6PhUUupHnBxR/5W2jkviUm0xcWk
dONBYC8rGa8XLPD1iYwlzj5esc8xtASm3+HOIKM9w6yf+rK6cYFmVk44U7yI/kQ8iq2TAkrUUuwq
l+yqRDo35LKrnb3mSul6MRKVYfMehw6JPw/F5Jkn6vauDXJs9RjkS39C2Cmcs/St5ipPfZ57ZUcb
G+dzj3ZJuHvC4pK9dEdvXyVtfivN4noBK+EGrWFX1yqxk1ME/WlXTb2VsKjy3NXBgVF8M8gBM0nm
mEePdBBQmNn6rFJmGrGTbltyNLQduYn6R7cgetYxYaeGYoJ+7WhSInoeqntvdNnlOqyf7IwEvMAU
/gnoCRHGTYtjVlkxMiDmZsGyDBDbym6ZX5u5+cod1V7YNhLiC0M7TEf2T4GpN/rHeDGinQL18QhB
sbuzsGVwOciCKHq3u6l6T6NAnPXjKPXodaFlRd5nbDoXPTdHZ3QggUN/zl0j3XSl730eIQJUQR+Z
9SGzG3VyF3c5I83xgrhR6O6nOWO8JZhuNtV4sWK1Y9hhIdLWAe/2IsHpmI3C2mYMtW4Ru2VbMsj3
HVHhj4tb9VczebNA4iUYQ7It8cwZbIKWDg/URKNyQ2YZq/9Wmd6J4KEaVLOwN+wXZYDSRYH2t+zA
NFjNxXDfbvHhAOjCD7C1Mh/sK78AABj07oSvWAlH42I9C9G03IW2X78Qg9mf6XWM7ywUqp3dY/jJ
jcg4OF0jPmmK1yMZPN7URFftspTJWyv74pLrU/M08ByemXO3t+B4/Gv0o5L4XhJHGU2CXBfJeMkr
m8wWpMWHYhm/NJ6VXs+YqD9F7CsuUWQQGJh1DpUAKddQD4ASVqXQL53CqRWmPPm3dvZ/2TuTpjiS
tFv/lWt3H20eo0cs7iYnMklAJCAktAlDQop5Hj1+/X08qfq6oNRS97dua7Oq6ipBzD687znPkfNF
YHntM/JBmItetrGp6Z7Qfc7Fyil871BQh8T9p5Xr7F2/TqQrruq5EBDPKnEgFfgTOg+PChtlaVI9
JZnrysZUkbU+627j81yGYuuAlLl2k0QcbaNjV8Ps32xmw643DlVipDdm/5E8UoKnsPDRPnPIpwow
s6+6cfbYSiImXVNTBzoAhhIBWeGjaQXg7pmRjjae/MX2+ajbsd9USA2frZni1kxA27KSImUkaNss
QNQ/0kyS9zYBMhFTXlQkUfzQeapOTv9d3/87XiLGA+1m/tcFr4/9c/xmaf/6A38s7eFIEe0rsOuI
PwUJ/1PoMnWhC4E0HsSzNZsi05+FLmQMgLHMs7PoT2mD5l4JYetqFJKH/9BCdFZKvqqoDy//7/9y
RvQ7bVRoWl+BB9x+p5euKK3GlfLVdUDU4JKt/alWald4ExNa4diHbAZIQ+A60V2d69AzVopaOyuY
W9WU7b4FwqJLu+i+CKrZngM7Y6XcW2itHUuoCmx0iJfVpiAwLvui8JxwopihiC9iST/irvoYh3NQ
1HtwhWj/o2mkliXy0PgQFA42YaoOFOJZ+JiVT+VKkkuyn9CLzOMhkkCww0MIICLFouE34309cpPv
jZJ1xrZ2YrKzo3SCt8i9dGwcxiw3BYdl0KuFx2di8c1HQBmRGhUOAZxTntyERRFfNNJaCG4H1vxQ
FuSJL3hB91wU/gosUV8nFJQPZAO3EF6KOGWNh1t0BlmzUOPexVU4PAcmGAc2Gax8k6xNED5BYQyq
kVYjirOFSvplShPFpZSAKX62sJuQs3UkkLgoTc2pnG/iKBuNAyxKnbRH/UPdG8ocFrEhuTPVNIna
teSFhaV7gOkgqr7ZmyIKTT0OZWOTzXdQK5L2usa6zO5nVaDlLsbDf0eEf2tE0JjlX40In57RetAX
e0tssF9/7M9xAWIDclPX+7MEzsf/ZwEcYsMrxEF/4/8zJGiiNMJn3H6uh5AXbPSfO36I0iDU0K7i
K5QUpDm7/0T09Ga/TxUdQyM1JgYG6gvnVPE3pW/QBg0A/ME7FSNhresS8cCpRWLqwUBqui9/uTE/
sU5Q5v+LZvx8MFS32iISOB6X+056G7mzQ1RD75xiQ9VPJalhwCjH4BERKstholLwMgjpPAdj2u7/
F4dG0cXYrNsGdAzeXGdiZObcV6ZzolLAoembE/WiJqZpOXiswv2ZBT1sAXBMOAFpqv/68G9Fx/rK
AcpZyPIDn9Qv3bB4c3jLTqKS8qh9yqEkJWvfGLGMi34gtDMBb8kGrmDC//UxrbfS4z8OyqviMLd4
1JTe3e6yLsMhAoFzcq3SolOAmssqPDJ/4IoEj3VPMLST2Bx8MAdwHHE/9C9ejVogB79krxtPywqI
rZj3Hf30cLssi/Ps+Ra8q9AdhXkcz8HBCRAb+hQUC+LNnJckyP76OnT35Z9z1+tleBRttV6Q/fj7
sByfHJxhBhh6MgeDd2XAIjLnAwFdPpjpB7yH1XHO0Dn9+qhvHUZ/HBUtvSeZyy3+/vaJIQaR6ey2
5ik1R7K/zjFBsox/iHRuTvAO5jvXIScYEhJxYOdE3F8fn2///VXbpm/7kk0q7837b2UMghL+yWzC
6CFKKtEfjAoGEGAjcau/PtQ7jfr5Wm0z4MvyBQf8m/8mVLIvhRjMk5ME851Rx8S8wnNi2RnaRIgD
L3GeR+Hpr1MgaXsNTiWykeUApaXfPO6fXThmZ0ZLZmv7b2+t5RhV0IhQnAbaKM3aASxYXVmUHscV
gvHf5WP97CPRpVi+S/4n/+ZjMWsSUQ17tNgysHovVUw0Gps0OvE6ALkAXod8gEBlePa85edAVti+
s+5KIzQjhXCpjoZHxHLUuLrbJCwUVhnhsWbP6imO6ffwW1O+Mhdf8HQZ0EXJd795gD8ZXiCnSqq2
TBUsgd4Zf9I8CgdfBeYppKzY7BZJ1u/5vaF2Rj50i8UMJgbjnuIGFj5uWthOOnVMBc0ePwwFhwTy
TQ7paiElzAxF9+K3Yr779Xn+7DQRSfg4EjlZ972+1pitYQSlZp4QU3JDzrfZrNv6ydTRyE3e/u7N
1jPom6/IQxx8tkVRNKc2/f6IRR9ZqchUd5pqYmfdvnCfIeHov9igPAbN1GttjxRjQsgJRSZBBMXH
RP3wPhl0oYZ4gf7FhjN8e45SFgYfQWI7DJz6nTjfIuAdTF7ssIOrbpQIn0wbkQQg5IMluSAth/uN
qYQreH9ZXAnP2ebNJbHpb3lNi58Fkri/6AT7RK2DWi3kLksj/UCpT/X7ciTcEETKmPYbywXjQvkD
HucugJaTrnBU2WKt5prldgr5WxS93BFGBtMl9jowYKUZKXtFtSxc4IFAVlyJeDI+1gbStY2QVdVS
W9CYGCeQMb1xS/BlpJohwxSgcTKphv35dXmC8Bkf/a5Ir4DPVTdjimB048NeG1Y4ioGvEYT2wSQK
9Zug27DJWQfgV4cTStDMPMYvCq2/RxxBXG6Snvn7kmhgPIGNnda3zZmBM595OPDjxMaVxC+D1pNG
/TiUeTpt7FDK+wATksD6AH0Ks8HYwPpwI3AzAeHQ7drrLf8r5gbSwktUbdl+oXxgrZphcOjLkcZp
HELfdK6saABMWo/hJTkgARrR0RzWEoZse8JbB+YndfvSpQJh0Z0o4qiub2VU5O2aAkwcbvyUnVaE
LPixznhHJNoWgCg6DL3B3BBtWRqQg06rj7OrXPe5CxyWCaW/EH/n6IF4rJkFSJXlx5TsdGy9TkfH
AptTSiJeR175GaFyzMxmbAIlWl4RRWRGwCvybGKVIQlBMYpekUZ1MvsHJ0rimxEcwDdSy72KClEs
YDCm7QbQQ4Qyz2l3LRZvdo+EfZPJ/plcAGAFI1hZiBjWV7hKFZXWpruQgRXu2EpVXyi3uJ+p69F2
9Or4hRdl/h4NYYpkLY7KjRh4POs47EnyiWoXR4cc17xYhbB1NuA8E8tKAWaFRfzFaYS3ntlp1Q/w
o5KMXrzfoXIsSzxPD3KE0hPgPQfCIDcFmR26LQ5XxocdjtqEbFftB50sXEHQtwy8+WisFQp70CtB
/dmIR9q5pB+mZbtRjSr8nSH04mchG6nKMu50qSkJIsKZwGhvOM8NZBkIVDmb51VBWsTH2eh4Yirs
zZtCKTJQRxloRFBFqGCieCvBPplMpg79bXaFpqyfAhoA7BLNhYeapHjkBNqIzRSQXExtqOPRZyND
duJEp0H6MA8X5TnPoTshn04E61WAtIxGxYRFPlyCx3OmZLdonegAZ8hwGIckoY7bosXqv2r4Qn24
1Da/HmkiJ8eOozqyrAsfBxS2m0wV1TErM+uhwV/MH6rIl+97atbUrmSI78oJimhDdDf/JkJQ2lGJ
ZuGDAIR/sUgkojvf5ea0FjP1CsQjf6LFe3BDE4IhJnA5q0iHjwaymu/+gCUZjKjnMZI1nH8Vukyi
MiU+NKz87qUJ9K3UJfqHDsnJwIKDsy2GgRK5DUzgtgqRcSCFTtRtIyf+MSNFsf1wzjOPopGU+IUn
MjqsDJV1VtQuwdayEGQMCdsNO08tbBoW03M/1xNxxawelcW9NwvFRfFJcqQsHruXpOJlwC/WvYyt
DkiIQF0eRDa6z2doK0WX7qXOmW2bIGqe4I2y+p2TTt2dFwpL1pTqck5z77WgR8OfR9twMpRr0xfH
ziXgKGnbB3pH4obivUF2e0iFs82z6orXiGdn6bOFosLE01Xt/pzxKFLBIrzCdLB1zax+CgeNFFEZ
Do5tSLDOM/4oDCZjBSni0HQtZz7yMyNou4ns1sZoSW09L3AGvVTJlrR/ed382Hrpo4gpLzb4XR1U
SkbWgGgjNowGCOlkpOG5zjORFUSXMu1wgrVF85OE03JKUYaa4VdMKxy8PH9CZuim826kZsIyiJkH
Hth08p2pe8mDjmdUA7y1ev5vEJlMwKhgGdsqvVXBKJFcmMpkYUBV6+DxpG8wmsgDl1Md7dHw7hI1
EKkB7J+zHYek3RP+a970+vV0kYzeiChlZspgohCfMLJcdfxUDdf1BFN2X8RQNTBkApNawTXx7S1l
PU4mhLO2Ql3EPetNAlznMZEPaQb+fNuDar+gack7kse5+wzfl3uK8onrPw8C+MPJVUvgwa1zWilX
8PfsQ4OL/lh7+vDFRIgyvgaWY71ZP6VmBeQ34qmy3G/2TWjzVFGPQzZjIuc+TCxBgzIJH8l4m29n
FXnPrY8jPcMaT489WQykWC5ffNt2nMn5TcSZYXbHKWEIcE3W6FuzJRaCNW0TdbfBHFrTwa/0A0ob
mB07qwqbPWHpAc6EZQZ0xXa0QxrcsyiyfO0osuh73SuRus+2Ts+xDJ89QJCyDXGwBTxM0GfBclva
EMQ4H+TIl4L6yYuQn60bc5pvz1fITMQaufMYgdoKs+R5w7tMRv20AOR/gNtuPSQM3WI1saV9GBr+
ZYXowd72epW2QGLMX1eM52lTLYI3qs7BFtl+zLUvbo0j0fINRFFWsWmHgZ2Mvmstoqdgk05mviB4
5XRij6vIktB5roee77WMI7w7WTnfiUURoSTtxUYpkGPEcCnmv+BE5eOyACyAFelaeOwxrzydUMqM
d3ESevZ2gs+3V4mbF1sXH6N7N7fg5NclPc5lbbTCfXZQPoP8S8Lg8RzHnOeDc8iwMlRbVBhTflmM
Hj+dD7HV3MNkmHhFwowbDTzHvMGioce+2SJtq4pMBnmWIpHekjs9+xXaIdXxfANexyK9cR9Ti3FB
D6xtJJlxzu9uGGlK2twTbTXLRH3FGBOezu+nAwz7AiMKFcaycbJrOfi8Ir4ApOO42XgZR4p+yOsL
AYPe/1ETTzOui3Zs90YKTi7XfdHIo5Zyfiu8OeOjyBD333j4ni7MpjRv0C5xE7LOIOsRNrIJmMUt
GYmADhlr2VgUIbCnk16d6AsypoK3D8M6wCZn4r8pFkItiHrLvDEdLoFXznxwYzwRGzOP+LIkcfN3
lsRIuKtqXpohrRjt7cT84FLnPbFT56UWoLCHdT8xaJ9HQASZwJ+xh3Cz+5CoS4C4KXfJlhOfjZ6A
COCKbAXDcOwZFKqoHcNdY/gkoZeDPtt0wGu6tRvFcaNazXeFclpvVbNVQ/GlWPi5Edc9qBEmqVZ7
GhtKyjPJR6yFlvvR9JN53w9jGX8wtS7jQHq1edMKnf/j+j1HiJKKt12YBNo/9O7AIiQysuDx3C8u
6cVzvRJ4NRY4eT/4c/GBJiBJaKGxzoK027vwUVeyZWSfsij9EdnoRqQm39hwi7P1WNl8wDPTIy08
ZiSVTMu6p+QZsEJR3mOWKu5zUvNAK3daZgIuUnsnSh/DS9Sgeo/HuTjQ/UuvbaczzTWzZnFgZz/v
SxPZx5rAyvI6rOzqRzDnrBc8C8QHHQvesLazIJzOc9eLS2BGeXyZhuAz1kEcs6YaHNBKFvE0B6Oy
dAK75NFhSpqM+yi1eDxtUfPXJjC5Sba7zLdUACGX2XhPaJIxLjUja5xCL+ma2J/viPdihTc3xhp3
GN+M3ihnOaPsZAd8qkHcAG8XLacXLpJik1WxPqCXwZnO58kkpF/7RPW/yr5XrDGZXYI62KZ6Djdp
Dj+GmPt1sJge7ARcIig0qU4l7xnTKoL7Qvj1c0sMVRVcJUHkHDRz9Caa3eDRNPruBWOGv/FsDIHs
wXiupWcxf2JK5W0tIkarxUush3NI9XncDNKMwTFgwiTRj06Nlev1Zh0G/lXR+oRYw91kjCYF6AnZ
6kQgLeNe2/AJ9TligyQ0MMtUxFhEemReFpIr1uzt4r3lgsp3Rk90R7ce+OJ6LY5xM3yOxusKo6FG
YjAzF1npOwcpFyEPbNjmXtvTB9i1Q3tRoRne5Y5l+exVevdZZIv54PsmJTs3YFSizsMtkanBtBGG
FjuJwmNi8VCUPqC+9TZLo9PS3ZnvYYn0cHBeMruYSL0I8TFVskLsoqwgschTvbXjyPEDspT5Iwyq
5SqG3PGxJt4Nwq6Eleey21l2TIiky0mvEODVndq4bc80UJbTkEHt1obZH7nGt6G23ZeUjLLvOavK
HzS5OpbbUx6tWFcRIwHw58pkUXaRa+Aowj3Yo8OZQ9rA+MI9V83NpWvPyQ0AO38TpV7yqaj76N5j
jT+vhwJ5TKbppthB1U1g1+HHmOzfbxVJLu3GPYNQkzMUdTkDUnNwdIQk9aJF0xGM3n81nf+eyYHG
AgWWf93z/fS96//PY9JG2Lmf3zR/X3/yjyaPlP/AwOCR6m6a2oxu80v/aPL4FpJPnAx0Pc69Fusv
nR7xD88WppA+TET42xru+M8eMHArTwipo0U1uvs/6fR4/ttiGMge26PJ7Gjtqc6ffw8gi5Qz5WUa
xYeukMOx8kuWMqVVd0dbFc4GuQ8L32ywzTtCuFeqiBAmJHOyQaw97bO4NdJtCP1l1/ZBe08twUDS
mLNsRHx3EQcGM2YyBNWxmt0GVXzRo6/KYvdAO0W2uyEdQrQehjOR/uK7ubtyMtfbjAE8W7cuZha/
bOz9bMBVrqKWnq0ffcT1hOl3dAkeDLz0M7nLj2aXw0RBb6Y+Lgii8RzlapeMhtj0TjqcoqkyL2nV
oXeZsUyRpWnk43oxwubORdd2xY/gnG2FHC/qyjglYZ12m3hOp31rN6BfJ1Wu5s4Wn9DQj8fUFuoB
TLa9U20X36LGgkIXLPrKSSLstnRTErTqKXpH6UIbiidV3EexS/alPYNg7vjPUjTmkfnpI2ZKV6uf
xmvfUTt/zPu10RAxHWFgJjo6cfr7rE7lbViZ9imE/jEzzLAH3lVq4Ipz31g2yNsCMHgjKk2G9ZVH
xNSGc0b00vXO2qmQiFgGEpZwtj8NWVbvKUtSDSAG2hziDyQLoi+xFCjnjURAvnbcyVlB91icK5Jc
NOik9LAdeEuPr63fowck4a1TKdS9ZDG3xmgRQ5oqG3dbV7o8D3e4go+871PxhBvZ3QxcyzYL+8ew
REAVTO1H8pAc/O6i/EJIvLo041oSVItxBgTWNjJ7l4TlKLrrHIKdNpRP82s/LQADloTtcZeLWK7q
ovI+REPn3Wa2ERKajXEjbEPrRHhtunUjD7fKUn/vLZihkHEWbxs2SXS7TGl3OTOvtKlnr+HIzRj0
MQjmpkfqe2mEJ9PuPyOhLdcucvsDLrIwOk49krnTzJaleUbh231ByoRfE7v0yStq9wi8xL7PPBhF
hlsOV27XNd66Hwtu2VQX7TUu8i/MtsONAblxa03iu1MWXyAM4UgucKEcxhQuck4C5QcUAma3KVrl
P/mUBh8WQ/vtxjDfek2YQ9Gh4lHshTO4KRJI3AnIk6bpS4xgUGyIAkmwZGLGI8wwbc0Vuk1r60q0
smw/R3EaqwXQpYjFVd1QScbNqsLTWFu3k2s+LV3wJNoBjjhlx1YKdBmBl1CtcWTctBcQ66wLgeT5
kxv6D1FYfxdsD/B3I9PbtnSRWFGyrvoQ5wT6lIGveZyeBb2NsYPfAAne7mLU38nR94LpMKOtYt3s
QZleD1E3Wddd0C3RhR8Cg1wPbf1UJEY93LW9QlMoul1qDOEtruFq1TZZfa1Ge9zAuZ93gwgu0FfG
hwwRbXOyFrSp+yE0sZ3g2EiPmS0I4kq6GuPUTPb2dUdc5FbaVXxgx2tum7qfVp4kTsSsPf+T0xbK
XfXLsRTS2EeEu11kPtN76FnGzg1Z3gZCTbvSSSl9kXr/eXZxexbYuI9+Iqnq9cQQUItisYNNa5W1
qXsCzJ5taw8Lr4d6ZO2PmUMEYtFcppmNTWUY0NSDS1uPZhFdTyP4i/WQLoRU5sI9uL3fXs+YOB8n
DJ1DDpcOfn2RdzXFQtJAtkjOil1aHz01f0Zi6m0qFtCHGTfw1uVPHXNXVNdmbje0mxwDX3SDMYbS
ONgAeSAdzWekapuTHbT2A34CVKGkq25iF07QWtWLQhgcVghX8ix7Wlj6kNkjpyNMFwzo7fglz3wC
o8aBcDgan+2Oah5u+2W8yZdI/aCKQuYRBfgdQc9OTh5ADWEz7L45oQepQGKGXsVeaeq06uEQFiqn
hBW2V0k+fNFYsR1Jn+O+XJqJrzSsQP309TQRc1Uk/TerZLbZSkd2V06BGW2MzPuI1giJTYU4UhkF
/lv66UUu8c3HC4Wymt2WyQS7LWWl0PcZJNe2pTgIpeEiQRYfvIkgX90APno9iXPItfxdVwvragBS
cZxLmVCoy+9C7UmVXSQvWKx3PkliyQ+k3Nj6lfSdFUs6Zw2WOKdsbjWUe/BJr2g3NBuhVdJmpfkr
llq7fKLXcR2xHMRHu85yUFbsfIONi/PpUvVNuJuG5jgXRUMK79y9uFU7wxKsJ9oDeX1FrYIV+uDE
h3ZB6R70xSFyCSsKomE7ZNNXhFzDVlAxI1mN6YZ8pYPfdtEetZMNUc2/Gc3wru9KfPMFodL+MLon
SMLFriU/KlLp3SA64zTF6S0oWtTuM8r6VuQ3kSyW3Uw0IVNjErli5Y2dR3Q0aQ1OhnNj5Y7E07ZU
OD46GfW4aeC+3jVDEnmXFBYpuKlORNXWYubEqJvMZNVS01FQSJypUmLr0ecQ2zgM2AwXiQiMz1Nn
zWqTSArg4E7AK7IXLrHcESyXE/oge9NU+9pN7l3Zein4m4WlTIdimXYG5a51hX5mhasqrZBwtsV3
VZkzKa/gcz5YlWXEmzptl092PcyfikrMl7JPTazXZXfRKAN9+VhIEM6movAhvGxi6M9L7sEY93tV
CPyfBSOmTx7gs0rhGLOeSy9HEQw2rHtZ3PnLAA9RFN0GcOoWLsAEltiPXhprMC66fnJvO+U3OyyB
8GmBSpSromR4zah5octWSBuQpUaPGCtruHpFv2priib4QW2NrF4g5gsQx6upGiALMrtB66uc2j62
9VDE295qUeXRRhsCMBbpKHYupgmKOSrGStBJMgyXjI226kw8NYvfjcNBxGo45nFmHIymIWWPfRlI
L8QYwQfTNbx+XfVLk+xw84PK9gPajbE9eJsMj9sT6c7gfedUpCc/bps7isdTR3tNJXAykJN3kHZ2
LSqL/WLG87hC1TCKlVCt7ChKqP5TDqtvE3aBeVWkvmaJ8/A/Qw8mELtzL+w+HAiNxPBDV6ic6P5R
uyOhwiZsHbAQfsuki7b2bOCIVXoTywqowWiPz+rgJI74BCQiXSMEDMmxG2wys2rllGShZL2AD9L3
nxm8l63NTQJNbn7FnkD2rGSLueKJhg1BX0Kx02yJop76IVWrdnCtdQ8csl47Xgxduel84NNZPGyh
0V4TXgiZYyr6q2mQ7sGL/VoRGoPxv8vbIcOqUOYXjnY0BDy0S3/omnGTl456mUM//hKw5v6IuVIe
Qwc1vzZNyKsOi7K3CSMzCq7hY9trS8nPfWF3n0hqoZMYuQ6i9SVaW7MrDi0tVHyyGGOf7NqhFdz5
lMsSxBbMJVZwnadKfbdII6AqmJjPjKfJZTIZJH9h2Po84vxSOJIKSShwg+lmg1Qdk01POLkqe/uO
VB1763oTQVL0b7c014KLYC6GrTuPIzWVcQIyAjm9w+ixSstpXqcuyYAVjsxnsCDkvlhV5ezMpEJm
Vps1hGjQh+uimknXDPsGCCUJ5dYo5AvCpfkKSdJy4wOyvq8nNCNrxvMU/rnZPZD3kH+OTJFHG7Kv
AjjiBCzAJRWXog7ROfG+HkUTeSd76cESiZq0DgrHW2PBYwDat96qUpqs/Qn9ct1wWMMxiDOG5qLc
TR4RWmlulIdZsBavQUE9VG1u0yVst33dpB+SiG51mhbjTSqldWSQGCEsxnwsEnNOR27rta0lobHR
YL0qUg/IvVlgcR1Vg82o41tvnfRYJ6xRyF1tWED1+bc489xlT+riBOZh8H6MfTW9YHmN6bTkwXw9
WtZs76bWqV5VJP/1dP7O0+mdBRS/2P8n3beqJLfx7d7//FN/7P197x9nmRgbf0jYb8IjAusfFLRI
3gJm4CPW0Nq/P4XfiLx9m84BkhDHktIGovvH3l8jDsgkRs8A807LBv8jX+d74U0QwMjDhOpogp5O
uHgrZkOYGGcDlfLXZlNbQKNzTaqFi1JUPfuW1udfCiS3r+q8v/K5f3ZAiiHoPLXuxjPf0YEzrrq2
6sI92hhhNuY4JReLVq95uc9rzszzGwnb29IG8i0ukOAy7hfySh8U0tsLDFKPLQ1y2aOsYu851a3F
c7Oqc8fk4teX9l57w6F41EgCESQSpAZz8I2Us42nOBoy0zlmugefSKSq+GIoTRLERFWVJNJHmcFV
aUOKzr8+9E+u8pWigb8AGe37As7UMHIIo3WOnYUsrfRrWt9sQ7VNLqKN8uuDme/lo1wobyBEDBbx
yDnOnoK/UDHmioxouGAOWbOIeWkB05FYTamgGTb2kom2RIYTX2Ljpd2pWprk1EAr2pYzAexrwYL9
N4LWv18+tTAfdCQGaU86Ovbur5gOPPr0uaPQOfoTm+o1IQXJhUBOe/G/PJYOK0cX6Wid9bsXitxM
keNwcMB6TOgJHKN7YW893w26rfbrG61fmL/qWzFco9ujLudKLEuA1t9eFnkRuvw8OMcxjH90FsgD
Gpj/qaryfBAE3ue/M0q9e2sRtjmyt3LnuGQI11J/pJnpa5iuSe/td2pn8y1QRX+OnrAtaVrYTbiF
713kfohLdoHtd0wtMLKbs4DSDA26b3nb1U9+k9ER9RQfqRacqri3D3B27VfLwr8kPf/kDfYEhTKQ
Lnyqusnw9s6GwJ/D0Muc4wxe5NImdc1YNbo1UhsdbyiNz2KbZRa9OrVA6SZ1k4/X1QpoRpDfKdB/
9vY6Dhk+OO4YrN5LEbM8wDKd1Xy8I33jc59qKtEG0skMtr9+o352KI9iMgpaphbr/Rs11z4tdtnY
x8Tl9gaBZuUTn8hQ78Of/o0a8e1Qz/Ctg5GEJJvI4nB/e33ruMdl3NTGZYhGgNASg3pOaSN0WSaE
SmOpGB1+fXkaQfSXL0YfUvrMjTa1dv2A36vp62xxLATvwaVgK37h+CWNvq7t8MGQjHaXdFh7WM/T
DWTDg6og4pMqUA8epVHSzsNmDrxPN8vOI8ir1EMtqCmgh+KXp6KLLOPXp+yep9h/fuUuEz8kAi1i
x9JhYzJ7N6Dg80mdmQ3cZZeLYieWeNlViWfsIrPLBqzEhUJTTLOwrcJ1ldbK25r8slOLuILo8TSn
80xYMg8ydKP+ZbGL/mW2Ml7d1662hYYx3tAZQoXhmrR5sdiiAzo3PclOafci5cdaraSRip8DAGDZ
h8lKm6deq1b9yAEOm3IDiUNJ1S22RLREHmKXR1jPRgphPGzMvdm5/OpOxu20KYLYy9Z5m4Q2wdOJ
Tfpd2XAMLVA582+bxgfQ4IwOVCOqlfAg4oo3pHZooaLZ65cLg5abd3nW5nZ9VKDDa80yvmR32r+g
Im2eiJCy6svCTNSdSQX31rB6A60HGRzJF1MFPDK52B4btgl9yCPxz7x7feY9Z/g3aQ5Qk35WZtC9
dGatZ+gR4VaBTOpbvYTWfmxkc9d6fXHhTrS9CSWH3sP4C7xpItQRmpMWGBg0Bo5oGtD8hsgU7NmZ
74j3Dh+VYyUXZ4H8WTp+7lD3i8X9CaZQ3nVdtDxaI9KyOtBygLPZzpzb7iUjd4LIYDBI26ULTQLA
VYvVtVb8KWzoMHfDkt9S6Lb70nPf8P3Tlj3PciUzNY5djyAKVcRtuo+cGSeoklI3qmOPMOOCGri8
jPXC5KzRP4vvRGrR/UZNO29zYSAbOgukmqThraFq6j5LL+NuUuuvKX9UvirXowild3luJRvoW7qL
zhmRiFuzNoDYrtTh2j3zolfFfH+ViBTxqotv3sQGwteNcgskGQj6UC5IbL0Ufc6edrMEUb8aafk+
dgKr/oXfE6xFYXOGBOczF/VU4+edypmXV2hq6e/XmOSvF0mRcW0mSLih7brPHmpaLDtlG5Abr8z2
PrIXa78sE0wEK/KcL+U4lg/+kqhr4MX5hkp5Za7QBJg+W0/RXiZ5hbkw11LCLp/BL5dLNWxEF3oP
RMckhGF56GJXJPepG19QJCycmHihIgsCqL4dJXXaWWtVLuohg9i+JXa0ri8pFmDy5Z2ETMmm/YRk
hNzpNBwKBANt/8N3FggDlhxuiJiBmKnmFLfikDEyrRet6mKXiv26x/Dx2cuzttuBNvC+4STEgw6r
6AqpcxvttJEDjMFQJxuoSeXFWA3VTUCbAmD10sVfIq3AlVVP9ZzN9AU6xPBIeKdsLvxu8p4IQ4EJ
X9bLF6yY1aXtFPRO5slZvpR5k7EXtpZ1R0mzJazAhZKaTeWXlO5Uv0Fb3m0y0coLvRilgjOjed5o
i8G2YQ24wihe7LA3kzYWg34tKxHeDVSvDthZ6kPaglVU7qC+h1E1bWMjMcCTVcXnJBsJkKS8sKrL
BEhz0yUEALfPkM34PhC6bUKyStfD2Jq7gm182voG+jMEy7Q9w6piK42VniIz+tN+jUpB2nA5qe1G
lX7y9XTFStff48NX7qZMCJpwQqI/6KsFIRhlmqJ+VXfI8joI95WidVNUw8c685p6PZbdbtCRLWUs
vuWyqz4HeWKBCDHnXWeE9mbIOY+ApMoTsxIBagvD+5XnNBNoVsETlbgQrtAflLdYvmqQm/Sq1obH
iuz5LBs0rJRPotPSzm1V91Z6JP9LV7LsGQ0do23/ErWCAalaAvNBkUxnQa1AydpK0DZbf6Dos82S
eEZQVTUCDTlS3GWN9L96Ck0Es2fFi1R5u+9pvaDFGNwQDaPl0K5tc/3bzLnuLl59eDglNBUSs68x
s4/qOmStG4/G6cNYO3z6Q+w2e2eGnb0/i0/rmtdW1zx0+xitzpNVNRHruRjOhmlXVgVcIO6gPlIn
9Osfqh4dLS2GI5rLvtuWqTN9x5PSRGsSHtxP5NsGhzYOun1OOSdelXOU0DEz0/hrN/bPKbKqresk
UbSGydt0n3P6ZsY9DG+cu74VU+ZGLbP2clBp8TQ1+9Twlh1xTfVHnAyFXMH1nj7SUy7ukCj+sPLl
82w55oestxCuED9MYE8A1sQZausl6uPoZUmS6T4aJE+OLz7dNuiyAqSIkNyJWEk0sy7v5CXQV7I9
5ikHXdd5jOPrDBbAtCeDVhydplLXTUfxzIOnS9xwkQ30b3kKxIJST3g0StBsWzAC+fXcts4HoOT5
h8Z0hrsi8Zt1W5m0UUYj31KItb8SrzceIVlTlnNDK/FWnW+DG46pR03DMgWroskZLoLQBf/rO5fY
Fb6GtTHdT32U4aMbxDXob/dLNnlZtG7zmM4fmdhIn5Ud3QSIZq5bel2XRjAF3ioeo+7ZSqaaQBH6
hWXiDkewjEa4cnoysC7M/8/d1TWljgTRv0L5jgX5JA/3Vi0goldEXXXXJ2qESAZCJmQSkvDr90wg
6gAitZPa3dqUTyR2Op1Oz0xP9zkIeb06JrNgcm1q2qhNQRaPHDZ6AR+teRiCYwMQeiH1RjeNPFnf
xx4YoZ3VNH1J/HiJPQvODXqd0SwzOwB5qAOnfJS25rdWhgK3S8dLeB+r3PrNzF6zJzQ6aw6QEpMF
2H3qdmOOuqhWeptihH9rrpZ8kITh6jLDQPgrmPGF3w0db4TdxyaWFx6C2yWYtZoUJeUhiq2nK3t1
P9VWyCoHs5EJ7jiEvJd5FoPmKffNm4xqCKOoAgA/xRKE42lXW0TJCBuxTBvEdr422+igAj50y7cN
BMRm6jINHF49B6yJqAVEfZdhLLULIEeu+zyx6QNfNJdPSTPnzy0fELyrDM346xkSn3PbMgCwirI3
bKjN7K4epjYF2NXam6BBB+NQ3AC5HuDVqd81YKq71RrrFMDL2VHHBGbEEP1h2VMjSuvAqYixU0T1
pd5r1fXIbqMT1OwtuQ1oLaZRh18m8N03ECZnf4QtPR6nJrC2Ugsct70GCr0BzA2mE78zY74NwOcW
6vaAZr6k3chDN1PfjsM308umd3yGtoL2mvL4Wk8zkKkzBphFoHss87aByjqg2gTRsA5c2gutYY3i
rjMVaFbrPMvQUcTAxmgmRtwCKSaQhuuGvfoTtIEMbTXT9WyIujC7AUaewB8Gju+D80bL6mgc1vHW
fCSQDLTpp36WPGfeMhsZ7WK+/r/JhW4fpEticlF0sd8nbpQ/uBxfDC/bwcXZgkDvkf29i44Lqp1U
XYUR1UJmScquFkoVGh+T4ZMY5FQT98cZkqGO7iB7qaOrRBz6Wc1n4BbfnK7b5jkqsUCKg7Km4sAa
FTf8ZKSvzHD8CTf2PH6N9ARjlgSxeA8oyJWyxZpIE55igx0JHzbQnXOzgVm1gYXvIRs4QAxAv7Al
EgzFsbnhP28DMllQtOPxOKLj+HPGvInmbeS2TrHCjowPK2ggkHFMtLSLVn5xwLU+ewIK7QS8FHKD
2wvgKf+KJ+w8weZTKbBYTAet5kpG0O1zDSjKloOe7UNGQFHDOSaayL8ZG6KzzQ3/Q66goyMSSSs1
KzTPDeS4sHmCZlhx7LgCPggUSIOQVKAZiANZpFNd4QRTvUfZjkf9SRFfqcsPheGvLijjyv75bUwR
7iICh3Sh2Mza3Psj/P6UvK2Ie59OlnGwuM/237cPuH9r6V7lU5U/9qkbkWjs5cWJfKvmLVkgRv/m
k1eyINIHXwTqD01+nEl6fnr/3wjm8x25Ih2vLDcCMEUgC0ZqtgrBcxJwwktJ4jWizgHuqapyh/gg
9o52qpDNIqIoy2Y+i8iElVoKrQGUgpFUXTIgcccxHSfScICyF3yRqsK7rk9SErmlJKF2qyXgcpQl
b4ewGnurdYDlvXiVi7+B51OBF/ZgdTqRvXAzTqrqf+kyVKzLkjFJwrRAVXIfFqe0lFO4t15sa6sK
vpoQT3JA4J43MYIry0X3a8Co/EWiTLUC/7sKJuCfl60MwAnMc5SVZumOWOCTqIv9tR+bsHvbrEAw
HjgZz/NSUuEXFqxc/nCwDON9CnBsCLhhCeV7ZnYwyVOXPSA0kKIH0oBVDC8DggwBCSalhsIcQO+u
4hUOCOdkjLSHG8eST2Oj06jCJHTs0SmRFzCYVFYwFgyogEdnseTZgB0TLLyqH8yAci7+wlCKTcCr
blQknSXRruhKFGdBvBNDxFaqo26SW/c1AmCEbG0NRfdViF4RedzSADBZwfTp1k1rfbIIOUg2pA8T
8p0KAqCQf+1G3M1LIxSfJpq2KhI+cDM6loYx5EDEylfVwYXmLyyal5K2eov0irJocNd5tQ6JGEZK
2V10q1nZDfaJgjTshVcwJRl6VLa4AW9RN8tw7mNGIq9qgOPnVBBkh5E73c0RIYGlrvMdGCh47q/I
zjIBZVxaBXo/eGzi1q743thmW1YFL/L3b5mEvwbtPGkusbnBviMiIyHqTFQ/pKP8H4qqP7qZvKrc
plFUdf4K01hR3Wc3WmBkK20qopWOobiCQHiwFxclNxX433E0V0WLfNtIrCr/WKGyqmwAgwHmVnqb
Fkpqyx++mt0fyjS9p+b3809lyv3Qv8nJNXHF2HdJ9PMvAAAA//8=</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A8A1DF7-2DC6-4CA2-BB88-1C1B7403F26C}">
          <cx:tx>
            <cx:txData>
              <cx:f>_xlchart.v5.6</cx:f>
              <cx:v>Revenue</cx:v>
            </cx:txData>
          </cx:tx>
          <cx:spPr>
            <a:solidFill>
              <a:schemeClr val="tx1">
                <a:lumMod val="50000"/>
                <a:lumOff val="50000"/>
              </a:schemeClr>
            </a:solidFill>
            <a:ln>
              <a:noFill/>
            </a:ln>
          </cx:spPr>
          <cx:dataId val="0"/>
          <cx:layoutPr>
            <cx:geography cultureLanguage="en-US" cultureRegion="GB" attribution="Powered by Bing">
              <cx:geoCache provider="{E9337A44-BEBE-4D9F-B70C-5C5E7DAFC167}">
                <cx:binary>1Htpb9w41u5fCfL5Ks2d4mB6gCtVlfcldpLu5Ivg2I5IbRQpav3175HLnYmre5wZ3BcXGCNIwaWF
5Fmf85zjv99Pf7uvHu/8m6mumu5v99Ovb3UI7d9++aW714/1XfeuNvfedvZbeHdv61/st2/m/vGX
B383mib/hSDMfrnXdz48Tm//8Xd4W/5oz+39XTC2ed8/+vnmseur0L1y7S8vvbl7qE2zMV3w5j7g
X99ePo5vPltfvn3z2AQT5g9z+/jr2xd3vX3zy+G7/rTumwq2FvoHeJaRd4oqwigl6OmHvn1T2SZ/
vhxJ/k7AFS4wU08/4o+1L+9qeP7f2dHTfu4eHvxj18GRnj5/fPLF/uHC57dv7m3fhFVuOYjw17cf
GxMeH97chrvw2L19Yzqb7m9I7XqIj7dPp/7lpeT/8feDL0AOB9/8oJxDof3s0p90s6usNw93f4jn
/101JH7HFeeY0b1mEH6pmpi8Y7GkjMTPN4Dq9maxV82/saG/1sz3Bw8Uszv/r1RMeleZb9Y35n9R
N1S+I5wJobDaK+dANxirdwJLIjHDe795qZt/b09/rZ4fnz3QUPp//ys19OFxugO3/t+KaRS/Y4LG
LMb4L5Wj1DsK8U5JSfa6if9Ye+84P93OX+vl+bEDlXz4/b9CJa8H3B818+LO/zDbUPWOI8olo3Kv
GQhZP2Yb0AzCMRVUPWcb9lIzB3ngX2/rrzV08PiLk/x/SjL/OgF9z9Kbu3C3fUrvP+Sg168+HRdA
x8Gjr3nUXnYnD7++JVjG6gdFri95kUgubBPumu/R84dnHu+68OvbCCP2DhEqYkVAr1hxUOv4uL+E
xTvEIEhSgTCSjJC3bxrrgwboAcpGCC4REXMIpjG4YWf7p0vsHRWMKwmohHMhGP6Oq65tNee2+S6P
59/fNH19bU0TOngxhWjc7u9bN8sBviCBKfyjPCYQGMCs2vu7GwBvcDv+P+1iS5Jls76SbatwWkV1
VCSjJjzlTpTzsbQlbXZ9mevCJIa2FzmporQyuX7osnixicxr0qYx0m460Yurm8R2Utwvnqht3ZiY
Jaxu53PrSl/9Zhbmzm23oIeC5pNKcF9OfYI4lvOmjoaBHplI2I8yBElOOqeG4XSixo8XvhXNVody
apKZVHNSzqK8aLFiKe6zkPA5Okf93JrEt3Ge4qJZyMbN/svQE78lRFcnbJjQnM5FjB8FRz1PZpqz
nYozTbbZ2HCdMqHNRTXY8aSvenkc+d6fDLYu2sSbZno/uOiIFD3ZWKJ+G5uJHumoCnVa53bd1bwU
v028a1Pa03bTz9O5Vtj442LBHuPNWOIsbHpbFVOXSOp5SHBD8oTYynfpEmXlghPQPEgZLT2+NsTw
U1Ys3XXXjoU4G7Hk9yCR+azsVJH5D4tol5PgWRexM+nzqdwWHictG8XUHvm41dWWTGS8sAWrDKuO
ZTVDUmh2YonrAacj0zrQ48JM2rop7cp26OXZ0k+NV0uKO4zJtB112Rd6SFTuJzKc4LrEajirRlUY
EZIJCxWXJ3kcSdluWkAFnwdK8E3XzdN15VQ0PahGtsU3VeDu25whMtJL0nS8xreyzvBOBCNtl7Qy
k7+3Y9WzxNVqOB/zsjwVTd+CoHyZ6XSu+uLEMNXQra/K9xhbv0Wm9kmmy/Gqm6shQcYUYJZTaTdz
W+ZpRDA+jYvSbvMcLbvFmPKotPoKm3a6CaJnZpNFFdkY5XWTVi7kp3EcJEsZBWmnpIizY9SgIWwr
OvOTekJ+t6ilu7Okre5JcJjuVNkJnni36CTEWVwleSg8TZpO4dOOhjFhNK9Oi9oU+Jg1/RddsCGk
i2X8OgIJ8sSyNv+Se4bO8oLVu3ri0dFAWbORsNxFJWh7hBc8vW9swEd6LOPiiuFMJrWLxz4pCSrP
CM7dmIykGzZxKZqTYUT80oSsIMkUKnYu4mI5bbIFJUuB5k3Z6zvYY7GLUY13fZVfCt315aZn4hxJ
2f2upzL7or1WO1svw1FbULYtXdmc9li2H4tuueSN5O9Xy77KcIc2EtFmKxy+WAo5J9q0IY1py3ex
aYkHCbTom8UzurK8zH/PW7OcecfGczuU1XFXiTaZjciPimIojzLTZUnm2u6BjGV31AqvbnMW8QQQ
DTmPS/lpIeiqoYVLZZSJ83IZ+HlrXHRcFN34G3d21ElRTuP5ZCj5XPN5mpJ+XmyejBWiN4Kwfoub
jn6LZKzrNIA0duVShJM+VPciZir1JuviTdTPTiXlINhtS8dJp0QO9p7Fc/6BFyxHiS09/xpqa44a
1XXwjjY6qeKKpJS2UeL6oToZkbCn5eTqNC6KYpsNxbSjTR4fT1xkydg2Q5z0Yip2gecYDL0P5gwr
3X8I2pdpBfL50E3uPZi1vYnJfK5GHaW8zNRxJHUbJzF18jT2kVGJYlX8MIlGX6sqNsdDZpsHaZDa
VGgmZdLWCIntbBlKZoRPMlHchNrHJzMdpk0J1n2LI9vWCR5ncqx6mqVjWD7GqMCbeeK5TKR05rKo
BojsPaJfbJWPSa37aDONmBWbCQn+mcej2lDcLjd2UiZl0o+/lbprEk4Le0GqtuySQU730dQM24HQ
8C0vxygtuVu2ttLd0cQI/Z00S321YKOuhilerueG2x2u8nBNvG/PsmhEtxL7pUw750u3s7bLt511
6C5ue79hU29vChbZkM6jpqku+ihhOOTfpiVHx83QyM+UhCXaLGBa2wVCTqrDPIgkzvW4aSxE/nj0
USLjQVwQt+QpeCTdsRyTj7lT7Vk8cn1qlW+vHdbDJjg0gGSVnh/N7MMtH3JXpI5ketOhuXKJxl2d
ZpMTCcYDOVn8PPcpI+6xrg3d4smqhHJiL6aiLdKIOn++NHZ8X8lo28+lunAD4SaRs9HZCRVReaER
dhtMXPGl6gbyoeiq9kK28XyLRtxNSSS0umFqCsdDHKYTO2WGJTZjYzpog6780Ja/1cq63/K48ddN
X2Wf2jIzZ/3kpkSP8fIRezZvNbLF0eyHeZvNwSVINJ3eMDitTadAUDhpqmVok1z2HxlDaE4M65pN
ZHiTCs7s1iGNrl0nc7qVcWZPmzFiIa3LcT7jxVyXqfGYbGPLKMgxjL+zSfKED1oczVM96LRw2XKK
DRb3BN4fpTZrzHUe9JiKAqnf5oV3x4gtkOjjBvVV0uWd2QlTinNp2vZDJgefJxH3okzyLDZsE4/T
ee+s33Ut65v0R8rkBai6t+3sAdo881Xff/3HB1vDvycO5Z9frnTXP3+7+IMne/Wuo0e7Vlrd4U0r
OP7+rn+yNSsg/U7dHEDcPbP2L/DvqxdfgOMXpcAfNccT0GWAFb8zan+CxgcVxQ+gen3uGR4L8Q6Q
LBVcQmmjMEPAoe3hMTAE7zgmCsWK/gGBn9GxxO8oZxJqIRJjwr9DYxwDYUc4sAoY2AUFFMN/Ao0p
IPMfkPEKujFBCpAxkUJBhgEM/iMyrnDhGzyW/DEG5NarLWlZG1UpagezfOK8b8s7Fnne7Ro3dzPb
BDJxPaWRzdDXvPGsAcMlUylPleZzvylV1LjjUdVVd1Hxuo1mSCMTb7/yMhST3URCVAVNcykZfpST
nfubSk+yuotj3mb3tKZOXObCuJYmNTYdbIW13NdXGqMwNpu84r5sEzvyuj4HPO1gy3ld4/mM1LQp
vkXdYOGZH1T6F/WDPJCRQkCQKi6YWgkfgg6qB4lr02uh48dstE3hjkPNKnZcsaHz8njp8mDGdDEt
sFAVygzJdq8vj6FEeqEjICooVEKMxhQ0BZt5qaOloHEHBY55KHBJS5MGSznViVIkcsXOT2Puw8br
kDOdRCxa2uZ6ZHTuSIrZIkZ6GoRuujKx1lGPLxWPHVz7ySYPDEliLCSwLgjQMKMMhPVyk7EjXZg7
Yb82FY/AKgqQxzImw4zCzM9oxsGSurz35V1d8AZ05NvaY34cR0U0lInToL/VlmYNTzVmqYYzNpWt
rX+2UShtf5QmbFRRIYmQMRSrUFseWPxEx6ZVzUK/dhkRUb0tQtdW/bVbgmmbdHSzg81Fsh7gmp1d
bWcAncsc3Y5tm510yldFntbLguazWrsmZEmjkMhC2nMUVTeiVvlSp4SqCYRMomLGzSlaVAVvLU02
Ope8LnkIHi/Og4DLYjE470rRrwHhpeAnbSKiPY0eROQHRDb5InPpdlXMAkVJ44MQX0qOsnDy+roH
XgGQlzLFJCEcERXTw3XbfrbSRjR+yGfwdpEMqK0AWrOMNABFC9ObqyaDNktItLaEiJ8c+1CNiEog
+FhMFIOaHqLXy2PnfDARmjR9iGQlHU05YFF+ByEsCid2MbK6NBG2+IKWbu5vyw4hqGA6bSoQyuuC
gFj8UgGcCAYMRiy4AGnQAwUEYVAxl012n6ml4f7IurbO5m2U1Z2aj+bYT6CV15f88+FjGQsmeAz8
CZBl6OXhtdRZVczIPzAxQnzdzVgsuNxxP/Yd25o4Y+KL70HqLumElOKLRfMAaHAwFrXjTwwBH7o+
4goxiE8QIikksvhgN7laCq7aEH3Vxss6Op6CXkNRPVkNjZx+LNjCUlN3M2mTSREKu+IG6f62bkUx
p02EfXOral37ZuO49eSmHkzTfX1dZqtf/5MDYuD3FAGQYkCzQPYEkuGlzPoxiz1yy/R18sGDEaC+
RCAsNI2UR8nk6RDdtqR0q9OE0a4fps37nwnrJRUF/iJwrIQCNoxyAf2dA7sF+TRuaIb2i+SWFzxt
UcxBIFnWK+VTvMgIQns2730Y2AK41j8ZdYuzGC5NY6DC7fqR/tys2GEsIYA2FKgTeA+6mvOBjMqp
7OpM2/ZL60GXbku7MmYXBGs6n9EOCkaXqGyolk+1nuZZJr32o9MphJ1R3ORuyaJjXwOf88lHfScu
YyNWgDCxoa7UUdnzNZjajioI+PMg+XDT+qJcPi2VKMcyQVW1Ji0DsRLCqW0UsAEJBay6fIrraYJI
SwFZwwdQa3mINy3vaLcTsl8jbTnlBgCGe1pexXk0j0lspwJeYQE8wM5N1KzYILS8Lu+mTjSu3anB
4+GWUbuEcw80jE+qqvakTqM8q6fjnEFy/dzETcY+DWjAkBJknAPOGFxjAaK8bqGHgQSkL4F/AAKc
ScEpPjANms1NjlVbfVlw3QG4nwiSQA+NtrDVCe3dCOb6+oqHPkEkeATBkD0wgwxyuGLnUafHmo6f
6dKvxjj2bHVC0skSUogYHBdfsoIuYIQj6UOXX0iAAWCnr29jhbMvfJNKIYiE8MkJIgxQ8kvfXOjQ
u0iJ+lPNmjrQJNieR4/WaQfYQZddg7c+k9ZcD12cAz5oNbf5No8DGWwSSzkCORZI7s6qLBa3E/VV
PCfdiMVwE+IImdTxZbJnYEQIyBPEMtMmLBN4Tc0agR3aQUOOO8mKMqx5emCcXhHIOu2c0NLTaTh6
/cT4IILHFMIkJD049drugJrg5YlLkelmhOrx49BDdae23HsCIHZYVrtlkOrZscbjBGY7lYrCRx6e
kG0k2tWkaV+MJLvNJrGaNHFmqf0xkFF0BTRu6RDeuWpoO3O08LkEr8vGesXUeI5r8E6JHbjR60ci
B5EthjwcQ/CGqAYaBJb1AFg52tSLLRryMQ6agm+FNl83ECLar6775McwagD0zC7T0+riECvXkOJb
IDruIo0BxuOJr18Bkd6Vd5UqJDs2Y7XKwc2jFZeZm+Auo+l6xDmvBRBTkfR018Z+oB1wIk0Lx/3J
0Q6wDhxNYWi0Y3AVxBmgjpfaClOJZdXb+SPNhzVSBe/AtJZqMfY+oLgkQI0H65ZPkjQrmq0ji0Eh
k6irfN4utQB+Zqdo1I8fASt5EMcoCwrWR4cFokljIgUmxsaqXaNbD2Hz2JB2hLAWIC/CgkB2IvgN
aiwMoqhzBqKA9oGOQsqBNwaX0IoU8NtePmsoLKGh872wvd5nyh+7KAc+GgO4hxwvCY+h7ER/Alx4
XJiYhYs+DLW0EB32IIvoeBrKFCpLnT9zDvspjb9YkRyko3VJRgFeIkhLSEDufil2VACrI9pJfuh6
DBYS5hDAoACpg3xY0TLLoakRWeg1CCCwQeDVkDVQYEDQAymNfqrCtRRdnBW7LLAYggE45HDjoSUJ
GaCOwPHD1ECielYbsMwNiHKq4gZ8BbxoVUcOXCuIPioMhg81F2q4Qba2sBNelpCbShHWOvV1aTN1
gKrg8GsSgCCBYYbgz7geQEkX5WiaP2g9iypLQl/SNs1GlBWXgizMz1unvQCWVBGiCp1474w7RVVP
Jw58qHbRmc/riF1ktZY0daOd8ntkKnQ8ZkCFb0rZ2OqBFdXib2oraph2WnA1XrEBo2nZxEWjeJs6
qPa6fjeOPB4uvdPZZBNRA7F+TpHHatNAKwWnxRR6nyV2it1SJLoZPJtSaNcM4AzD4se5SqYIaOVi
pwju2a2owszyFE24H/ujFnhfnEG1leXhJGgJdVQql2pcFihrwRTbk6mcsz5xXVuI3aCAc9vwOpqW
D6OwxHzqWZVnG8oCwekMVZKdE5GHTm2UAZI9zXmVH0ugYzfOonE5y1SD0BEesSa7POpijbZtaWv2
cQZus4w+Koum6cMUJhouoi400Q1kDNk/ANcm/MdFDnljk9ZarLv3alqqldQHdmMHTY+4tokqLSU6
lX7pXPwV10XcPGjS2pWIFmF2j6oP44jSsho7XByHrHE83gAa5ZU4yuqoFJcKy6gsjwbRkq7Sjzpu
aAApT5jGnl0s1A5g0tBy61r9HhqvQaBt07C2lSe9yoyuzhs+lS7fFkMeRug18Sw3Zpexeuz5TdYQ
6k5EwXQe78BWBAX6fFgQpPWqi82okjxiwoWNzvxSzCdj3kXaHI2mhmyTlmpkEGCH1vT8dxv1gncn
YBxjBIw6BdiCL/sWUJdKwkzjSVxVREr4CPsvI2OgsZYgBbWlhy5Rx9zXpXeKDKeF8G1OjvEUQacN
Wpi87OXR1BS4rhLOhjUvIh4ZOE5OOSSVuymbBVJpwbXi+dU8tmMrr4ssKsZqJ0sakfak7GcVD1ei
oBxaCE6ptTKWPnBdfpJ5lkXLGWNVB5KKZgch+wKittP8LKKZl9U5Ns7g6rooRuiUbccCAkG+tQZT
2DuErHVL8xBViGxRrmfjNqgtCx9vmoAi3vxOctLAenVRKfWxz2PnUg/VGEiWxL2BDJJiodeXwP4B
siTOqRXTM93B6dNW44aKXaHHVWK0CiV82E6H6Lap5RryodGWxzJVY7BgAEsDeOMoKF/Dfe3+qDrw
BcTnCgk/kEu6DFarNIZSp8FmVQ9uGbTBf8PVtMq5YaoALinqIw+qiJoy1uzROSho3M4bA0grHWM8
S5eaWPM+Wvt8ves/haLpTQPyivRij3S/MDxdxIVctwwtTd8utwIsC1agcMl9zaJpNTDho1Xz0NeG
7ypVr6IZBgy3QoqN3Qh7GJoOlk2fz+M9pe4rEG4avuNTa8VtyVmmaMpGBTQEdFk1Blk8W0+2dApe
KYtoPVwW5idh9GA1Pn3GuIovfP2Ndry8oMj46PZZ1NH+9j+EvL8P6lVSXkjS1rAB3ER6+Foa0Rp/
ZBo6w6EdWWDINMkJzQ26Bbosh/YH3yvKLkMAUwOerPf5SYPVnPEEl3qYxZWqewtSGkhdwS0EphRg
V1BsZwP06NC8gt685gS+rGSO3FfoO68StC14EMS1/Zk0MVCjpa1txIiP5z5euTS0V+3ePERWViAf
wQw8seWyWg8/iVmDnebYr8topgV8OUPHSeqPS2RYH07hpHQV796Qln7uYZdwyPUt0CXt4DkY+6Fg
XV3Q69b3Ao2WcYFfbEUtk9sI8aYsThbCJXTvcwS8CtqOprfg06rI1/q7G0G/ZpDEfcUib8B8Og6I
FQ7vBwC7Vx1w2esLybB+sCGP4aNq0OoO9cLX/Te9gEbXR2j7VrnZQTMS3qsdxTk9LrtZ4nBG97Zi
ik4FefQsclUMHrYDTdUSXgIZwMLiRWtKyPMDdotAHwG5FfGwaV0UGpOiLs9gcV5omD3chKoFhq0C
eg+IA1CT7k+kzVd37iG/wnfl3Isi3pUAFqf5lKqumuxxYBbVdVpBc7MekqzLgbzCCvdwvw6ugw8A
jby6rF0P/8/1CFQOhy4YEBYOuPzqcihDBqTA6AtYHevcDp9Ek01QBWTzstr+qCCUF7uJOgIRJva6
6uNtVUOKrbdT1GSqO4ExHL9MnxH0aSHe5JW1ZXn8TCcXodK+2PW6gnr3fmYdDBIft4UGcRzRJ59x
Nq5AYF02ltnyierYjuGjo6MexXHYH31SeQciou20lHCiMh87vhULwhDlYLZjFR+eYMzFp8Aurya+
Z/HirhxBArgn63mDMQQ+PBg43O8MEHJRYqoF2E3FSNmoBCiLWdQXtMUe7hAzXmvYgfcd2NWeZFkw
r3y26xvnM3KSZ26Bdyx7AiiDshy4K8dZCaxdhksofesaaqcmDRUQE/ysLsXqT4GNBkj4vIwDhEoq
shlyXjdDpIGBAypW4fWGrlQB6eMSuPiianJ43M8VnPLzCPAsi07HrPPeXCparFSZ7SHdXcgyoyK8
Z0A6z9l2yopo1jsxtrzqoG8bYcESCSSQ+MJyCu3RBJKhAuUvEVvgVKKp17RR82w1N088BuPbS7II
FvhQapChw+m48DqT78ulH6NbmOsIwCosrVPiC8RbsK9obBeQQMHQeoasbSII/lBerixVZQCvArJW
tR3bL0LN2uGvbKpEdSmEa+dsx4jtQvRtNLiYsi1kNFrxpKuAhY3SuMLSf4L+wViGDwi6yHmeZnym
eroZJWAb96AGMzjyGWaugJo48mU/1AqmXJau/LSwnjCb9JAdJij2YTwGMKWUXPW4ByuvC0XSAb6M
5JDIETpT0+b5JHtdurYAmjLlnM7rsZ7CTVUNa/xTc75GE0D/q/Oarl7vaJ44ZBgxWb/jGEVwx5zP
640ZBXai3kLlvjLspspacOUc0GJ2uYQZt9sCHHX1SlWvV55NFjAlRCLFodkDRPQTK7uG0yhP/TR7
KhNMPIqvey3z0SYjaoDDZfOSKXIyumb18jxaVjqwgz4RfDCAZeHELQjsG/rHoGDoMqw7Lw0M2315
Xoh7BSnNgalEt/uKrTHFIsukaNqevS/3AavcE40uxislGlVuJSE7Lzxjmzqvnc0S7UQf3faGt3Dm
MEIXbzg1JF9hnGYTrCGHat1W/+RwkS0hjyQZ71cnb8naZtw047TapMwWUpqEw+BEXW91UYE37vYC
ga7NGvTKGCZEIbx3OCrONKGVjH9CfB0U9MDlrCOHCBqrSgr8pyaQDsBkQ3eJ3GprBexa5vkE3jBa
CLMuYqsHVQMQLzoZjFv3/pPqDgrXH7jodXkYaoQJvHW+H9Y/KGx9P9lohAHC2+fQWAAHDLuAOgA8
6fWlDogm8CYEM5mwFlBW8L9Yy/ofRh/HuHQw/YebP2wElZO1qWszxq6kgs4JRGShV6X2BkZJbi3z
DFT2HBxf38tLCoEjBPYTYw6Hh3Y42PlBpyQbKAH6tshvFfR2xBfD8YrHuw7+ymELI5o/l/OfF4QJ
byAO1slUIBfVAa9Yao9wVaPsxk0NJIocpgrDiZxLCHPPnv36AfFK2/1TsesJgbtFXGISE5iKPSQy
pwomp5pQiZvniDHqZSXtZwETSHw3sS4edkWbLf59P9K52NR9s8Zz6iE0RN3CIB/9ZEcvLR12BKVU
rCB5ScUZUHQHROOsUDTKmbqbau9UI+A68PGpLzOI6yYeDKhAs34Gz1QUkgNAi0ivGyla6volHRxU
9jteU8tRMkFomVMI9Q5uB//I8KWZKdST6bjvqrT7MPv6IQ7VCIpjiCIOHROMcXzY64O86wKZouFS
d+UamZYnINR2vOnfz1HcM/jDlX+f6oJxYViPI1Dk+iOEOJCZnACNkBj1l89pb8q1KxJkIbLaxHcm
/4+oNY6A8scxMIsQuMFV/xQO6JgBEz2Y4nKflgAkr9qQZQV+0XRuTRivH3CNLz+YKRgEtJ8YeCDM
ozBgNA/4zHFeJuMXXh7LJvIlT2VdS/pFeHCY/yzUwathARpD2ytmUOnLw1BXZ6Se+1zkx3soMnBg
R8COiKvh4/VT4ZcMNLwdJjQUtITXv4dSAiLry1jXoKCzYmrVPSqApn52KyLKFSp6Wq/l5BgPTZ2i
mnkCM3++gk5HUgEU7dJAm0l+LEYEQfAn+9qPiPwgcOAwQQQKBnee2tbx4dABQtAvkgYmAD1Md+pu
S/i09up7xEhvv3VLA+3eFAb9gPNVSZ0tUMUmMDMZcH0GKAKm5vPUli0wUueEASeCruuM57k9ngGz
cHuZTabE05xmBFphnzvnaijPfEFY47Z11S8kpMgi0dWb2HOgAM/phC0V12rfZywFFEn0Kmtq7KYL
mIIfFIzy9IMwGLiaAkZIjqEAkqbeVP/Dztk1R4pj3foXMQEIgXQLZKadTqe/3XbdEHa5GsSnkJCQ
+PVnZVW/8Xb3TMzEnMsT56Yjutt2Aimkvdd61g5aiSXyR+GUBfi1Ju9+lTvoHBgOsfTn9vqrBep+
Ps21GWIcKWhZL+XJamPg91dTzNC/jLHB40bpl5rsTHR/KTKDXzWXBGKB7y2ULNpE3ulliDZgx4qP
okxl1rcm/x8pZsZx3uR/FFg/Kzs4fiue7zazS3GRzRaKF3qeLo13kk34yKFDt2OPIVwUUQOpHjT6
PPgMfdu/EJTjnJxTv/BEXrdpGFxECm0V9F//qz/kq9dkLkGOg+V+hDKUwf3I22ZhU1UEZqrXcMhn
AqopvueAKrN1V8/YdOZn6rndpmf4IBenDbUp4hHnadEwN56FhApel1jnMNv3jZqjqC2GCMXw7x4t
sWZHmro1/hZR5xd2hpxXyYeR87aLd+2ogxAdOjY0txQIYIDI2Y2Tx3dbri4GlZmHARQTW6BkjCgr
fOKr9dRxvegtB9SyCnT5HLBt4UQT6kMS9sv6mYZD55uyStAIjPmQjYN6G6EIBSZnv6zAP/bIGVRN
nZ7YgPOk3Y9Nn8YG1f3P+g+C/KV+9eNyOQx/LY3+Z5U6Zn2HVlKBFDcytypMhwg7bD1luIy46+J8
7QLLn3G4TOxJjjzo94OgNc2bul6fqBe0Lb1Yq4NILLkSIdmuB+XsFRSW6TFTaVw4TptzJpY+hJZt
1XOFRX2V1BRMPt6+5rNVsn+rQzGVjkcVeuSeLAc04ZC64pHeMBl+mzq8juMq01O6CllmSBXg2w0D
tW8zl+zaSZi7re2XcIduYdkxH5IeKzYdvjfSPMVRIm9UEtQ3g9XLjmpI48A06is7GV42fGUPmWxm
0EFSfAk9V2XfyDr3yTiWtOLzkW3xsPfVCHd6lDTBn2Z+LJJ2zPYr/uQ1Q5/4qdxkDqCnqq+Zd/2h
c1G/5Z63dN+04fQkE3gGeQ/pSOcBmeqX1W3sow9GConBDM8ri8UujJfwmIS8EfkUBOSUQD7cq0WP
P3SbVQ8QNQVonoXwrwgWFPqsSEaPNm4bsZd+DHYAgZdHbRMIIdgKSiQkzJFo5bucDisrqoxXDXsT
Nub+GmSE+a7jpI12k5EL2i8xND63SPD8YAvNhjKoAnUcODCJMomW9sFZ0qF/G6YbqpdoLirWTB9h
q+XJZUgX6DS6rNCKXrzd2q5HhzL7Nsw6ew1VPjiKjjRxybD7fUXrSsZ821iEUAN4x/dVzuuPOQhc
EYto+9C6nWKQDhJY47ZprNyml30OnkiZUm5r546pqec6DyMpzj7KsBGj1SvsSnpyTFjYy6Nys9rH
0sQ3tB9cDgX6la7+e2iq6pxEeH2sNksJyTMUeQ0gOCupn8guyZbxLJtEvXvpUCuGsN1rnZsObEZX
ZKKmMg8MST7gmE85ifvxMEHAyONwWB5cNHYPuvFLV3TLUr/MjZ/flJNDnM/OuKKKlGzzFtcHJ5hB
C8SL55qtSBxb73msm74YN9t+tIPccphPw+s4iTmX0kYPHObGtYwVK4wKq2MixuRDs9SdLtEfCzsk
MfhQpJQqE8zolE2NWEYwibyPOv6hAhRbJUPd2Oa01fN9uqbdHht9mhZcbNnVEk3NPWg/MCdro17i
aZQHa1x0aKVNPxSpXlb07y+IXm3sMMvE5+081D88HsihWTJjdihP/dOiOK1ylcxwkrt6ycPG2uuU
d/Iwoz6OQHNr/sLHhX8SJ8lzq6rp0252+2GwwEubTfFtAuDhEOKkKGc3L0+oe4OcrqM9BUp337Zw
Gg+kjypwS5C5z40PE5xlDjtS2AoGnYp26VUGw6iQemwPHTXqBeQTwfXb+IhsEtm3KdHv0Avnez42
6iryPX8aBrXd1Lqddy7Dlov2fBDnMQmXozLJej9qhKEUY8l30llsDvHs7TnxA14eaG13EVnMjVPZ
ei1WRyboSWw8VOmQlGjbQX5CjuHXW6CqU1U16mGLWfPCIOm8zxtbnnHg11d42bLbLQoWkJCp2Pe8
oic47xEploH3Jdv8SLDe1bjf6mC672AN3NduknMBYiXcq7Wd3+VikhpN/7adFE/MDXBHwOnBMD3X
ZOMD9uzB7UjWsasIXmRh5ZbcMVsjY2ZU8BVUMQitk6fJJnjhB4cavMwMpHZ26iix2bILMRuhX/Ke
y+q0BrK+h/rTn4PEj6/9oj7wOzUEaBG96gEVTGuy9ux4CziRykgc+STjbyaozFr0zRreAkEyLyK2
dj40cU+SgjdRdpNUk2J7Hg4jPw4NkyX85WTLLXz4kvFtyPJ2W7jNB1KN5ykAh3DjgznDs07DdVEn
5PlgQEVORev1mMzDHXFJ8JCNXMgidaqZdg2X6rGthR2Q9Jp8czOIbhJloEYKXrCqouCQWa23R48A
g2kOl9IjLPnspn7q8NQmZMeOHbQC1RdRhsqloIOp7C1UnFYjmRfVz2u2Tb6Ywj49AWarkMyLUCLe
LBAIllcq0JUq7CNKLjRF4VSPwJ2u7JJmRxq7cGyfN+Kr2ObezSE3xxibXXjNEjgVh7n3oyobq6l5
4kHdIUcZ1z1XuQqquu+KAMmMJ0FA8+Rxk/QPk4+C7bCiAW6LMJvj8IRgnRuLWMFfuM16bKclMNut
nKC4Hdt4EQWC9d1xCbzT7V3vg5RvBI9/DN1QQj8augs9hiDecLcsScuW0qdt2scQ/vWE94HBdi1M
5ONhl0Smb05dA9c4H0bIz8W2uHnMyeBhSGWm7a5GkVDE51a63nYC8m3ZOuGuEJqMWJki75lBqkPk
8LqrlYRNaijyX/EKVz5d4uUcUO6yYmirBOGmpCOQCKElvkYyUF+WozQhSvr4ME1VRHa1bWITFyjh
mmAqwAwAkVvzrEkffZBMGQozw7zoC+ykC35gCgPhxHdsQjNLd43sZU7rOXJ81w1ZlDU7GbuJ0tso
sKl5gck8VFftzJKP2tpv29bUL3Ujv9Vc0jZHmzA8rWBOdhWr1CHE4YF8l0kVbLlsu+mRNj0rIsze
NooXcpabzDPA3jIfBjo8qbFPS6VSnxsETbC/2mX4vtTVts+mHvZi7apbOJ8sLCKn17nccNgk91w3
5CkD2KRKYaFBYT1gweTg9NavaJLdg5xHzXY6y+qTnsbpycx6qXfG1ba6hpqNUFYwOH49TO1cxuPc
77u5ok9jF0Y7vjTTTVfR4DbuXHITS5ipU61hqnO0RWUcV/ZjNJk5bC6O+zzMcAiXIbez3skonc7g
GtflWqq1yrleQ1fMXd0iG6uR+OHRUIFEB6hprnWKm0OsLIietgrjPyr48fOhhe9XKryUa775Tp1x
yuPwF2nXl6JFfYFLqB5x6oi9yXhamFE2r62oo29QBN0eMBE/TCEf9pnM2vugDVVhh7R5C8fhpW9B
qNVo3PZZXLXv0xovE+Jl0/ROwkodTUwql1fKtawQEG2PlYxx03UI5V04W6AJJ3ct2pKjXSPxvWtI
9q2r6uiti8h6snCUSyrn6ZpAyn6FKRB3lz3NyZy04XybVhVB3YrN8bIIk+9Jd2nS/ThcTm0X68/J
skDs+hRB0xwi95Rej3QUU6GVcAs8sG2CiJmtbVSQHvtIngaipbe91PFngyRul8c9riFv+6xhRYe/
W0CWw5povET8NDVxVqKFt71CrdXVx0FOy28SXVtTdJKQ8BsO3lXlPGCrvQqWLi0X2QZXYqbxy4Vn
2Eeb7UwufCDvKHXtp7FM4nhA57mfTAVKa6ooOcFSVDfSA3bJVY2S5uS0kZ9dvDhRaMifNhe2d9+X
xeNdwUuJPs1IqKtfFm4acsKttbuxteQI8bwGyiWQvLu64Kw/EqCt1X7ImuUm8ejf8gDlyFL21RzQ
XTAPSA6EyHO+Lrrv3zNpXdFpohFhDObwbNYseoLrxzhoJdRwebqsTX9YUVQdsfuN687NTdOilOMo
PUGXBNOZNGsUFKa6EIJ+CKncKWnB34OUwSIqkmZAHrez+9qmsHgQSms7FGlqd2ljbVH5WcSoqQmy
s2+jNmN3F0/Rqkt0FRWyjFi80yYLFZm694cgjNsxuUsRnmR5F82CfPTAWYOxsAFzbbWHkde58LZr
pnTiBbptl8jcbM2gTZHhwKW+bOCrIUNskAlJfDlaXw3djWcVJJ1CGzRg8r63UK1I7hAW4WavjJzF
W113yVSXK14V2DtICZFR5dbNU7rsa9Rq47VBVHP4Xc/aWbprwGUN447O8ACfkMiGJ3SQALiWsVQ+
CcL2vjWyw/eAGKUWpgVhDW/CAgLH7f8YAp6FeI66HX3JZePoG1U0bp5+iciBvBghS88vkm0cVU7e
YMrIBSkAx3DxZ/AebtlXnVShSw/gvTe8b3OkuXg3EvnWJh8ZBLgAnW3VrimOCGzHy6tpICiw04KC
0p3Dloc+KUytzdwdNrhu+LZw5LVT+0mYGe1Q0n4xfrwhBre35ZiiFMcawURNhuqJLFSKdJcCoBXk
GBoz+wl8lFhQ46B3qOe9lKzFfhwsU9mBjrqNAZmhdJccO6bnAkUUSw5iyQbvJdRhZFlnUQD1Mv2a
7OrRJaLfyRUkEId2ME7stKH0YzukzdMK7pytuDR5lMw82WV+I8kBfuTwKpnpXwJQPwsmAiAUlycG
784OFMzwFY4dqixkaJAM3k2p5k1pFfgZl2/xDFN0S43/mdU5clHbe4i49gr6tDhNYUWKLk7NbRt5
P+wkGQCRWQ6DWgb9U8vdml3PKOGynIzSJ7kb1248qCUEXemYXEdEV2z3Jbew6rC1JkOVpzhHTbmQ
zT9qEawOBULQ71CBokOsWknpQaXJMpTVwNxnsFXOyzyq1zl6ZJ3oaImxYeN3FcJYz3Vr0RqMW2DR
jag2ai4TDJS+Mg3t7FcduIvigoo6Houta+o98mO2CvaDiRigoXjmY1GFyTTtEh/qq0hP2Xtv+wSC
ZVbF9VRAUBQUHWrm9XlgaWhKjNQwyxuQDOAcuZKg/wqwJrNFgRTF4J0gbp1rdN5Dnsyow28djECX
r6TLdlmX9seg1hMQe0MR0QLzJwcgJbE3umQj5bDKgqU5IP2ELyZzdZATMH9Xs+wRCjYQzD43gBRY
GxV/MEE44T43uU8j6e49vuwy4RXjuxbMx48AUBXEw1bWpwDbsP6G5nJtHrJ2UJeqi8TiChVMelRJ
RsUntkjiD8Qm7eO0kuoW+Gb9VasIT56tmwNGVyEk222bcLkU4frCHDX3q+ob3ALidXCts2HCbpoN
CFF0lD9GkA+zkrcIREcQLUS5gtn5bSUJ8o2008nVmLQIOq+KPs1VPe2XeAzfUqWjnGfgIxvVb0gO
6M3nSAf5M7KesShjoy0iT/0IcJ8Ly+11nSpQc3rcgKnW1epwuby/IBvohgs5Zj7ew7mC/xsSBB7L
2hKLrTdADkPkC6ZGmJzUekZRMHp9S4w0pzqOLCtDWstsD0BDPq8uW0BDLyPuEpRC9i1RDavzAQX4
3RxcKl6NoShjjpraizxFvh6YTDeLpsSB3oIIg1xyvw1QAHIM3JDprrMA/0oSDmK3zQ6/U1NgfsBZ
BllaIn9fdTPu4ko7pOipf8+wW9gbt4xKlv1s2aOmajH4OEpnNAQCKtCAADjpq/iGNX2XAV+q/JCr
qOI3QdDEn74X3dEFUt+DIWwLsGnxB7J1ZoT/kXFfCKpbVWRrInxpVt/qvFdsqXamEazH/qtIf9NG
saf7JV3pa1A10p2hXHUEYsA0+LyXQ/QuOEiMfAAgcp5AvoS7bKUeTQGPkbaYq5AOuyFqm+eOOrUW
ODdR1aE+LxuiZnZ5bundSlbI0CSeqjPrB/KG8StRnVvTvxM9TG9qmaa8ESO0R5CeALhqiyXfq/ca
sf4atZULigCVx60yCAlq6C7fxtoE1wqTB/pSiS67W8wyHReKmQroyLsTdAFMaalC9grFWGRYBnX6
KeON7FwS6kerfHzd6WmJi9ay9VKthQOQnhEST6Y1u9KkGdNy4wEKp0FwdxhpbPtHpHhFqSBulQpL
PSlmQs0O5Ut0M/qpAbO4Rm9N5d0brxYMXNEmRLCQdruB9dXvwJ3DMqHJ8sJQ7h+ipIo+J5DxbyF+
heaBw4NDFOENWSB26wAfHKRd8NYx8wFwermXJvRVzpYpjPAebPe8DjpUNFEyHHAeqBFthiYlywDN
4LdP6xyr3xCpj0rm0KjMGAO05a6JpteA9clT25BkKBKo+tdSjhEsOhCgHSHfvYH6r3adhB6kPnFA
dYMt4c0jXfWGjnYa5KNKNCaV3C1tM2OX14xdmCk1I5cNeMH5dpjhNcAIne4SD8THH9YYGZK4JFPo
luY6NM3QbtcAzP3yUgm30u90TKbuqp3YsCRFlahwCUpmabIqbF4dKBt4beA2WgwXScMSQGC0oWxk
oReF6lIVumtM1YGKmaexo/skGVf2LR3HBZvKLLve9djHaBPSEnUe+Iky8GldA7RJwH4Bk0YZD9rL
I6ONlwZ4fYIRQLaR049wDnymSxitAAh3GLfjuwZOqqg7UEyyxpiTuMAanGGD1G29hfODJWxBCyOI
S5V6ndiK8R4lDGKGvg9RJuHac9tO2kylXlOWRrtQEqPnT4ORJZHP8Vek8MU6JSjJ8g2jemZ7VSFE
2PICivXlTpK0Dnl/aGpns/k3E9RbTHNRsQ7/D4x+lrqbYNFomG9ar6s+LVzIWWb3/96e+6tDDtcQ
BAgmU12YA9jkyAj+1TWEVMaWEOmFH8MkL9km+4txIXRUMMp11iQGSJoNXYAAhmhh0f2HC/irvX25
AIACiJBibhZcQphCf70AQT2yUbXIvrpfFzD8Ik+GjvdYccEEX+yXU/rHcLE/ohW/RmT9eZ7Cn8cr
/L88zeEvI/j+PM2BIZj0p8XxT+Mcyh/9x/qhfvzz7/wxygHjUDHNLCEhS7KLvZUCt/lj0hn+VwY0
AbLbzxEPl4zbH6McMPUOyhGoVqAYFLnpS8Aflu1l0Blh/0iQ7qCgDCjmeMIe/m+mOSDG+jdjH+HN
FIQEyCbGYfL/nVzoWtu0EcDPKw+m921pl1FiAyMYpOS2AYNNMjUsezn7+36Kt4sMaoswzHgxVqHc
t0jdtvlGtuitEgZl0jh2KeKY4frDLellG2vaglWIC1ym1YwsuOCY/bckAPJOjJCAbbk+eBLCe3Yc
ahEeoriqBkqfWgxvODm3bOe+pQuSmSbcrrJZV9gjUe8d8YZiPtMEbQMgG0yZS++MYQjqBi5Ki7wJ
/LTA0faw4uLinCD2cp1torqeArU8jrxOjsAyvrXZHLyJfgie63lMUd668WB4XO+QRCO5ZFreoQpj
5eD0g2X1Fw063CQK5BxRkIck9t2e864pPSXAXwDyHMK6+11CGQNGzdErjeEGAw/znfboSeR+3vDp
jY0fUoRxc5EttwiBkdzE8YOI2HNlzS0qnDFv3Pi0zlt0civ8l74bbR5DwsA/htPkh1PC5Fs14Ajf
osUdO19/4ykksHmyeU/IQ+e7bzO1bZ5N05Nrg+29A/JcStI0Zcek2eM4tYUQY4El+OxItasyKJ4o
Vy6XAEee4k9DPiaHbMvCO9IFwX6x3fRUa96/YgZH8ho5Altj7JH3qSuCep05pKAxFqcJ0VVv8h7G
9IbdOzguwFM/piRSz5IvFrUOeveCyH4HBxHN+0qvMDAPk5voMt/h5FFvSceeUy0m+FRKHCLtYQxV
6DW2jEdXfE4ZRHD20mO6FJhGsr6gca6PCfJVWZHVeniIeWW+ByGo3wJmGXlYINWfBzE3ELXjxjHE
ezFeqW/GJxJEsBfUqJoynsij7he+R/gL5DFpUnjRaZS3woqy6QMLxc3N/KBmIjHcTUawhoRH5QBn
HNEDC4kwjpy5qUFkI/ykAvqSgfu9SYY0/JbgxmFuQqnG1DPU/BTPEiOcmIJBS5wPb1Y/U0whaEMM
/KHt4n+HzboFB6YgBP/uebbe9rFChVGPSbfrM0FUjgFQhRza6Bd68v83+n85XvlP43eQZf63O/3f
51b/nPXz65f+Z6uP/sEoLKaMJRE2elSb/7vV839kaRjDMs9+ja7EKfA/Qy1xQGCNgLtLs+gCOv7v
Xp+E/8BUU3KJkgI3R0dH/5u9/q9FA0VLieoto5hoCVwNNOnfGLXIprMNw3q6hiQLHL0ba3pH1CrP
yM2x/4CrXripP9FLPz8LDGGIZ8FxWv29QLE6hIjFovE6Q/dz3qyPzq0h/NXjCZzmeeO7Px26f1Qn
f46aXgqev30ewp6IV6Msi/95oIQKMK1IshCfN0AGBguNgRp567bovLiEXGPmSkp20B0i5P9E/Pzv
P/yv5eDPBwsiD8N+GL69y4SRv1ZjcxBqNyGvgEFmy/I19APswx4N98lHm3t01cZfqzj8T7f8Lx4x
xdMCootjDTkqLJs/Y7qLxlTFlWXDtRoid9/1zfIFUE1sEBGUu69D/19/YIqqA1wwPpFjJO/f51C0
FxgoBk111QTVdJMxyUrfLBwNHgm+IXaUvv/7xxr903PNMPo3ZdAyQFdyTGH96x16HYVbXV3QnMnN
HcYCVjq+2zZMl4Migth/AX0oQlM9JhdCN3qcLR1fR2Qa16JJu228ePfZ4+Lj2OQKsQ4wB7LRJxhi
7s3H7D+sAmD3f1+EGcUYDLz7Cb5NvOx/u95xwBCJdljMFc1gBz4HQ0yrG133IZJS04wiYq6j9Qhs
wfcX05lGz3gH/WOAbv8KjF+aHoXGSIEB1sZHDQomzZv0MicHY4cwiQDsyRmc1dAcwQH2iBsoG52H
GBYQrCi6RaWJdd3CohVAoHy8sb2kLjpDEgjUzmThdIPZWu4xWlJ3XwkObmlTdqKfDPKMR7Buc3YH
9DtubxSh7j7FLpGWoH07ftWGNvit7RsOLPoiy16rqkV4H3KBD+opjwEfRj+wSp2o8wijGd3tknCb
PLjRr6cxbHo4tBSqkeVJEuc/NwKFeXdw9qx298G6uHvezQBFXDXLd9PG8n1TIblOEVaaC2etfGcD
sfeh1pjuxOcN25eD4r1rI0U/gAC4x0n1KPMGW8l30izuMZiD6JkuhpViE/QDY1Xi8Xr03L2nUD5M
gQHCwLl0Rd2jSRTuVHYJAmG9xgeCF6xeY/geqjRspR+9wXNkm8VzU0n0bDi+tI3N/BUVGv1Ig9Q9
ChRGO3AVlOz9JBZWcBc0MteIoD3+WqtNWxNTNCgMza3onP7q2ykQeUJxs7HH4IWDXjEnBRIO2uwj
zyoxXCMCMw8L+nrOzG4BevZbA0PplUnspyXGdGZuN/gE68SOafIxaSbfmxq6aT0P/MS94q+yh4OU
J6PAykB6ISgSEBg3CmIKgpVycvcG04HX0qbIV8Au0PLduRb5snrqNkShMHyrzsE4ELglLSgpAG24
1xX6FGZDThjie3n+iVsoGAKWwEXJII+yoNHFjBFX558/A5l1LAYfttg3tuYqwL0+NBnqobXmfA8H
FwsYs3ZhniOvKq9AUlXVDeTVUBZWr6BKZ8f4IwESjSGywAFDyIQ9xnCeF4AqkuZsQD7uCXOQQ0hy
FWY72j0sUZ9XJLhMne1FFF6v0ZJZhzxkMDZHDd4jOPgQAzHKGVNfqkeIQLTPG3jjMh8bzJ44xQjG
vCNatn5ZoBq2WDHiVdyvPojX3zQef3PQ42gPOsZMjnwLuykPAMTCgUdMBUMCKJ6zfpakahAP9BCG
Ru4xzaEvMJ/EXSOxmOxhp5AzBVlaWLteVdy7mwUTk59TxDqLRlZQXREXPieAgwooCtGbDuO5lEj2
54t30R1mWi6PazPrOl8qS78tSKElWF96xbA8LtyNBWt7lbCpHnI4PhMs7Wk7M2XqLyg20TmFNHgc
RZOeZTjyCq5b4k/RuA74wl0APX8Db3IY5bZ8cQGtqwR9UIsSi5sfkwpDEEo4m0CPoyyrXsmI0HsZ
BckLBjkFmGM5f4wRUJq2B0p+NSOUZ/GDBIsO1hWWlO+o/moi/EuOfdk94pjDWo6rsRFXaVDhlN5Q
+Xu9yHcaLfx18A08t6xmw2UgpnWPm2uqVwcr8yyTSL57fRGAMGjjw02sfm1pig1zirvnFtbdb63C
3A1ktijGtYRQq0RGyDWTHL455yj2cYxOzymk3E20Y4kIUVLvIzIweqQAvflvm5bRt0EFwXa9Qdph
1wQSK1mLSGoMr4U3g7HMMSGfW21puoOlefxf3EjptsEoaP6cNc38f4McYdJB9gRWvsvARKzXlJjA
lgTG0V/YozEe7xyYArNH4Auzlv4KISU+noFG9An9A0IasyD5BKmFn5c4sdQLEvFx9cnZKhRC5bKa
9hubRJ/HdWcSeBFdcBp6YfDohkrmG0DzN5+x6UokI7vLGhKWLd6qA/BOTOn10PnfMdgBtYhcKDuR
VWCkbWTxtSJQr3aih368A+pTq7Ni2l970rIzWG/+qoBuQKHsU/0V9i0/0QojFPIu3bBoZoOVouuQ
lUheXZaSqcemrJspOmNGFfbSOUWUMG85/o4FFXRIl4af9IqvpugxGAb2hmlxTRlD6FjIBP+h6TDL
Onek5qe0l6DV67jDfg9Q48o3FvugpbXWB5Cn7ARoDTMKQWv3eYvDZChIxtw9hF68S3Sd+0PmcY5j
kL04kGpLPjbfYsP/uQVmjYGDjuDeZemvYd/cQ9yAuwJ3NzmtxoQHxKo3m6sl0F8jAX6UR0Th5I+3
mX5kPc5HDYlxLQcqelVi8EDflD2QV1QMHi3K4ddlRZgl1x/mpkUlUQUBjq8MjO/N3Ct1Zb1x94tF
7TvATdpFWz/6Y7zGmGGbGz8k7hbpafTloeLT+xrPsrmLqcVVi0HiXle74SNHJXz2mMC60zgtUmSR
B8wGqOcOEjMLLbL+tUvSo+lAJRZgLPxTFUz0PW0ibKxeBe1plcoBzf+X2FmyYWol9kUwDf0UhEdp
muB3zM3hgP1W7nJcM6ocEWT8NXYrlgXrFU7ymS/RM+wWHE+1cmO3V+CqNlyJuDxRSP+AmCnm9RZG
MooDU2GrekJrz05tCyp2MwNWXA8Q7IyZAugalngLAc9RLS/gCqNV+BoFHt4FnhNKyyfo2IF5siky
rLIQa1M37LHvMPAAR5UEeAZ3sZ692PtOBHUEzArVcn3AEDb6f9g7r6bIkbRt/yJtyKd0+JWjgAba
QLsTBe3kpZSUMqlf/14JPTtQzNKx3/Fu7M4G03RJlUo9+ZjbgH4m3ahsRGhy4J7lNqnqfAczEkRI
COgLGAE5iHAz+6JkHnfNWJomjZWhDAgsd7egOXRRFau84vF379uIyFJOmfV5seL8wgJdBUI44+hB
semYuvQu9CKsQzXOAd+jC+lFMT2ldwfSZEi20GnepREh3evT8eDYqcN0x2HEtizdeYv+AAJSlfO+
AYnfIkCv+g1j2hz1ATISFdblL3j+6JlPbXKM17Zm9NhN4KjaYd4SFX41fffLqvRNvPjzOfuaxAAI
2U2spH0T1HraTXa9DQddH5cxgHNCF+nDwsT+UHCI7oouA7wC4RA8q3+1uGPzjqfNudws1QUnX33m
1yWK1JaHrnod7tO4uhpLMHUeS3Vja5neSSscv/St6123U120Wy+1SSCX7qyKK8jeE3ND5z2ZH2NJ
Jm2/kB8PLjymxXnOGDQuwCI1TA+T6GgV68+gC3kgPgMHNBMDAMfw8OwK0q22Jrm1OIGHjR4nE0Ey
mwjBeUU0VEV7OXaudQ6WsZNXQ1mxSeuMaJOHPTtynRKefbIg9P1WlyhgbifS7t3rZZSpOp6VxhGN
CAERTrgOLYjTsn8FbR9z4smjDB6Sfvwe3E1vEt/Xr/Oi+olQBqZR4QSU/TC4TL36hDYKUF+NRavk
sWoAcW1GIZzbbugthjZQhy5Dgyy6eAiHr1/3RenPdYGCB7DuGE5RKT6/LiV5hZb6Io9LUYX3ykLU
qR6WajnMaF72+7Zu9PswzIjFyIaT5b5+9edkWWp//hPD3oIvGnITpwQyPRR0T8AHHlHMoQABJeve
ot/ZXhZiINqrFNcFGEk9ZYnJvJGyI7g/3ML/OnZ/6NjBRETK+m+a5ovZzCdN2GnSp6OZ33/nqQtN
YISs7dC1HfAW/27YwRr9l03zG9k9CNGm8/asX2czdAt95Ishy7Ihf89m6NcB3BKODamXIUjE2OYv
nfHfPaxXTWiev7h2ZAe2wwCdlqLPxvZMP+/JCwXo3MmDpJuvx/pHOlQ0ob89WY1/aJqdvLEvLnDy
xvaLV9Vy4QIRvf8sok6I7/PpGig96KrXLxWwkk+jECRumGvMsYwEcABV9qT5qHFOqQJASFdFUFEL
EgYtEHxMfOIIBdXg61AsafQ9axMmq2c2lai1IgIDWwu9Rc/u0vpHi26ISG/S0c+ASZ0lfWojlduM
P/PIjvL6zchkHs8X2/i/VI9eMBF1IIEH6fFb3SnII3jH0DZz3hZdi6GMLhIQI1vX+M1ED9YziMTA
st/Mkxcr8HJ1l5UfkJpKJ9Sb/AayB3pgjOk3Ocf1ADrKvejh89zppRoRkuxGQUjX1XxAjbby6kuh
AHQHS0jdBYpx/mrBqNyUVsphGSkX8RIR+N6Nbwm5XhYqzqwPMxBuv9l7E0oxlsSKo1BLQnbY58PZ
/6LGf3a4/LvPH9BNfLJ3XwSNp155p3/rr7Dh+P+i88ouNurNtO75wN8jXV7Vf/m8t0Z78GGsy0jh
rz6/S58fUm4EXxuh9Yee+F8zXTT9PT5QsFOpdGmc/zdxw3lOan4gozuc9Zx8no0GpX8SOBRqb9IU
S9fN7KHgPANt2rQe2lrbUszTu9AK9EWxTE25t+1SfVGtP92ROy0IhcRN9+nJ6v1DkDnt4toPVHwi
NZgFG6a1GbI8DWN+g/FQnI3Ttds1znVKX5Zmg2hBaC+TQupqmv3xi5jItjd9HZEVoZ7BmYkSF7ZD
USyaH7FS9g2fkYFUrCrnDsWByDnTYZD8dBACWw6v37F7kjE93DFSipzrSJ7YkXsSq/wcrDlKNeoa
qbs03YUI9t1NdP+9gxK6DVCoX5xilwtAzasIwbrp0vbOaoBVpNBTq35kyzA4ZO4y2FEVM5NVdUad
KXrMfvZpW2RvyzG+QOw7G3akNvHHIesuEfejPMHAILzKe4rPx/f9P0pjngZ7ZEsAIQgeRMjeQJfz
+WMQdGrhP1XDNbOQ+GObcnht/NJla8iG0nBecBWSiVN9fn0xzV57kn3SlSPPQ40jJpqbf5jbenKI
wV5IfTmkzXUTMYxBumy8hpGNGFySfXz9Sid54MOV6LozAAI5FHP4Pr+SbJC+6SBLXcO/9e/RrqQW
TlSk3U0ps73doaq19WwdtVuYlXP9p01jNsXzL8pGcQPXZzyCOcbp5VFOyEEEQcETdONxLBiD+xL/
1+oMPb1hD6Kz3Wj8Y7Kzuepm2JVlK34CCUcKMdb+myUE1L315gK6VgFl+g4akOvtskjrn5ISY8c8
rUbADk5lfwy8cB0fk8j/uD2clw8KKAphw2RI6Dz4JtF98qDscAyaIEisK4zj6vscJCS9fKtUjb/x
NDLTF3OWl9/oZEGeXTtUpkBp5VtwpeKXEuvabnWWCjB1xfQzR5voxxTITFy8/ogRHzldZeRd2UQh
aRaqnJQ1z+8y7KPcRmjMuyroQiRxtOPUXM+M8GYMQGEcUUbq7HdTrYMRE4FMwERo6NL28qzyJZLf
VVe/l9iMLBtRzemnuajbc9qMaiODTt5BfIx25ATJdmwL4+unPKYWSTE017O0BpCxgCjT1IkZs6xo
H2zdKauPEOSq926Rvk0hPC4bPPK6a5V0t8qtLY9Ck+zCybVLbPDHdd3Yc1S8qbIg+pLY0HGyMHLe
rODZ4u1sZ8AS2XT5uRUxINnMOlp3zhzgzFQs3+UAuXREtwkocK3EIRm68RzzBPcWZMOMpKiwnHyz
ZiWNPJRW4aQ0nfV1rCFGSzmA+YQhe+50cfUjnyQOY8Deyw8MghaxmQADXgBGGLeadQCe6cY3EMCW
PSDE7uA4izPtq0A4MDBnVCm3k5sl+3rwGJDI+CZLYP7u0NdSR44ad96irkd3Ronq81Lb2aXbx/JD
AMUAaE1huQdo7ut9FLb9frCXYj1MZZQeLFCS93Cl5l9oWshgiwIFnf4mdaf0sFBI83LM816n0xgd
+hYrqUp59ZFpH3T00O9bFhpK9KYYCgzvRDKj1dEGy7rxVZVsPWU1NQj8cp8a3Zp3s+f4u3zokT8o
2Enq4KkZINJCF/oNk8O1SlDb6VRdY8Nm2Is/MuwQ3fXLMFuLQYPHPaG8/e7qulBeDzllHKV9rUqF
SARsg249Qw9DJQgL5FT8hVu1H2x6FeeF9qhDR55BAsPOpqkF1yVC/jNJOA9VVc7dHmH71N72lXKS
m6wDNNAeSy3oOJBlxupNOCiPHTUnrUOnZeQsPIRWViQ3E69OmG475rJsOK8c6gPDjz7egKIEQ79f
oJttrSR2YgCeCWJhqIcktDizGKODw1wJZopDQlZwCJq0XrfRSvd727glNO06M3X8BBJnoBNpIcLV
pnn0yxonDNV2dusq1BSiMboOoHQmF40nlAiKbbMM3aqPg010g32YZgIdtWFishT3Q0OLrAprfWSq
V8tt4ILo3ool0NVZj4qqteWxup8sWdP0g99T1jv+Z1s3DHcsepaqaT4xqYrrc6+PVbUvMxW+X0fl
wZaGG+FcZnM2CGaUmZspqoVJNh84jL0LoKpueRgld7BvVZWu+8hZVhCmBZOwqzpCEGFv8ar0SG04
4wXD0KDaAXFKx51AckeC2jKVfYPJzvoT1HAcQohTkAXRk866c8fO/SPQTMY2qFF03i5v82S3jkkJ
zHnuZYzg7Fz4Ww+VsBVkebFal3SM/IMjEyjhIouF3Dt42rTnWe7M6Z6xToZ+Pb+3cWLw6GyfFPWk
hab6uoGAZn3tAWBrpA15j9xrZ8UKh/pi8i3vllrEHa9DGWuQaACVr4Kx4UhK0bDhL8SworwD6r9O
8wVqG6OxDkXU5TDMwZpfOipVt37hMjxdEvqikcPmRQkR4ZL9EK60VWGcmNaph/L6FqzvPkf99ks1
z2QWRVpMH8Dhzt9kn3lQ3eY0Yboc0HpqwAN6h6Bq0T9+mGFDJvT8dw/zcEdBGaMZisTyVqEau+CJ
Vxf5sYeTCTcadJd789AAbuzObM6i6Aaqo4H+2aJ9xq52N/NssrnhxlpI9M4lJ1j8EbQ0u7smSva7
yImX9lwNceK+LXpkEt67URP754tfMJpVizLJZ4ZVZ1Ay2d23c82l23alm7y4tVph+gvz5c34fSY+
cV8wBRjUNXyLsUMqkbEC49NtXE68OrJKy/xdgzgwLNiRrOBxtOq4qsluOsfXgNc9ibXceTb3y3hV
MzceNrk9dvA+bbChez11tLn5GZYy34gAAuvN5MmqqQGWePEFklw5ADr4QewL6MT3cwOpC3Jaod97
arGHS6YmDPZbiVDUh4jTgvGl7Vx3cdp98ekZgtrzs9y9YHgWj5f4eUBC0L3AQnNFCexMuiwr1Wqn
v5dVGbxdxgGeTgeGsPw0h3U6HOG/1r/QDzUxJO8YFVAHRN4+R16Elj4OR58sO6kP9SzTDt4zYU73
c/Y+R8bmEpJhEewCt3cRNqwCn+MocxkF4fKU7iu34TXBB9aLz/2mdfAIJCDri8hhS+2RLmCPFAFg
owMcumnPITN3l04/usD34kpNnLTeZJN64w3Yx+jCWJo0/WKNVe/8QKdED7iGOWJCBsHlo5baMeoW
M/JT55LHMm8tEPjodE+Tulq0gB02Dd0mEsPRr0GpH9fZqNZAMB7WM1mB6rtqwsV/YykYWPusa+rp
MkVoOttGwVBnt2QiTLYAGCBdI/Jh2mAGScMhnqeo4xTQ3Ycq7Zz8s9MyDJk2qCuU+k4qyPF8GIoO
+wyZ7/TCSuT8LUttUImVGMLyHMit824ZrGQ96xmp5/t8HdmkuasK7+1SVmtwXYfSMK/lZIdXvpMh
KcPYbR4wswUksJ8jMAJQRIXpTQxDhQujt/S7qUJh4QywA7u/9JdU7HQCq2ybSHjOn+DCOLdF1rPX
OOkM2iCth7dN3OAsNLoyRt60zmCsL+MX9KvnyNmU5STumJ4xT54Rq/LRzqii6X2X4JLF4c6O3svc
42lSOGAVnHuqbN+IXmbeW3dBm+AcMfmY77UsVnpV9paZiQ3wNZmw16O6qqqE++8RjD0MWQQud15s
+1x3Pu+9DkMB3iLJxNVDVvq//usf+q+oFVIE/Vsl70Un5f9V9zhuPO2+Pv6Nv7oobozJoUslTXlo
Gujk+n97HPoA0vGtC1yKcAOZ/91EMR6HeIWgtAfE0AscA0L73UQJjP2hHfOnKEUStDz/v2minBiA
m9uhGMK5gzjF9wSN/7zSgDSia2Y8/s/MXvFqruo1Yco9zzjowVtXhas/FshFq8OgaaNuhwG5xu9L
UklEzdug7dyDtAwxtET5qi1xfEvM9C2qymy5623cxPW292W4htBX0C+wtrD4On+CBo81L1lDMXLW
UVxLGKGpLa35jvkKAQAVsxQnIx/OLczhdbSD6MwbUqatmwXqPGyUal6sKDk0E0JH+VYPWYKj0pMH
+U9NnefVrgEAokxHi4n/0aJ0T1enHUKy/WENfqK/PYEGQnoBlt6m9z2vvIpT2GSocTl5U/9icJbr
W1xCjFmVi2wL36chr1nuXr+lh67M3wU4tySAfweCmhGcKy20kwcmCncBAt6nPxxAJ+WV9CEqXayI
zYP4yKwwR1imRlDPKYi50IqhkS6ypGCwJcYnKLYYExkxBlZxUdngV7P9mqTruFurhUexV2rN1o9Z
HyJEjxJ1ienkupYOv1bH/hB0SKIMSDf8oSp/3onyOd3NHoxjRgFODMzLdNWfFOX4eJPfAd3/ac+w
tj6gnGC17+sqade3r6+eqe6fLB4XAhZspmcBxzJEEPO8n1xI0+qO13BJfpj6G+URWSUlxsiuzRvO
GVv4N/PQGgtJum4VpjESHdbpPeqWeNG8fifP+xDmK3u485kxYmTq/NNxnuOlmrqoCH9MQ9SH14HU
BeV5TyktvIuUxDP4ky/gi0WmXwJuO/AY3DAnPTVWspzUQpREeN+rsesxqug0HRdMSKLVeB+8/u3M
Jny+zgQu+r8AsSHvvLBedPOmKmUeuD8WB3Ne/ydFD8Cg80SO7DtAomaJKx2O+Du9fuGXX5I9FJr/
uhG8oVM5ScwiQO4W5fAdQtwYrZtCmHM3ca2c1X39UietJPMIAay79L/phhG8T2c9BT4nJZqN9Y8B
xFEtjvQYmrsKRE6HejsmGqm8WeI1saGy5H1jXAWmDE+3YhAS0g04o2RJ0MZK6vhdUdDkBtY2NW71
ppzSPtLHcfbxHDu+ftMvHkwQOQHmlAhiOTb90ZPo4cTUTgtg2u+NVj13gc9EiWkb/WU8S9o6bD2o
+/R2/+SB5bx8MIaBBYALaWnfxRP1+ZuXWI69yD6wvlHJOy5VA9T1Eap+JDM6go5X0RM58pqU4h5N
OWbIOxiqNFS2uNm4022O1QEVBJ5Kq8Je1ynig9eELo7SIEMhLv1hlaLT19OYtgJ25zVhMBcx6Xx+
u0EKgqce+/ZbFuUopiINp9X6dkCmik21ajvV01k8kB1e44iS8zYNAEg4DJpQa4JlXPqp/s4GrItf
4WCm+hx/wHXABjv0Dn89BmCkI4kuwYIK7OcBlCjGX1hIlezUqVIDT8d4lHIMN54z8USyOjEh2hqw
DdU7lz5J9I5GlFq+rNqkEOifrAlr4QL4Icjba24MDlwfgNKMjSxqLG9l6Bf1z3AesdfeIMs+rG95
/ePgc5M3bM0emzLu0ZFF3KBSgSzCZxjUsmj2Izgg7AiVJ6bbqTceX0wyjb1Bht4LS5JlYcszg3aE
9AsKYDRRNQ1oaVRQ0aw3loCtXRTIOGhY12grDnPh8puhkxsBzBx58zo8C6YlU+8UegQcZrqD0aVQ
0AHBhsBFGnPpv4T9vdlczUq1DK895IS6L12Uo3uR+FOXX1Wg9SAkO8PSXGawe8eLEd0l9tKCxhNL
B9UJq7QIFBGHJf6v5sxEC9zlbZNRp+D7tn4jsSv4/QVgKj147wq0dYudbSfGmiawG7bfsKQmiP32
jaB0Mca5uZB0zLaD8bz56zM62YFP93JUGCmSXMwglo2XrQFrMHo5kqfHRWYER81QC6Pnx1X1S6DC
3iaAysYvzLPKyoum6kdcoJwsNk4VHkPV4peW8D6yjdSi4+sR6M12aWPFqeXRDmXTFElY1O8bFbQC
aQTPM9sF/SuXd2pCJ5Vdk2KDwTPzFpsPhI7rJOJAa6SMvAuLFrj+3lEIsobtMhVcPyAwOsmHqILA
WexWMUbVfJ6EzQT0JF0bk7sV1Fb8mQ7JFvkSRQyq+qqDQdHgFYTkHncs3IkosAdm+mAq7CZm//bg
hvlqaeR13nQRo0DBp7S6pYG5GwsACwVPHqAzeZjbKm5J8+35l/MIIrDY+TG093Abop6lv+uoQ9Z9
5+GG4R+nMDIu0UWdRyZvSyZgzNeDoR9/zkefH7axpw3BvfBjs8Yd2mrFr3GZ6XECeRFmz1WkgP6x
gG7D+qR2aLaoSa2nWxk1/LNzoooXWBSK2EDquJJlwI/jPacgX03wMF2Te3gFvXmlseTiQ3tmqTyJ
YCBvRIxCOt50K/ISOeB91uJ0qY+gmYaivjL6Jnxg1xvA0XYlFzO72suZY4Dsj1dso5eoQqRhV9i3
GI/n8bSDFCtMZMqqjCY0mr2HAC0wyZQPPqVvoytlMI8pQPT1baD1wvaPBgac/j6uZ5oQJAroWQH+
hM3XQ3tUVWdvQ7Qg8xuMvvIExYliNE+4yfG0dmDAi2GyzvPBrnJNc6ZT7bBdqmGwZoTJBsCBSCoO
PJvOj/I2uG8G7ILQ10QqIG0/xHWX+MgHDm28RNuQLuNc7QnEhJu98tIC7YhUjm0cb0by9gVvGBf8
6zHxmESl4BtKwmz4fWWYgMsCwVbznZHVK9ccH7hsybL0TdlmoyNgTMWD2Tw5ksbsRAU3UR5KVAb5
ycY5lT2U0L0s08t2bVf+rHMhCsDyCjDC+Th0Dau0q0ueR7NZbMsZu2vo/i4ht2i6kafUMF/gLIDH
OvNZcWebKDiy+OxcO8cVZzrYSs78JiVMx5+pPjFxqbShYL6LVWEyQoDYKeFJ+guQjUuVIbJ0PbGK
vAv01gY21NT1nm7PefrGEzSiL+Yfo2oASnyZLRZ+dlvfQb9ZHgiXHEcT6E5OeYQUJG9e5FfmkFVq
NL6XSxjkLWMFpjLEBx1lln+z2Br7MaTDaiDukmYcXylq+7ZHbN41KRYy+qX+Xkcd1cjvOoSobxZn
hvPbYm/bE1Vxo8+K2bPO8WRckVgEIJDuumRukr2P9Gv3IXn0r2w5/PV+0rPgjkUxW6xSi00fL3Yx
rqTTxygfzQr+3tZ1Pps/0z5iANCEUcngzsPWMuF+QAVjNahWmzX2RB/384ZMNLV5P6005831o4Rx
zwaTPSGv3ZywuxtidB+AXK6OxvKlmav+g10v1e0zL8GwkVPJbHAa5feXhoJ01fPua07MXQ//yUsQ
3ZHK3iCepCAsMaiVzebPvoIVxypChWpymH/0+g++gj5IbRfHs97S6gtIjfHf7oIFnaKFxnjlakCv
r5gMxvgI2f0hgRLfXj5aDUJfuZpt25GHp3aDaeGi35mLUImLQaMvsvkH00HmFcJoXQowQa9ZD2Ib
4zSgbwU2otss8QLr7aMNISIafdGCmxJadvuXboS+5Q/rR9WwqzcA6v/2JKxQ8GQ4ivJRui4bINwy
3MX/PwaFReAxfR2FbMXG9YYAFNd/YVPYRuXotjsnwEENFTKPhmd63bt8meLt7+zb1hX2u+/ntG4B
+c8t0w4w6LVXy+Bu1oGU/k4mc4+WWAvJlRwFrVbcOmkOzrwwGOaYXBPvgoIMqveWyRwrMYGEl7uL
TPrYc4DzOmRIOhIaasA/hJIcepCTHAoGKSlsCA8VlOhyhTVEShpk3cTREyDowimjmiB11zMtBJ95
GIPWZH8MlE3lIFBY4G61PxlX67Gr8/Bz0AwY1Z0h/CnK+AzSOL0GyfiAMBkMA5l9xPhBume+G5AF
QxowWXRMK5lYVkTARObLxJqTmTO8HgJ7j0piuHrH2Icb2B8blzrbOq/H2uaLkpcw3TJK2L0JiHXl
ckbPUEtJTWYdKxYIWSlzckbdvHCnPaM6rj3C/m+xmPODjj9DAGnhw4zHKmFmwHad+wdoZ+Jk6YuK
X3ELJ+aOGtrDTn8f9xgR5GeP/t+uGvvw24wxUXsIXTAObwDCTByLSkqTSzVSmJQli5VZI4UhnXJ+
jdagy3iHqDB6SRvOQ/oGGyGThbWN7T5g+YnhxiOgfWj3hJiRc0r9PsGg+LGOJZq2RLQwBuLSbBwv
sVhImfpF3J7pHL7Jr2q0WFjCDBg8uR3xrmT7/LUSa4ehJ0wNmtL0h5qMT2xr8O/+rnQaHaFMaOH7
k29zmzzgPciCJPhcofBUov9vHiMHpuN8pPwb1W3UJQvf2Csah2c0DhOctusmLac5e7siVZjEX6aS
wWl5RMUsredzn3R0ul0F4jkoTqzSNJ/6Hpx5dg5ryyQVtoLSMqOoq00hHyE+Gn6u6dc5C9wEtA/V
DpAPWUqKawHH5dRKRtdHW6bDFL1dVea2OeIKCEjDeFl98x54IFH4qhOzy+kWpo55RXCHMA2vpuj4
hWRCr+i+cCpK47xzzAbzEtwp3bPOFagTG3qOOV2zaUo5NMd2JlHdep4kC2QQbPJNFZr9mFRFQWZt
swLFr2QVDT/w781vk5Wg8jRXDFqinZNxXyjpZMKkhiVC6iaZ96S528fXo1QBSw3ToeWh9sPiqRrD
ClCUX1G4SnMgMwgEC97qjr1QbXNNTlAc/N43e7dq3Li5qmcnndQuxdCUqS8fgIz3rpqxQ8i3UK5q
rtWsPV/BllNumhUgaYpdPLWUfKmAc30/9bi41ZuhHKUiuOjZRw8f5mHZIHDtss9q2zVFYCEDKjYb
eWUeyODHpJcUnjxnJC5XfenNLvUTSjIag+fFZbp6P2UOvJpt8pj5QIGayDWGNoKrg/wV0w4NG/ih
Io7WBqmJw5KmNtVXk3YeP6XULExXLNTqv3vIe6xvGRzZwI0ymVGOILmBMdgxQvVlvA3XCobZ1pod
1t/KYlN0A5UzWVi/OKbIFzHYBLVJZcv+SIYk5ampmoYudgiRxSA9h2vdkKOgw4/VMUkIMWB1Omre
807IZoYcOtVspxCEEB/UJ6sJlZKYHB6lCFDJ2iPiyNY/OsjtU6rggKi/P756zVSZ1Kqy6hj3DEOE
GrqdmnBJYGPgt8BtMip8mKmC7JubG9tflobhYLqaijuILcVCzogh84rD4UvlVRiWPsmrnov0DIv1
ZXwXLmLFI2HEEOEYAR4CrzZCmMN92FsQqhSHkEEfHxP7qidWFV1jMlEDIybOzI9V41Iy9s3Ou2Ji
Rn5Fwj9C46Rz5VZ7FN5MFfhYWFTJam66xVNQA97ogBNKWK4rFa+P0h4bnSLJZvfPWdPwSHNnNLfO
GJ6TcL9ALFNqby3IglwJSXOEX1w1OwrTUROwFI/RAmmJJ2X+IK47rEwGMg83a69dTIWuHyNHzHSZ
NUQ9wezK17tG/9AziugJAjoCfRg4pw3WCE4m4o7V/G1JlKkz4SyBf9ohwt5V2HWOPd/3D5c87arR
poKXEUDP8I0gx6k4gsZ6JMLkWH0LQgR0flWPW6NCgIij6/Vv9/JSABxdIzrBwIjRlIGsPWmduzCu
AX177Td0rk18akPfm0gKCdbErtev9dANfNo/dmgdC8cLXMCc4cup1MCcuTJSdd8Wrx4pZFCTQ3Rk
Gyg/4zVkEmscGFdkXMv7sfEDRtUjCm1RtZXKpe6mC2EmGzElr4k9j5H59+yjQfzTpEgiGDgTRNjN
/PT67b9YKvzgoTSgC+JRjsOaeb5US49kUYoY3T2C+wv3wQFlykIOV0qo1y/1Ys95NIZjRkFMgiDV
nPa7SaNyFx9KeR9nkTfqY6KRrfzorMK8ImGSzn/ccqcjFIcHA7YWQDjTBNd1T/ZB3w1elNK/v8cf
2cQooDl0EcecyP4+dWNzZiUxJuMkE5qff1aImfQ3RLs6OH/9u58uM1PTABKWmaryusHGer7Mc6MW
ZAJS7ys9CepmnWFz+j1qEBv7kyvY6Sq7gWfzbcEVczWaYyfN65LEEP20wvk6YlZVXilZmdI8L3yP
Qz5zTdb4+ld7jmJmaAKanLYzQ15EcQyU/vlXU0W0Ekx0D+aJOVG2x+bDhDmCoua5Jn2HdTEKU6nO
4q0og4yT8fUbeBDxePoGkmrBJrY95D8Qt4E89PwO8KDPKkeK5muXYbLc7JllreWerkcWF+gum7Rl
6jOTGoe+b+L376a4FSjT8qpDnICz8/lxceoiMC0eWv+at7iFBES1sFZRw5GAl20bIaELdjGCr+yU
2KEZ+VFzWMLmbSFbZgnsyGzjEZ3IRZQYaR45oIjmnPSNFt0ex0ogIOc5o2WQpC3GSFxmmAaTdlm9
K6hiDFyHZ4YjNbmNANLJx0v4atyWeGzQD6T2RE2slUzShH3CQ8bnwsuXRoqtIJLgbDyz/sif9HQm
3WmB5H+ZNSVt2deX/8WGQ1sFc8YAjoTrvdzaI5VFZtmr/oKEFyz8YyqVKYHiVZkM4HfL+vVLmrfl
2QMn1KLGzYwGXDlUypM9zqAM8vAQzV/iFCE9bz/mcVheBegylta1PdjcwcavILfKw+IkJim0UADi
X75+G6ffHIijbxM50QrkH9EpKaEJu2bmWWZfypb250Ve96q+c8sZMXp3UH+wAD2NIMb6UXh0ikJY
KRBdTjY52nppDgxt+DoZE9yPQSHMtigKaTKr17+Xoew9XV8+HeA5DkehYPLmwZt7/kKlQHSqqpnc
OzQk4PYntC9Vekhpo1Lp5mDyeBcYeNf8n6Bhw75cApSkKNaCPtpI2rq0YCh5zPxeYqdEHuqsvknU
85QKJRMEAYhlBdLlW3+xTBsgUmHLSzhFoWkTlzXTkdvJgnLfbCys/8BvppaZFDlTbeI1BUEJJxrZ
4VxXh6a1U/8RQvQf0fcn680a4Dbq2byn6MS+nJgGQKHiOhyXO8jo5mSGMW5eOWtu6dO9vt6Gnvh8
vQlggYANjGoUff3T/Ty34Mil4ye3kd8+XGsMaJ2WU2dS/ZFQTwh6nL1XgHRYhWZpTJf090/9NJoO
AZRpFjfwhelnUgtKIp0LFIuOglUWo7W+GXhVsYrJZV3OSDyOFEz7EqAzRSMOp5Qlvwd/TIvMEMmq
Cpd3Z40QTJwOU1ubB74GBVexHqbjoBHNhSeHDqjaWUbRlvHjowO9mAj87U6hfWQqo8cRGm8kexeO
vymek4Quh7fRTj3TAnl9SaPnj88wm5jk29i3Ys6L6ah9soU7vsEU2TL5jhOB+IwpbYBCN+PRY4jY
ok+PP8N0wF9ifAvwft5JP2mOtVtWH6c0hxfUoM/P0DT18KnQ0bCB397dJdSvw9tqGaZsm0WTe8zj
4l3dCPv7JP1BbsIepvuWWU54MwXocWV2PlxxImUr1Xo2lTtrKLxPK3Pk6SLBaynYyCq2/R1dw/Kj
tVooNaoKBZUtyLu3PqdSefAry7sSup92Supuz0y8+pgxw7+oKpcpQWHEPDhEZkZ4yqm+gpoILjWC
7pC9EeUCpS17cetyPt9LRDkClPHDjBaGUdDAB6K5nYU3fsyRVgQHZVt+s7Po232BCoUYkiX7D6E/
DKRFyXgslhFHQIYUctswL1pAO8e5tRn9errAV34PWn+iYZMVxacRpTu65slYoqTQt7crSvE70k8L
nU7L8rconr7zlba/YSQ8fHXE6t9lY4AS0xLWl6UAKolCeH75+o54HqzZEIyVCWaQ+pjpkyicbIiW
9o/ogrT5wfNC2wphm3IfVq1CmLS3w7vXL/b8hX68mAAoZ455crjTjAStEVK7Pm5+hLaowQgt9q3T
SBdga11eTb43Uv+lbf2OESEUwNev/WLnP3xNsDqMbAjip7CJMRjiFq2K+kfXGEyrV8lyOdQefjh/
OCYePunvY/jhWxp9P/I+mD8eFrHPjwmg16WLtHr2w5lb3hnP5bjYtBQ8+W7JKvG+cevkfT4kltzY
VRDLnTfJvDpDmjncLZApCuQ6VXjTh3180eC+dcd5O5AnjZX6WNckLwCya7lxleO/s6ei+VWPSBU2
tGffTa52P8UFderGaR10qdBxufFqCIloz9Yh3ZuSWZwzxzTW+lj/KNpUbQtMkA9OGtj36H570Fli
7w+50Il1NEti0gDSINYFmWD3NCVwLDEsfqTXH/5oFh/njuzMa4vquKwL+ksxCvNWvOxGN8X4vkPq
4ggZM/iTXW9gVv7ZkxEGrGnwIA7AMYiTz5+MUyY144MMA5Nxxc6ravoS4Xa49buBKYnaTSClj6JW
Cz470Dne08Cvjy19qytoSHhcoC5u3axO6h89LOOYTyTx1xrnFdwkSusq1414oz19BqTdu6UHWt20
Fg9tEzIY09tVLYxdEBVPtkLG4j1p49QeUP3/pcMiv/aEzM9KOsXHPG3lTR2oSu3aZBi/6Sob7+zA
Ld9ZjfEYDRdnPniumnFP6PP0dq5itIsh4PAFsgVX20mljABE0RXZVnAmfvChob7JM+1/cuhqJxuG
DsHyh21v1u50bSHNUu6HVLPilLU50hLmuQssOhFbucbQovgIPlprVNEa+9qZqSX+cMUT9jC7Svwf
e+exHTfSZesnQi14M02kZ9JTdBMsiSLhTcAFAk/fH6j6b0tUtXirxz2ogUoUMwEEIs7ZZxvaLFi3
8JEW262PbpbkpRVtydH5mjWZfQQ200oSGpV2BlCZbRlE9Oz0Ttx+byy9uE/jqT+l0M+vCV21tn/e
Xd69SX69fEpNtk+y0THPNj6SAVtZOp0fV9UrvkJeQd9eR891O5OlJZD4rQQpNyAc5eLJhJ1iotZZ
4jr7BDrsGpwkCEIGnmWybmvXeyTPdVygXyD0SuuS89xNu72wrOnCHZL4EDtebK9qBLRy1SnDxGu3
0UuMIw0Uo345O81O47Zss7zXzgPXGPkB6WnosRJ1pSb8KNcZQaLbWHJ6h7WR5qeSMS8VpVWOMSKs
gqzRUWbMcO2suHdGWlNqke62N6fqkJQFOrLWKz2dlci4KHRB/a6sIK0YucKom1b1xFypdwtsf4l0
ac5lE3QdgcaNC6/WJ4boADmFzAAdH6cHwm/TRyKK+jc7NYne6saMqJo/P53f9x9WSgBpDuoavra/
4XqWKaHATjJ/RYmue4gYguwbLA+FXIJHRk/lfZ+7YUlm076pMSM2R7ljU372NX6Vu78vWHzQKZuR
0Ac22MCv+w9Mqa7sZq94jUpXDev3B4JANilOaUHakz6j+sALetgqF2lXg+DxKfHRg7FOZuPuk3vy
Dy/sYheyeGuYcC0/MnbncpBjTajCa+zp7q1wje7GLDRtvejEzzgXh4uhEP2xsavyUEyWcd5XHgfZ
u8fXojuHkFzJ8YTFlPUGc17gbyjS/PaTb/lbyYDUF/o8rzicaZrKD7dsLMlSCYQ9vIJ6i/gLlYXT
hSCJxPV1Okp9jDeZKXUzSdB+69RvyUwq7mqOzEbuLK/u7p2giE+6J/MvJqpWJiScAts2awtud5yh
Axal9vd6+z+dxSc6CyjgGMn8QWhxnuJ7OrTpz1KLv//R31oLP/iL3oTm0iSu06Ra/duuIiCBgB1t
8Q/mf/7HqEL/CyBj8YryeK9+DR9w/8IBmAOHHwB9xhnn32gsYFj/crw5+LRgSoVfhrPYXrAeP6zD
1nApk0ScHGdHx36CvW0pCOwsMtUKSub4pMelR2amU9+kjaouZhloMBJL3QirYMg2BvJTkgLyWW1a
c8ovE7/PSMHTCCUgSWs3Beg9e9iaKwxZGrF2/Mln1hKhqFxFufTgXDrJ2QiAcNJj8rtXNSxjeLf5
FU2wvyv1IEFVHXk7Oy/sPsQ+NFp3Q+6+43yHHIj+fOgU6k4SnzUsUKEOr4itNs+8qZbPOdtRvp68
iLkR/hdkQJr9fqwIeqyFbQPpERN2GPRveT7XX7288M/n3CJOsZ38fsMPIG8b3WmbRxMhQoy8443h
BmSSJ1GtHwwV2fu8NbUXjA7EG2VOcMlc2T/UUdlyXJqRwMWnMa7AcYYdqtj2xu5secxy6NsYVhCO
E1qZ+UrStx5mDho74kIt4gehSV3EjGTPumbWXio3XqrepjYv0NhVB5WKxzGYxE0mTXeX05h+gWjb
3wZBP+EFqM3tN/h/8WOr5XkQDg47iuvG2bBiLklWm18dikU+ibAgbQ+JE+ReaJpQBQQn6BCatnyA
Kk0O+FAV3wom2ljLIbExMGV7mfWBHR3IXJtj5wgXicTsaJ7PmqgYw8rxuq03Ma1bt+7iuKqrwWx5
nnH+iGiWMCzu0sBvK7Vua3ZkP5HBHYUtzG4ulMRfyAXRcMJwSdtnJMrtJhEVd3VlJw95nyY5Y73G
MjHUI1atxMvYIGvcIew0MRFaI7Ob8oNgIzwf7GDuGHnrRF4og2THZKY9hrmFZk522FUWs0X6EyGw
8o0kAGJiGnIUUmxqF/1gllRXqUsRaQvlneK2ntdMhIeV2frledPjn2hqlqFArKStrWpbES3r1E18
H3mz6a6CIba/CUqRBssLhyTBouWnqGL2czMj3Rs9O17XPi4sc+kE13GkklD62qZJyjFMsORzW+ci
JabwpfKs/KC3CE5lBuwFHjSonV0l09k89263zaDQfgnqLHrUSjfWjpFgjrMJKs/4LqTe4b2gy+Fm
hBwVQVnLjacexXsVxvD/ro2hEs+tIksvgOP3NW+tlmwF1ROcJxEl7G0rRxHZ+gHuoibyTFTKk72K
eqYYqyEyrHv0nMmZwCvh2+AKbPoMm0Ubepi87pu48sn00L1zSnGlH5iNB3ckfEJDUMR1k1+XLKlZ
sB/qrZ9U5Vf6luBLm9rfNF0uuSethf+Fq16dplXY4eBpUC0BuNVjFgNghUWb9R4Pq2qfes8GLlRe
1hDmVJPLro1DSRXqBKfEJNq06dtro6NgWYmU97nVCTZTfmtvfAKMOWs9dzWPROSReJmubUT4m1n2
4pjXBpHKOlEWs5VkPvfBznY1aZPZCjajF2pBo+9gu6Y35qg5uzrV82mtBX1kb2yv1Z/MPAk2s81m
Opp6o/CyJnECJ8KmOMTKEhe5vYTeBbXV3+ClYXNjvTJ7yNNMqJUwekuymUXDIYqnyid0STbPI5yy
dm9rPtWyHmAy6eiqu7Qh2r7UjleSV2hk45USSmNzmZNgVWsZ4c5YfY9bzU/EsyuVfEUTLJ+UXRnn
VpdGJQhO56uV5cDVCwPCSC8TFUREy5oNOv9ERocEV0YzpNu+jfOuWft5IM9o3knQKHIitirvaDeK
3qyqimt8dIo1WFp0yDBP2NSGLXYkz93FlTPsuiWyNwURGleEzrb44OaqCmFJuBuhT/N3KNZTCX3K
FevaGkoSw8lnWRW6n0HxNIpxOLML4eITZreySR9mLS6qvfJsUoUffZW7ublKWsvo+8dhwA7wEvGK
tsJA0r00MowVENa3N25Z6DeEVMekoBOo5vn5fBhjee/YVXUjyBW4GQxc3mG/ZtE91qbVI+bVaNQq
r5LHRMX5vY+og01K8lr5aVNdQcQtrwIPa/kuLpHVpLl9EcRlF9bjbKKIbomyNzjtwqlU6cVgEowq
fE+QL92V5QVhoXxdN9e2zJMTbgz4G686zjArA9/ZkzD4+vPUm+eOQ9IruuA+urXRYx2yNJd35M/5
SMbHKHm1Zk1dEgY+lLteE/VJYS1+QWx6cwsL1jvEXPgLpM8ZnlnrYNQihi0m7/NzbmdTHUKumvcx
DK5thkfxajL6YQMNYdhA6GE/wt5/PjP72cMKIanDUmZXohjalSNM6zKC+2GzyebRjZzJ9XEz8xzj
RQIuq9n2eNeG+iqevXS33M872H3GKcjmds924cHZaLVLxMijtTFN6VwXwZx8j3o73aeTJkkpEohy
WOm9Oiok8Ndm3sodxsLBYTSG7r6N6vJqNBBW8D5hYlcN0H6txiOxvpPxiAsLapd1n1Xgq4MViGtp
kYxIsqeFzwQGghsY6DrZ24V9OTB+OCfZZjp0HIzpCv+UiyrwX/Q6DV6MjtzAldM5AiJ+kTzrMsoP
Xa01oCGJ5mP5wFbD8ks4pO3CwoYdW8JtOmb5VRRQgjSeJ9d5b7hP8Lz8S5Ng5k0PplGtSJQ0oeVI
rB5glJlmfYs5/iMzc3waxgSTyjPRQdaGnOWbSTiWMnhKtSi/RafYiSuX+Wa3Z4okNPIf3dwh0dwQ
+gnKeco5Fhj4M6xUn6RNyMHPnSc7St22Il5P8CjUlnQdb9sErhfCanGjMIvlNTFNdXYGo6Yr90Ov
JY8OtID0K71IVeF7kOvOppVzGy920JOY3XNsaXAQ29UQbfThyJI12/zoYYWvdV9FND9R9k4Pea5V
L9k4mfdBP3h3hoiboxDpnSBGc1Naojx4omtCbxjLEB3DjVvMT2yAtM3J16x3n7xBDt+seonTtFuH
2AYHs7JAy/YkgRRXwiDFyC61Ew/HXPkEvh8qIgverNkZF72CyPOVFJaPldCQFns0Nv01nGamrwM2
hsyrWsLH7xhDtZtyNufrZKbeWfW1dErtR5v8f93TZ92Tbvu0Hf+zTP38a6uKr9X3X7qnH//o7+7p
PcLNo193UYJDZNJp+v8T4RaQ0KMzb3QQxUEA+u8uigg3DxIILCTbXeYA5LT9R6lueX9hWWvBFkGu
TDHy7yLcfkUcHD6ecbAO4IAmmyniO2HhJ/5RRY5BW6Kf3Hux4cwr2JlQa6dYfSkN4t1jclj/Feb/
/oEeJoUAHHxzRsQfmjZMy5Jem121JyqivYZKOIauK9PdTw/h6gfI93Oiz690mvdPYScE2LYdsjh+
A7d7ByBCEEq5Z/rOHm5O4jqvqRRTz242SCuKlcHJvrZFpi2F42dycugkv/am3NelBcbVD/yVP3xE
cjjMfXQ7Xr+vCxdTnEkm8xaxrr6HDu2fJjNpj1M2tcTXUUIReBpZKH7aJtWIhGc0dFujOY5pNn11
3uGdhju5Afven2W+ZTdb1EEIYGjCaJpwlmkyF+g7wkUgxLNOvYle5TfY4ufrGbLzPsG6P4wgZR3p
PgRhe0LtorGkt2hiA6cwkEYmtaB0815HL3LnWmZz0crcuDOJVr3qrSE6SrdrvvplmRKcXo/qLem4
orEqxvtiqNQOIVF1igzm622U+gYxnGZ1gmFSPzP2bp6MWOcfyinFUl9MJr2oG90EI7g+3UGDfQ23
Cke0GNzACCPftq0dvqlcpu515oboPfMOlyJ/TWucXDpirk7QXVpSO2OzWDVe2l7XTE/j1ehJhie9
5686N5nPZ2siEFAv5Ro5aXtEJiCuu7KPjvPgTTuXDfggeioeg4nyfaaX4z22Su4tT8fczJ1ubirT
KcKBE+NFQXcL4cKyhmSlsFOI6idCBXkyoqn0vSsD3iEUBJB/K/IADC3dC5GoNxgI6gucF/VF0RI9
uLXvn7BssA8ixnkeW8HuIXsPK6zr4FSWPnckyISdrexSgp27qHNwvC+aTUerSiM5mhvsIfKbxqVY
HozYDTOzbl9wJgmYIUAxCRGNzPGeoG88Zu1BvJBsr774Wq92LmXAoaZKvlAe3ieMSZGodWTbVxvd
7YpD0/mk0RG7u/ZsbdppRpTfxBI7FpdK/MLGcDYs4J++5rrSl7i+fEuBprNpGPVzOonxnrJhPif6
m19lJWpHjJa/1JHEH+AeeRFRMYWuJpxLHN/GkJAfc4NyNlj1QUJYQp6zFMekGl+hkSrY9aZ9Gds8
iWgMiG4nS502iejdddEM3Nc8bgg3CBymu1EGf2nS0mpdJ1F04+qReHECfT6vZKK+mLIkigSRyLpo
Rb7V8qr/jsWccZfaqVwncTFvDRIhQnwmqarQ3MHHYokW1TS+qparn3OFZ5qYeRK2W9PKGqz/Nh+b
pyL2omPR5U9S64ZjkrblZey/QZ5mxojRGQQGTNLMQ9I5z7qpxCNKzOE+hkuZrExS1HamXmPGYZNp
GXnja28jl2qwOD7w+WM4JTwo19P6bSTs5hK1io0BvnQuB1Qld1VK3M5AVMkzpGRWq5fP29aM6mer
dNRZZmnO7eQrv1kRe07ZWMn6awwfvgoZAKFRwuUGjyYuDj+ngqKw024Ila/6NTYg87n0VffQdFp+
o+re8FcYCqONxVPuOBUZxvtST/c9siMDueeU7pwpbV+aAsopqzbHx1glvnhkiBGcMh3p54aAE1wN
XTP2zQd6MSN3n8aa+cJL2g72U2pUxDntR2uu7H3azxoWxjoQwLkSElt9GVuDfWPlih7TntQXA9F4
WDN2oXlfNJkEwrlb1qGjr3oTMv4y62BrGqoLBI3mqmeFHW0tv+r1TrtGznGjOcOFXTYl1+4513Pr
sHd6k3VBhUa0Q3RRMilb6x4vEZqc5ADX4kvn2MZmKOgtBlt9S/2S8Opx+J4nZnnQqpjoZzs5JLOL
s5sxNKe6HCWWh8RSw3DvvzNjEJs47YgsF9G2kK1xnGaUKQYuWVgwOfE6buL0wp5tdU6LPmLuMkdH
N/OPWg7wmBaCAGpGD+IAulqsTW0iQFvH761M87HG86B4g0bcow5zKm83dDadu13dMPtMN9hIBmco
xAkQcDO5dRNeWJGVxlmqomkzEDp2mBUP0jRG/aBXpP6UXq1g/Fr+ppZEEDcW3t4j3gC7RPeaEPoY
gZNIYPdDbNxiFBZssTonF60ioWhjcu9fkDlJWMUiwGKunHmGqxgvrb3ZpJDfDRLI66g9oclAnWrq
wyGWAXlUBbw4jjD6aBV1L1Yth13sxJx5HOD+dkw45hZkZJPBZbuBl2Ss0EZ0WxwdkwnLNA3M1p+e
fYfYUmnl01mFLc5imJM/kf1ee6E7uWoXoFGXoecSPhc4PpNYCA5UiJa4pjrzt/YACH1o2F/1tWIT
STBaXagQDe/VuV10zRm94rypmasfzKnp1pBReKs6XD2ZJFY1K1D1hnNs3Hb6MksrC9sMcMzvqr0s
oBRo9dFo3flrg8fMAfvH+Y6s7zoOjS5g6u4EKK4idZXm1rweowE4p4T/4yLJYrnnZLPKGK4o7Nhr
r7NzigNlDKSWyHKlN/5WIDPZkAY3r8gRg/gfWNmj58YYculKbu1IjSsUntpWJCRPDHF5XRgaZ3mq
y0NK5ra1ssdxHWtxcF/4sbErUla8a9XJwR+naBPIyD5HH2OTvyK1G+bx/oUhZhpchmGENDhBYm+E
25avdiwuEvQ4pwAEAJWslC0DTEjH6xKa+XnD2OwAZuiR8ZK47VmBMxKhbZ6yV54jvWxlyqI7W1AL
P8yMTH9tyrIs1oit3WmtZ/p4gLIboN3T2t2AK/yTLIY0XaOQy052H3cvpZW5+rnR2eOMk2UFieIp
QK+ylwkyhpVeVx3+q0vSi5c447c6M2qsM+VSFzTimsjgYu0KcPaNP5bpmTYVGBMR4J55LL8yOcBQ
bU+B6Go7bCecztASOukeuCvqwgzd9SXxRel+Tqrmm9n4Whe2DSm/PBud/p0SCRMJzqHCmAGKu+oE
ucdhc276734aSbgh0qzzrZ53HDiIBdVbVRT+ulEaMWO5t7wDOWWCR3pytI4d8um8JCXBL2mcyzlN
tRsN7ITLhcuxHfIUP1qs+2ivKfKSte1OzbepGeYGAIGHZMyczihLxPFH8SVS07jLDNV9bzIvw/DC
ARhbQcbBe3BSytxQhrq3U47d2mopGIk+GW3CVhKzOGDGU52Kdp73tt7hqlZLNuMWH0c8Kk0RrROH
rBbA2Fq7IbQZHpdpYcZfUmlUjttcxPP7twgEyNUS/xEJsWzKc6neIG2DVAQe5UkghHHFNlh9txpE
wtgVuCOn9shWGS+OhWXL11Fdo3aJoQ33Sarz7Ayh+VWIQk3tYkYqZ7BzuP5hlOsYUv2upth6wmIa
Dy61lL+BWz95/VQczI5LIIjRuPPLSb35CioIRiD1pspScstS2amVIt7HBCO3ikNugtP8uYcxfp2z
Lk0MdimQliwIYRaTtqV3+6k3G2qrxuFT9HvghC4JmUo7l0iBzU3cy+iobIowaOPNpo+hiXmQtDZZ
51j7ua+fY1y7brTKEsfOGtUZAhYBwEgiDhlO0xdJlbv95MvSkP7ENfnxZX1jmaTjaI/D8ocvC9s9
90bN6vZaaumYvVbuLf4ZTqgbWXKpoc9fs/3zUI2RVZYjsV/rnA3HvJrqrxlR2fg6Unj8+Ut9cPVa
vhRkVQQcy5eCZ/Sx2YwHwXMhXXGPHk9YISIjRnD+IE6z1MYdWshkzXY4b5RlsdlHA1VL1tAwkv3C
q2GPOZMqWxytwp33Q+TU3yGFede+GzcbdK8EVGttLVaix2P5z9/8A4/mx+388fQhAC7ioF+ffWsG
eb2EQe9jzRRHZo4k8HmdV+FvL9rrYqlmZ4vYw5GX8rlTJKJXsuJFG3rn02b2H76MZ5k+4IXuByhj
Pg5anUEjcFtJzFSgEIXKS5tsI0pCCWs1sTullVzjDuK9QXUb9ykWBFvMiL76WfOAxSk+ng7lkubI
GL/nsj4fW9N+GklNPE9nKz/T9dJ6Nm2c7c6JTa/GszZJfDxPjHyt2ySfpxMvNDmU2T4OUudSN5Jm
004l9WpBTiUF5LytJkudYUEq160Y5LpedhiTuKUbLJ/cW83x1Fvpx7qDys5m9GV17LGu7VL3QpE+
DAMb2DIWpZEmp5PwxZwfAgVmtbZxyU78XqtP1SyuK5g47CnBUrbnFPQBFKOVrafuLYOnZmNOUXOR
Q40/ZQglt6MB5BCPyXiPgDDG+Nkxi+fWYgZ87IvZG084NcTcpBTzTG3q+mnjxHmikzVG2KG2t3Df
sNrQMXuts9dcUGXe15FtrDqxpIh7qC3jQ05Js47m5X9EFPTRWkeCitozRY4wrhwq7jOIu913co6m
htOYmr7VE5IKo2hJFYiroN5MbMI4h02U8t5k6IxxKfJpp/U93TdbrG93D3pGq2lWhhN2jla3YQmh
63xqadz8xG6+qWwgOy0lvm4Yqa70XPJ2zD0NBcZEw32fFs9eS/84T0bz5MvCStetIi7m/d4FufTT
44xJbsiho920mWkdDA6O69wa012UJyx8Et6LAxzi+uuktPqrrQxqQ7Mw8QSeeJ5W77dXdKLkJiPT
XQ2Spt8tqu6hKullpokUUqiU9XO/9HbIbQoG3P0oQxuLvnGlCkmK2RwTTtsRHJgxwlxRO3nXpdUO
97oxmBsUmvVXhyHQTrfpsBqD7nndVjMnQI+b9oOZASgJUTQXvQcXZxXZ7Gy4GPhrC9GLz5/t3gtr
RrIjntZDZTCw4C97fRYvdTVxV8oZlTrd4cpJ7XlfJZyJ+BuBypmSIwdfFY5Q7ALmraM8AKDSFI+S
HMWTIYFZuiYJTrHRtIT6IY93mSPsWg7QXUXuQMjcdrz3YWGueqnSnb8gQDAGm4syBx/C2BCEQFbz
m89bOm9Sf4ZZ7TKkmLzmWz+QKC91J740KjLSSkm4PaxSJ6y0pXBevvVkB4BY+M6wMOpieQaWLA7G
8qpOy1mj47i0bgBLnh1BauTUlhnse12aG9ToICNL85pOOg18MtniWsfZWYZ1RinyfhY3VQxDEqxH
neUYFcGdayW4juVyqxZQAv89dTbHrjqfRtC192VoTkAwLG+h76dBU+d2DOJh4dN4/Y74YP6F7yQj
49DF8wnSO11wURnpnuFoGRZoH05D5DrhOzygxRq3wRZ0tgCO3PoFyJtTRhF5AyAkk+QNhYs6n3nd
qsVDmWIEG00MEWLQK72Z8hvR2FAcKIAD+hRKsqH2pisxjIBz2EfNsAH14jDNXBEaHpIU45lXsA4k
EBzm7sB/TDBClAz1BssE4AyAO7mpSt6YeCqdSzN3nVsKHp2Bqjt2D6R7gwjOdi4eZ8sGKHN6KV6w
1TY3HWOpLxXGcXj8tMUB4uXSN9psa3T00fEdqdF8aguf46ZlHJbym0oTsIfk5GZjGXz8O37zfmBP
OdhtVSf2QdO1V12Hw8tQWOPxFSXFkuj0fPtjaaIM3iLiLw74MEc3zEarE8SQfC3Q4Z78vhOPtQGG
ZkC/bFbDUitLDM8uR5tOK4z1ns1dM7vvdRHUzxNWftg7ieCEnGPe1jLhFiaOaF/0yuKB5PlgbDra
J7zGKc9RvgenZT0zt2Mb7qK6Oyu6AkSSbDtq3rzln3Ogq7Nl0nuXLKg3NdJyCtCgPRs+S8Keh+77
IKL6a2JE8aU3NMBG+HKHCMBpANiJVgU5yARAcInv5a1PuMQ2zqv8ppTY2kC0Z0fyDPPu/WwweiDg
wY+TS48tH9wJEJWZvH0Jn9nhqJABUfeMHM+Fys072aoxDEocXt2aStimHSalPDPuGteCQTLwICG+
FwdV6NVptobq5JgUseXyDKA+NE9dJ1uMTOaa4hyL9Y1px+O9kpTJ+Gf4J70uzDutrNhs2cce6/cw
aLeIjuAXbvgOCcJgtg++2URHglPlOpsoQTp2k4ZBf5dvY9SCW1FPFEo9zU7Ji70Qh0BBaxSJodLH
+rkwNQBqCWaMYxutQk/hbCEVxu+7a1BSLIvnfZudPO4GyJE6a2s7fqCrV0SAmuXST3QTKFRrTVct
oM0XZpTzXoMqosIRsculp7O9JSPvUR5YnFpQRunxLNYaFuI3kwQvM4upTA/om8VRQlv66i1bJdYg
5qbNrfxyJlKMR5mS1BNrGFqIgPMhATLhnWxBp6veU+cQI407S3jDq1dF0465ZbGqKDatMA1oQpqi
br51JbSNlejm4pAxk0XLlCaXJtrPcXS4a/MS6WD6Ca8KbhkSBITkymqU4pGqJCMvdFJY/pL3GVC3
DE56ITWdTVYKyom6jqhm1ajW48ADVzACznMTSP39j+8vJqZUHDH4Z7UvjuRMbThUDhWE96vJ1NS2
JJF7VyPnwjyPCjf2HDYZpEDxpd14s4N2Kp3PMRimI5Oe2k5d/jbYc+1uko4G9h0o9rrm2TbpTOVS
BahJ0JI15jzsABK4YnnwikzuB98mjj1O1vMyiekBVDaD4/FheT34xz7q6/8bVf5IEvtkVGkgGfoj
0XNLYFD6/VdL7R//5j88T/0vfoWOKMcnHAOVLEOtvyeVvvcXQx93kc8sQjU60v9H+LSIOtSNADyJ
XwbrE+fs/4wqiTNzFmq1/y7sMN3A+TeEz9/aYZdjiP0XlVyA3PFjSxQj9Zz9ph72pjkgkSnygAEY
sfbByYYlQQPptBW7/EAVEaCo+6Qj4wJ/7m8dnTbSXBpcfVHx/ibQFyKegxFSy04O5rjxFLGxRmoW
a7qhcv/n5u8fPwr3AdgW9iJt/TAiba1sNAzEJgwaOGsL05C0LJRStInif3FV3MqlqzN46B8VWLMx
5Y2iMN29F/8TNkXrlrlO2E/e8InO8cNI9v0GQtJlCG6xKODs/trRQrYYcjwUe0DYCD2MMom1GNy3
aXTXVHcZ/AkLdm5EsDEJXPW/mzr//eH4Ji+rmIyaD+hET+B7ZEE13WlYr6yMbMIlBp7X6d8+OAeH
CojPzLVN9BIfPqWLfasbRTTsWsb6LWtzUZk5k/DGTdaUzDf//HEf+M9clGMSBLiIuOjOf5vdO2I0
rQTS0y5WLjyevH2ljX8jJLdcGUV5hpnk32Gx/59KY1gKfCIjFJOSzLARkn+Q0eEonknfqoddBisb
b0m6qEangfzzdS236b91O39/CiFRNCA48qM0+HWl2PA0q1zkw85ihE4ms3biIL5EVWOG8PKcH+fF
/3hN/3QXzZ8+7cNDQzcfC2zzhp0/SgPtNE3DSEhnk+XkHsJMXrV5/u3PF2h+YAe830cQMagdBBiw
INm3f0b2VJK7vpS8dkbi2pd2bRf3WC6hdalnfz/ASVoP4sYblR9C8uq+u/SPxwZob4DVuxuB8TfD
hNKolV7zMk1YtSnXDlYmKuXbuVVLf8JQIQeg+vP3/mA3/f5kFlsQcMnFoeC3Fed3sYs3LK9RKgcm
EDYeld5qmpxxo2mgfmlniLDxqTEt7t6GQst+1mcancHwmwuPaElcRuPgEiOc+JN3weGU+bhogKfA
SXnDHf5b/v4nsDQLCqK3nKKHJZhszAiHIHIQJwwd3Z55btx9mVKwK11Cgl+ji6+OU5W1yMxLxM7l
1I+rEV4bOZbZSqgK5JdApTXNO3NuBJBn8WC2CFtm7TBjrLEWY9+vsaJpiNFpg/uBNKX7fvQho2Jt
GrZwBLeQetCHWq2/Gerp2OcttoNaMYR95NDLF85ZYudfBul3kGoVnHp8QLZAQ+laav1lHVDVitSb
ASELa0UwRHTSE6U/aK1AClDlWhg56i1X1k3v9zlyhTjf9yi/L/nN1fbPT/33F8TnyS8qnsXi/zc3
JOgDzuDI5aF3yYWWIwgmM/dgpNPdMEdUcwNV6f/iE1H/u44OfPubDCpop9EP5rzftVF0YJKzKYz4
JajsU2sRPEakzuOfP+/3Axd4mN0GMRPANTPUX9cOJuEjRipDv8tUgYh3JHM+rqWFO0urPjlwf1+m
voPLr0kXDziNSvjXj4oHBpRovDgF/dE5qzVhHBh1ep/cwH/8FOBuyhSMdbiHv35KiZd22UtuoOa2
QAICzuEepYx/9ef79hEYZh/janwDByv8XLHX+fA5OSFihouScAe+Vq9BwbKtO5WEnnZVTVhO5+0m
i4WP/Q8Bgf4DGU272s7Tz7alD7OH969BCbMIyUmJ/k1KKERtz+nodTt7KryNFEGxJSWt39qyT/3Q
Yq5+MKopgEZfvxa19G7yPpOMl/XxvJxn60ga32eKc/MfvxO5ncRhEGiArdOvjyC2McyLEqvbVfFQ
oYZwNoE+kIhV9eIi6hosBIAQngpiwsJCwIIemlQtsk1zHfhVTVhc8VpAwbvI/QlSvXweEACFIu2b
W1UNELf61NmjP5DHShUXmt5/Vlz88wXQxjJ+Qh+OkOvXC4gM/DeVL7mpibqJW6/ZYkAXf0nYxcJG
eNk66gw9LBlIcWK15REfjq9+6t11rRschiaK8IVvxw3ZZMF1jRMojiHz6+xE1dHyk2BLlpdayzzT
OCv6AuhYNJ8cCR8UpstpxSjqpyv4sDolY12bGR8cOy2Lj9EcVEemIyhtNdjVacsmP8C+zjL9YNXA
K11jf6Yutf5xFaBrx00EgTtONb/eRB87Suxlhw75VtIDaxW+842y6sqzu2qFowZw1jg9IHNLXvAJ
7IcxDrPaTNa5BbtljFEb6R1G5jAsVjI1mPR75oDNKR+4m5wsCzHxN15VZRhsld4tupuNg8Pq2tWC
h8bHJt8YHf2kOVgRzjUysVG/dRUfxFiTbDlCKz9jd/5euvku3aBtUyG4+D9/uOUObnp5lLEhiKx4
qMgeHwHJtVlHQYXB9yd14j9s23AsmZW956H8Npbqityt2v9i7zyW5Eaybfsrz3qONgiHMnv9BoGQ
GZFaMJMTWLJIQit3ONTXv4VscatYvE3rO76TMpKVGQLC4eecvddm0Tlg3PkeEgrMUxv5hyCP8Rfv
tNYmf9yR8rXsNdKZISKa2x9u5i5OdOvHLleSTJ4KUmY+5egWaCDPVBPujD6Ptq0RXDG1+pWj/idP
X4TD0N0dwrhNNt5/vIJ6spnsODcVON35jUTiu8nvHkwRfy/9/gslr7f9xZq+nqI/fVcX6aoFVMj1
flzTkYioKSM+4EAZXj8wgLoBZ+1s5zolXmpYvpHE99Rk5bRN5pbNDbR5Om+JXAVTm3//UX56Ma36
XYS8PplcPzyWMxqJbjpw/44BFimzxfQkiFLdGBmaGTf9VXbQTx6ansnOEeYftTdF/h+PtEfATVIB
3D3Ms5wOSWvF0aKD9Bc14sfe/sfja9HJ4Eri8MLH+uPb5MpKsBi16kCNLCPENRjk6hzYQBwYpxGE
GhNDoaHbdLgDYoQJdANK8lcN3HPer9bIPxflAcYhdsswFX/Coxtn7S6pKvgwQ2/uyGAm+k4u13QW
EwyrFqhjVdWH1O+RORTa/MVt9UPWz8cKzboIWQZdlRf8iRTWo92wndqUh9kS6ZcWiLS7QS7U36rM
ckkw9hoPsJ3mBZhJhsxzBq8rXWRALb6pqoPDGo2khlwPqYO1zIa3b0Vu4qqv//5C/MlCE4Seh8/Z
JI8clsQfTxleGWhi6M4OZFzJPX3QYScU7H328tkvDslP3grZB2QEEsnNgDHTH98qyy3VdmRnHvol
rr4LTHv3S53ikzM883/wtVaBxErE417+06rW1mgG2wC3m2sjoA5dy2Og78dngOR0Ef/libj7+9X9
ezn+TxYx3om2CFtECCE/ugxswtDyRvNOaEOSbdzX7WOVdEwhTEXSwVSJDTSx+RfLx08PJfW1AP1h
IUD74awBMa4RFrvdYUbbGFXuhGk6r7D4moxY//33C92fPOjZaeCh8AmPx5yxrqq/Kz+DQjQ6gVN8
8ARzqT15RT059akYMeFWcc2YSOIuhvXTE4DiDCM6vF7qabdMvlPdV4HLzZU59BhPqPjLF7sdkGbL
ugjgupdMIzZkgqfvWHuMa0agLsJHEh2w9DGyBFXFV3Iif9WWw5R2R2s/OiaSCBcE8yFDZIpmUcgU
iFGRou7XNqHIpZjgjOVWNXk7J2xT+5VhY0aKUU6zBPEZFUx6nlIQmVuZFTJ9VmVjzeuMNHQPZAtX
YmeYrXVVLaRpHvC1D+rGrWodXIsegfK9p5jw7fm7MRLcKlUxAeAKi3pbF4NIrgMf0/UWvWUDwdXt
ysfBCL34StZGc7QkpLfNnEg82GGavVTKc8Rm0kQ8nfwExUSEO4+RP3DtOdlVWPvlJR8oJ7PIwxVc
Hhh2IW9mFjxPW7wKsXnGuB2b9B1Qo23byl03V1kQ2O8+qajzBpLlFC0Q7eQjYxIMfqQT5vPdiCj7
sc6E7Hez0YEHMhtkJDs9D4kGl5JOmCKBBOxFnQARE22yLJFCPnCoJY+oHZ5l2n+mgZSHKZAbPOdp
B36wrBonUiIdLJhorXusAn1Pn3evB7f9FLd2+VoagfnQ1x7h8VU+HVFjlOsY6lbjdKw7tZ+QQzzE
xAUOIiXhmcjmA/oZrHphUe0TPVwh+Roju1XveeGJjattdEH55IDWcr4Kxxh3A8m1fAbpHzxkbrtQ
ZN4B73mDxFRAaqxDDPyinb74PYMpoeccL+nwvnTgcQZngiA6YR3PyhfMRTvP8Lo7N6zkzjLr7K5w
xiXSZmadg6pMr52R80G1gH0xi1+mxXEPrmHdZ4AFNsQkxyekTUU05YVmU4FvueQpsVXKX+6LcsKc
IQDCksPFf4rbgu4S/nR8HNNkbxez6HYTjr9NnsZDVPhFdR6ddI2hCu6wkDyQhTztrDFI90SjLNFs
9HoLGsI+LGxdH+KkbD8TNmNe6tQPtviEIH2ZvfyOQaGOjH7ANUzD+uA3jXsC1A26nEnfyTEz+4RU
MECDBKvUmvaZ21r7wp1fK1N3JH7FR98Vj5meX0m+rqEUhzTqdPxaeUZCGGdRBadB+/V+MJBrwW59
KsJgnbOiiPGSJtiZ69wZQSrh83m4bFPqhodMGsNdx9D7QeHcReCsLj3GISQ7GP5mo/6murE9Bk6P
AxWH7rGuguG7UL0mgX7Ewb4tBnT1+AYblOQOpbltSqyamER7Eg4CqH82F8+nCh/atPU76ggepiwS
+NbHt5Zjf9MBi6I9EpOnUlgnE1YsMec9YQzWEpz5AyIibogdqHp3VpdgHpNRvc2p9BVWTjsWI3o1
Zcs3w3L2SIkImUfXNrYH37Cb3yCmF+3RKUpbb6tA+uhxMLIHF8PwgN4VBOegIJ4HF1QAlnVFk7Yj
1VtypDbw8Uuwj9XwRDbndGfDgXyKq7rITmPuyZ0bZghdR7TdRH6MC2kdNONSQpS+YBJhP0l/t8Ve
ZJZnJMnyN2SJibcrSUyKcjTuzmWaFNKuoYi/hzT3dcQuoKL4JuNqu8zB9Mycqfou21VsMVfK+ky+
udxSorm3YW23bwSuj1vyxedDz47lKZhF/jYoXmc2SsLBe6R9S0M9nYFgP9mCgTVdOMYg+Wqu6gfN
lZBiAH5Nk6D7DQlJsSdgpnv1Ozs75jJGEAVTvthns6k+uU2HPshvRlQGsYuNSC+Km+Nj5l6YDKUT
Dz0LcBTnRFAIFh9ayDuq0lDuUawN1bFqG36+zxAGrLo0ku3dDO9HmIxxFjWmQHUN08Q5tWRerdeg
MV4lYZ4+mlVabhpfanuvOJzGC3nofEWf5Kz0jIOCj4p6/QWzsR6vk5gRcxagXGxIxrpuesQHIhW8
qoPA9kMNNvQ2cgx2It2V16bpbT4yaKZ1Z0M0QWANUqTzdnVTLftFozkYm0lUB9/3k1tsUoMftW7q
3nIToX2NObs04VclfYiyIk3bLxJN4L1YpPWkMo53Bsz4ADhuPgQpB9WQYj4bXJr3rSvbL+5aYZI+
uLQDzDQm5hzZ7OhOCEs8Q093lmR23hKbeFkGhUQI1sErvLfVjuOj6rISuYbsphzWrq4QTqyKYx32
6ms4KvdWYGAnurAJk9spg/7Ffreq5q8L0NFgWq3cRKxsnNGK5wuoG7vdgshKIgNvTYewadXwBVqv
YuzGRAhize5t5jbxM86whHgE3Xz2Eg+upU6X1W60xNYGzqj66mpnlRAH6L6liYzc0GguK748nNIJ
oxiKF3zc2RGRNZN+00huddh56GsClx14bQZMLJyuPEnQfTHeLZo4W3z98RWCOn7gw62VJCOovHxh
XLvBAYIoMkCKN880rclGRtaVCDeK4xmRmOzXq1wDmmHmYruPGfzRF9Hgt8ZEyIcsXbN4CHrZvjvw
2R4Nwjew/OHsup29ComDErV8Lbtlugs8hVZvVVtl6+m2ZRxcgK3ED90qO7IKZA8ghdDrsclIYVBw
1IIc/pqZGPN3c2nQNU0C0SdN+/jBrnI8emaKlM4ZecVmKR7Ysk/PH2rKZRyEcbVIWuI7GHEzCB3a
fFGs0ZFu6LcoYoo9Y6yxuzV+zUoOOibKDBQa4N25ulutuvlUDQNitlRzJS1GJ1l6PcGVxpqV3pZF
3lgo95fmznBymrgDEUa0UhWKkRO+DDQ1oeq/N4QSoFQxoap21dh9NzA0vHxo3YZRWd+8Idc64tbr
7lktlu+Nnbcy8ux6LvCmuPobyeqoPWLi5I9G23JYPJ7k6mBi/pSblSb9tEAgewh7k9XM94ZvUxt0
98gaafx3+NN6lDlvUx5391YfJLf4dxB5hBgTMhU4J9axNZk94P6G8tB/6siRMO8lNBDW+KaAXU8A
IQcvcPxrauJ43xJSzSKGFZW+ae9oBsJO8HlRQX8TV20Cu6QcjoL8nFPHY/PioPjXG9h72R08zjWH
SKhn2Q4xzIn0ew+0cd+qtm238dA6X9wwcfeiLZeoFTOpms5UR+7geAcLbeCGiSapPECASdBwqvmB
kJ3pjk3IiIsSroZdJiIqjeaxD8X14LMkTqaJ8raXcjvqML/BZ3Bl6nS4yqtW8raFd2uOlXWT+tgP
PWfBPmBmxjWBc+0tIM340Yvt5hROmU5YdKsFrwrDxs5yzZOb9VfDPJcESOnh2kxGeakTv75K0nre
sNVnCxgy/qOF+h6SI3UiDW16KJrB+Qrb5arLTIslLeA/Dr6z2rMIM+zFGcO1+MR+G5OSOTVfwnGd
MzX9PqWzfELY5jMtw0hyHODOfwpICHkwEXrBRWqPXlN2W5SB6JSzrjkG4/JO/696KyoynnjmcJBs
QyQs9FQ4kT/PIo3yolCnwjCdzRAb5m1RiXavtGbwhUNuyw51vBNBYR6cPFePujM8lrowedCKN9Fu
7N9pEy8fjWl8Fn4s3gExeS+e6stjlvkvE25dpMarrshkK7epsrkBZzim17iPYwiK9il2FutLasbj
fggMAsVsa9kGmXa2I9Znur1pvxkLWoXJPHtnNhfiUy7cQ+1OzZ7biQW4yalOE68LD2EZht8H7MOf
ppa4l7AKF1QLlXhq0ynHAxmKPamf7rmKVfliub5/Pw+cJXdQU7f32RduZC+TXTJN7beFUROuuqTP
brqcy4BQZ0xaOJJalrUW+JSocpId21xGDBA2wOltAmQ8NvQiyd/zeSqukrE+9kVX5htXGJdmzqd7
ZMifeiyne27FfeYsORs112VD5uubSrjxM6EzbDOg6hQsgfmmDfrsITDlsi0qJzirOWP1gn6dumjw
Cke6t0SjNU2UYs5jaFEup3luhmvPNXjsVAF2SgT09VWbTPltmTtpg6lwwSgkiVbIQXnl3EbM0IZr
4nfz1zVm5OBaNOBprTU8sZaWlobODPDG4HsuM81sqjp/ADapZV6gQs3MBywdVzL3p2M8EOEbqGJN
wmnOqh59Vv2mZDg69hsigfoLfV9YYSo/WpMRvobMTKlz3iUhrVGFNjTqYMVGOSlAeFmH3nqdZiFP
GFi/WIv3jfTa7jM71vIz9JCGRUsZz37pGnvijpJd7+vqfvbYsZTo6xl6h/2C6JaIYLZD05Gk6iG7
MjAsChBZoJeOPi5snjFYhW8NHHtYQme/uaV90xCJHuQJ7ruyZBECcp1/rpDp3dtdUN0DHitKAiFZ
QKG4919LZZtfMKulX7vYXFbjJS/YoQK4cknre5yFHYyvkh0P5y2jyKlSr+QpYXjOqWwDnighmnKe
lvTOltKyNU1//lcTY6Vnf0xlWlSpuEqKSX2tiqb/qrSiiaBmXX0vxEqGVWB7PpOPan0piIYhmkbM
0x3W6PgzPBuKcBFnBkY8wpG/Gm6LV92GlenvlsKtH0tCkzlJ5BY3ez/pgeqKcKSjoaeUyyMl4RIk
aV02j6mnC5c9JmhWqNj8TthOpSTzLizcragJ9NzUztwX20HxKUETIZciudnmWyEM5k3zTNTqnC1u
T91o1oMFlawds2TP5pVXXgwChE5ipP24TUU4GwdjXrcAPRPSGI0lFpI8NcGvYl1k00pKIGfJWHjU
ReWk48+DHAA1J8Q2TJs4cavvtta8q+6c2dqOwgE2/HEw3QGKETpqx8oiyAEo03xrmZoN9URzAAAC
xa/zVBHRC+LQQ2WugeEAzMFnCc91VRZkFJjFVBxbiy7Qrd25E+l27gIkXfbNozuiqOAUMm+Nxrjj
+xH1Rj9EtmaRnxUqhuFQrXHw1+HQD98Hj97oRtuEZF17hpU+FfNgH2pd158qK/TvC+A7cdS2gfk0
pi1JuBNt+PhWaL700R5MPiO7cj51VsecPG+eaoP5XwMNgXPCvUvvH2AufRmO4mD0/PxSo87OqF6y
DR82vMxqUN+yXOXlIdSyY4ARrjAx8oDtKSpN7p8NXHkTowP9v6uRTEJAB03Pjs7FUJKfTE/SRJHM
VnIWl8wFUlQTgc7vkjw6RRV042Kzwu+ryF4InbxNB8fEHsUWsvRrGzI02sBnK4fi0JWNecVMmrBn
uNz3FVrlC1qm7GVZ0vF5tJFVf/QD/xeX8wsNKtf3OuL8V2t4+96//5+/q1dv3qtvf/vLSyaTrM5o
H//9X09f//aXf/zSf+FyeBjwOgz26MB9ON/+KUJ1/or8RPjUIa7LaHcNp/gHdRRejmB/ZpmY1Dxv
laj+S4TqeH/l1ZyA/raPIML2vP9EhEpcFp3c381vGNiEAGwI2kAEi5zxx/lNMHhN08yJdQyCuS7X
+i2IJPxUWFVzd8mQjUx1/HmuAxcXEvr+Z1O3ScQApjlnaaJvnIZubigHZ+/6pIPucEUFd/id2zNd
hJUaOdP8tETAlqx/igfQndGsu3cTh5fENMUBfoaeV7/YvUfyfDUyhhxsQ35lst6cmzRBDsvj9B2G
Fs+YyVbuO4UcP4ScK3whusT4VkzUeQXm0ukb7ezQz68yJcYbMrF3slKYVqb8bLLcBAdviAlecERC
G4Y6UdxodlEWefSN8WQIt+Wuh9exY9ScbPwOcruqsk5smedNN5ac8EcB+fxcQie1zwqBFIelsW0e
0mNyyXFQRVjhMF6ypW0AJYIT21udCVVQFV9EtdTnZGT9d4NFbF12+q/Er9Y714rF1kA7xGLtjC+2
nc9A4aHlnITSaNrbqgVfxmPvwDNanEwmZ289Zo+tVhMNG1MxXWfNhay4DJ3/0qqM3YXvsW/Y0SZk
VaKaoYMfh0mZRQQ+9PZtx4aq2xtAB55kF4h3TUgX8azl2L6JBPfKR500jZj26KNZHIu0Ca0nnmA8
aGZ7tJ4ID2DXU9KZWIuLEt+dhKtxoxCJ0SjpVas2TluXFS2Xgb0D+ghWNbReuNRH6HBnS5Y8mz/+
WFqMnqMYxIC36VjPUd6nFb/jOnPhX9rVSGYDKq1Idavil5wtdha5GjtTT8UKTDRlSkHGphu+BE3B
E6/u4/DF0kafbGQwNAOXJhYYm71J8ncTx+g3ekFVR+fHSXv3neczi7nAbpdtsMAv57BGmkn7y2rO
dmIVS5SLhS/0YZGwOynAshVkoV9hKuIDjFY3JTs/yTm61RAjgRlxqWwSUmGrLUBHJ98Gk1+KbeA3
nn0Tw9eN9wQimcmpX7Mz2VXm/dc8b6iniR+nS4odMOOId7I8EAm64tONGi/IxsORlG1EQOdlw+ON
PwdLD6p2ITtliSQGLUh79DpPH/XkNKWclkX17ZsHoTASlMN0GrVt3kFy8jDu846er0mo+NhjkSrL
tdkNNsc3H5MVvFj0q9jIhZUqRntYDlJa4t2cZxXgKZ2as2fK9q2jDBk2PN2Jn8pyV9zDtw13Bf7j
5pQ5mSQh1dOOE9HiW7fQTsnXmiu6ZGlcep9En8/Gy8enJIRbJ8dyFuzcHcvlw7q44hV9VYcKRZY1
LpYCuA+GsJHzXFRDtzwiCmNw0pTrKbXN9fgEOc3Dm34Om3PoqYbdRsPfwzljnxaEifI2RkPtCgSV
C4IYeSyiY8kKRZQBXM/KtOY90p3y+7KgRdjknrFeU5YNYyJxjaA6NFjtm7PPnAnJE/ke0eQXeLn6
0F6OIMLHB3Nks8r2vX2DDa6dyGxQi3Kd1sgKcR20lz7QUdO6AD9d2+jATdoq3OkKZ3E0S+XfMB1m
Zgle8YWT6aVbBE3WA32dnqRPCSSnF1rFhJ7b0+PAVXzIx6DaL2iqI3NI3Hud9eq3HDKus0GdA/0i
LKfHwDPYwdmSC9uWBMPQt2+g9ZvC4NuxESVcqCGDGTOTLJ2tG9bAbjlk2PkmsrGOI3ss+rU56BsL
8pCzEzGyqY2tCnFKEhpLUHs5vjOy9BeJAfziadwzvGE13o6WC411SOxkZ/QOhXUXkx8B26Cl2Zs5
B+xUaRpJnhj3tdXWDyUhsoyzinWbhJXMhqy7+HsDx9g34VcO8T1MBfIhsL6Wrr+8BImefAyZ4DI6
YMffHJC/T9p159OqUN8xa6J6zoxnmRvyJbWF2uJrwqRThkHGmB7OCtvu8mJN9ci/TfXeDCoCZBNz
+cY0DmgHzk91xkfq55vhA+tRrYQPmNHqDLYA7Acxn9ZJL7K4rlYqiPsBCIk/YCG4wvzLyqaQK0nE
/YCKLB+AkWnu5iuiCYObEvyIVRn2tMPJglqiCAZlXcqC1fx+EU56GszwAJ912i+DM2wVjqPrkYTB
TWHo+K4eJKvJDIaXNBH9YNXAUpPRSqI+VAv9JUJ4L22BZ/Y5bp3mZUwJqmcodpe6Q/cAeS3ZjImy
HmLL8h9rv8egpac+uO3wcRwzH3aUmaTma2KP01nEwdOS2N4nrRg6NZPbyIM71k3I/YHv7DhIJImM
y45TG1Z4vu07pSgOvapN3V1ppuZlbJYymuOuN+9Vuo5YYOrtylzS9MwdCfZm6LGFlKNZm6T5peNn
It4rQE1Cuzk9DJS5R1QkiI4NvIG7wenIomDG9WQzV37LCPFQPAod81bnQm8q02hPg+dwVUOu+Uwn
FNxNqfVNb5ufRxl0K7plhgs7Tq0XMQzrL8pb8u0gQvsRcYYgzSm37gvL678PYpKfZ6q67n3qzXK4
zzwZJ+A5l+KUlEWNgFC+2vMS36e4KbdgcFFvBNZ0oTZ3IqyZgNw87JHKMW6l7L0dpWmy9oGqb2U/
TpduyXJmTbN9n2f98BZkHn1sCuC7sA3dW+YMiU+gb1p1dPUwOfuwR6/h+dj4i7Vp3IuicUGc6XHH
4fIZo3rT1Sp0+YzkSEQwsZ9j3ZpXJL+8ULqiYaSo2KrcfLPs5JSPubqQPSVeR8hUNCuLWUYWYshd
bKTpWSWCeJ+ggebty2Og6VAUPtVIalqaVbNpJ3Eh5EPwDTET2ow+SuhPtu55+Bk3HiDbg5mlF0Dw
zdEurU9xjvYvKb1qI22gM0Cziq0HlWZrtUyQld2KXTp5sN+cMF62iegIYfV4hO8ZwpjTxrZb5z6g
9L8LQtk/NlLQbpQ18Y90FvqoWKa94ffDdSMplludPHtmZ53XAfbWWoEBCa3KPanq1WOWNwNh8Gw/
9mAAyE1i1qZ2rTmRrNV7LmM+laZ31SQd5knm/GRKOZxn5ayidX5xYLh5zQoEIGIC/7rtq/De6c3h
0NY65a+2aM8ORJCH1K1Ass+1GlHOr32IdGysKy1yzdTYM7cy9k6A+oNLQ3L1s6ko2TcAJl4YIbzm
TCQIqreQAibTkDwPbUjsulrl/Z1yGCeRJTSZiU0TJw32nvY4D2BqRo+0KzNc6EBpT6IrSF3uhAof
VDu53V5kmqdjmYZA4PyqPLSjCF7akC8+tJN8jPPG39Poi/Mdj8PxGBBZvSWbuCBXjFTJSVoPaezV
4B3zVDA2TNSZVopwNij69XmSgsQh22Y8z+9M1341pUG0som+km7gfQ9AX+8y7N04xcO+/A3Da3cE
3xbvynVr1VZKbsoB3PgirKrBdZ17u8zoWkBZQ4ZQItDXY2vZW2YtfTQPHYMsJP7nAjDVzYLN13nm
+Ub4al06CPyqEDB03mc0ggpiE3Q1Jd5DGRrOErkGXO4BK/UmqEfxpbBsM9mHXl1zA5nsBQuIHbcJ
D9lkKKcLTRG1mzW86ihXQXyv2AZc22XbsvLOTvLqVzCWQJjk7LFE+JZoq3lYEG23mypJ95h/5gvg
YveGZNQOFUjXGVvduESrN2V/nqyOeV2dMYBze/WUjtVVN3bnNlimbRfa3W0F0O43hgjAzvtOXqGC
jQ8yCV7YqNHQVpJOnRT3OSMVnPGAB4t9jmy9vGLsingmC5dl3iA0aHPQAnWD6ZgGDVJIE35SUZUJ
l49dDgyhKuZzteaAECR7KbQ0qt/mYVJ3Rjgvt0bKfGiXtJmrvwR9+9TqucYuIzMtYvuAIgXfDukM
hy51/IfGKj/BEZrSM4gRP76ginvvx7C9nlw2clnAtXDCah9znvO52AVFnq5xVQi3P2UVf5KIDFDN
3K35jLS+yo1krOy246clxUwnGGkl/l1it90dT79TX/EEHY+/q+R/IvL6Qa75AdtZte4E+ZKj82fY
Tjjq2U7Y1/pSitPoUIm6WWo/gZdj4CmtXzFe3R8EXryhAKXiMhf3QW78yX0AenzGQaIa5A4yvPQI
Jd4UC/N7YfTgruxG/5aWphA3yRBo5ySl58RzpMj2q67JrIDKanBj74hGFfK2koMF+I9J75W0rfBl
YDC+A/3PBlAsdcy2rfLUVzMxnZCCXvTLo+0Zsdx1UyGPmUbK30NufG/cYewfFRoptV96yyKuvvbo
kn1eqCcKyKYTBVsSuw57/YRapGDFeKp8pwVjBu2CS6b+DoOmfnTChB193yl+3rMZvpkVWfQXOle+
sa6dJgUW1Mr7BfCk2oc5hcMB5588zvygxFLWWt5BppY37RQZVG8ftXAF8fQ/ynpFe70KZQWdmgAd
Ic2ZH/SKBTvk2FNmc3TntV52s5zaAC4b5dq/v7rWF/p92+XjjVZzTkDvw7F/FEZCj2eijxv+WKYl
p7gFRbvr647zw70n3hUt8HXiMFGEYDZo3/7TdyeDPsAcFAgkDn/yj7YGgR8m+R1Hmbf2kzeODDi7
jCFhXcpjMxm8q9ejdYkMYKO/cl1aP9gFOchkVWM8DrEQOPgFfzjItElBGDKlOCqr5dWHMdHi2i86
+6nOoVxsUePz5QeGmuc+admjmgRWUfgxNCyPiZj+kVP1v+3NX7Q3bUyvCDv/+/bmdUY0mWpWeex/
9Tf/8Vv/NNnTqcSURe9wdczjLmUZ/Ud/M/T/imsYQDhmA4dph8d7/TNVKfwrsGycXKxzXAGuzyWg
Gt2nf/uLcICIh2uiOf5HmqJY8//f//2D+1X98PffK3UZRa1S1d/daSZRRXiKfQyeq6WfXir//3dS
VgdGTdUzejnXJjqJTlNPeMYWWFEMnNWa2h3RRRSEszMw557Wwnnntb3zbcJ8BR5oyWo2krO6hl8h
Qlr3Tr58oj8vxIvFYK7Yokv4kgR28kxLwI+yxHM/DVjQryGa9ndrRlO8z5ocWn6TGv51gtJCRJRz
IRF6eVocJcEIZz8HNEJw5H0pe+eLMYK3PJvMpgDQenZ/GXL4p89OEWv/opZuAalVeiMJK4Ihz9d8
mZFn2GqKPqY9IPT2ywy1cCnUvHWk6eDNcvQbt90IW1QzLUZzm6Ha6GSFDYrBi/sIELfyInJEm2LX
lnH2TH4gqpwUiFIks3zw6CqhQ/cZLT56QqMZpFg82FP+tezCeZcR1hAps8sokgfbPuR29jRDH7nz
CJrJj/yIcw10Mq62/QRDpa8dwqEkXuldbxnvUyGmTWDm1XiiAWKsKQnOjo0Pm60Bech2ScmPJcfF
UA+WWbrXQ8gkGKP4WneHYccqsYTxy1IF/mPru/GT7Gc7OKEnc4xtrlq3hI6DwJ1UnDh/HcB77AzH
9qOC7jzHoGUzraf6ygub8ty3PsdSV4TG2x4a2w2Y3vEMMioJIiNp052fsXXq6kRk5gE3gzxSIIIa
kjOdjX48zvm41Fsfo1TKQJGE+GCO46NoKvu1XRwEbYsylqewpCO46ZMRmYowzKBkzsDk5xmiMdPs
nWYwNBk7DF+EGh5svba0TlB86mpT5SWDwPdEwSDhzJVMl9wy3FVKRDaCuhsMaVSBJkJNL6ytUzYs
DwG79R040zIqimbMI0ZP7PiaroK4s9rBNSrBTbkYDppW14bzuyA/JXaLSaXhPxUToFPXPiVaXrtz
kG8WZId+1tyIbunItCowKSIF8wvE0V6hnglIup8QlG8kb7NPIEwQNza/Wea47H0/i/fxMD+alFpE
RKXpDlAmjZvKME+tixwQVbh9FRo1Raay1E4ZiLzZKGRXTPIoK4ImOxvlvJzMjlvT9kq6Q7P9ue4D
AMIWRTI1IK3OPh/2Dd2M/oosgvyksvGLRAt4JTORnDuanjgQK3MHyvTQMPJFGqz39Hg5PgZ04sog
m6kzyFZDCZdGSZp+cxdEihOpuWHcEDbdmeCVhKQ5RHICrEA9Jxd0FjyhYMNjFaMvmRmKeNwMiZrt
xpGQuXXHp8/POVWx3NAdak84FfU3GifzNkgdDg4327FbhXl+62zqZIG133WnenQfO6d8KILssljx
IZSaiDJ7eco80j5MFV4hIX9QIQQgMma2wHF3Sc7RT7wUM454Vl13CObpOreNCWCfnvayLfvdEC+K
JrV4WZU8m7Gu1NaqsGgKlFl2PXpbUOr6MTPq66CzLAKCIBDBhWQRzFDEr2qHvJqmDc94i06HLe6R
CtU7quU68kmj5tpqlUV5nXoHm0BKVH6hPgay/G3x52zT2WZ45bFcXmkE+fjBnfyGajCHroPimbvC
uk/S7n6gIDcCvhQRmjcT2U/v5bqaFTr2CbnOlXFuW1s8ZHbnXTVtn0acMKRK9J/e/C59NQ265qU9
fU+pD46JrzR4YMR2kARnyr84vNJz5uwUy/o9nUm2WwtWzyL3H2JP3o84iPYsE8iBc2P0KSC9/hPr
it7ayKWolpw+vyG0bIi6HmeyyYnam02nbzDspA/ORKKvnMyHRRr9VuTVGyQ8O8pDfTtPFbJ3xkRT
TvW41OpBecRL0WyhPW/m+9wpHD5eI95TkUFfTHk6MNyeCgvzQ94/0Qn39jZdyEeSlq9bhHbRZPX5
s2/kzy5MSdQqw7tawleiT0+QljyuY92Cti/psNnjHnLWiXygQ2jnMUexEze2lXSHMfj/1J1Xc+VI
ul1/ETrgkYhQ6AHmOB56V+QLgqYIIOETHr/+rjPqGfXMNZIipAc9zbSpahZ5kPhyf3uvrb5qZ3Vi
R239QR/MpzbB+oESCxwSS+x05XSzfpMZ1sOIil322QttTzit4Y3qCACYfC8uUv8dZ0R/2RuExeUs
bTVxJ3pr3+dyeVj40VVBO6XAkt1NvBdJavwqHeFGyvJ41DQb3cybqF2f4qmjv0aYA66jzmSXKAXb
CcqTQqD8WVispQDyMm7HrBkO3FVOU54Ue6BTeZj6WksZkLbjZVaGW+J7gZgh+uH4GO0vxm4IA0Oj
iZt10+37rMKvuXmquwa8TDMaptyYqw/xLZYs4WyO5yXnyl7P5bNhT4cadDbgHF6s0vdjEw2KRN8N
bIPqa1rqgy/WX5L6wnjiz+MubCdC2/Hyq2mFAKkqY0fiT5hh6jjbzQKlDqRl0rV4mzPjysmddLdq
GMT6MbXekmZsH4DdFLTmKiJGXJI5mabKqu9SbeoBZivIhQPvtZYKh8PaODIyDKMlpNKOZxMITZgj
lx180gtBYmnPmTZfXs9wSxsENk04N7PumS8aDW63etpOS2SvpY15a6U2/qGWmjj6fbGdlsl6thfE
AoQvLT1gR4eN6Xi49qk4N2YV2DZ54wPvWTNmI/FF+dudkXl5OOBneuid+m6mfD7sCu2+WrPxtljy
156iu924uM2p29xX0dvl05IXJ1MzhtjgjxeZ6AbvHK82y4c1+ZCboeLZSRRLA41Kr2bK9u4lRyQE
99CK4qkw76c3CoT6GEuvdp1Oc4GoNcyBP/Xixx2h0o9Oy2Ixs8qPRnjrozdj0itG8WYVkC+oqvBe
oK/llBm6emh6mXyC06gHy0xa1ffwiFvW0kSLfXmI+IHJAMo4jDgBd0/6fHmp6qu4kt+tKj5XXUPF
8OvpFYROrPtjdgMPzYnWiVe2x64YzmiusBVurbKDVlflVb9tDdy80WZGqNNrdk6Y4sAHwXu9UCn8
5kFUZge9VWTjPUh/cdg8t3vVNv/QDOvyRGrV3hnYCvMQ2ER+ptDiuyvEF6dzuetgHEejSsZnInlX
bm35+9aHBuFggozZvvKCwI+IbAluMIMKRGSkkeZNDfEubEynOxPkY/809Ou5smf/gIaJvTfrvsq0
MsJxKXPjrkXBfeSA7JfYGq1ScIVk37AnTtTv7MoueHn1Wv0GvcG6Sl10WCp/8xd9VtYK0LPEQqWB
DnmsMsv4rEvH/WQVCLJ+G1I/SOiH0oySgWHke25e2uY3UA4MwNPJGzctyEf94qO6TbioWDy3wJhw
cANHqZg8SJjneCtxKxngPq/USNspC8T0ESVwUNQOl2QBIIoqfzu65vzdJC46FuC4qBpaWgWABh6x
I5jBtkA74SW556d2ciRpHj8nWVM2iGqLPb5PBHyw7+D9rqnAiZwSEINKOt5/RUNtTQ31L8Fl0Aqj
PFhoxEGm5HSq9TlOlHUjM2k956CW9mXrCuwVVXMlB2B02Jse1y3blVOnHlQ22Xvd+KRli4FJQkSU
VfKMN5/K0Q5hVLMtSgMxCfeOCgRV1yflrnXsdYTmaz53+IB7VqGmcVkst2FuT5Eol47jJHdYL7ts
JNlKiq3I3md/OLsM+CzF+BaDyH1eGlDyYI6wMeTkkzD5RZIYWsRVBZvkoOHwTz08fFiUjk1jP/hz
Ze/BmX+V9fjctHj60aTuh+riHRwcQHwzBBTV0hBpYxW1WkddaySRIDtq5gvNEmhGZVU9L0OPLQqU
IzRSzUa1p8sT6TSUmUOzskkl+LmotmcqyZcd3R9+mGMM/C6UERmEce43eojipXRxCsNEcBeRPHtG
ee4yLCAKA2Q4dvUPwy+UxayPDblhFNWI5OIvvV1gle+2cqye0adzcoZjuuvs2o9tm2EHq6NDYkmW
1/S34BqYiaz5utPduCL51HuVRn6BJprNxXJPjam283vXCDG2MfUYrX+rt/KmXtbxxtSp9Gu6Gbcd
vpPM1tcbk6IPzRB6uLlE7LxpmjAhePMZd/l3w32DwoM3U2wfaUu7qdGPZ665K98MTBb4WxNRTPGm
afsy+6GgcAwMdK0zSJP20BXqDg8InRIZx2PWiRC6pb5rW663k6msvTVMexMPSoCZ+eoCKWJO0E96
IZ5BHVqBlW8fizd+JWP6SXCRz09j3Y/DtUdag8bFAR9inb4TO5nCEYgnNEkcppZ33nzxC+JdpHy/
2eMNbAIzBaSUwOgMtFo3zrbd3rPOXkON7VQ4kPhBh4d0fVMkzcx4pt2B958EMuOy8UqQCX9c3gSs
xbQ2261C9EfFJ/h9VXQxFjQXWsm8EjkyWSrMNqUdQFWrt7KRVRPnZD5veGUREFwaq2TAa5SHFUjV
9/Nw6SbWli6kV6fYy5ykW9iacKbDpkCVxQKDXX6eHC45bfc8j6I8TmCxj0zVxdH3snpvg/fZteuW
Xs366O7Qr55WtbFwafxbX4zyjn2t8ePk/Xi1Zbl7opVEsR9bi9NID8bOQa1/smtc/UKZH9zh5XVR
21zwU/1221IqYvsmPVuEbSkbN51r2GbUVRBd3VsNCHM5cVuaPFvbDcR7MVmlDAB1vZ9qy8Ysw9K7
6tjX5/2QRmgbGp5UnW6iUYRuKymBzMrk1jUG9+CV6yflMOzrTQ+waMl3jKH2uh5p/VRyPTpqog9z
nm7Y1TBW9JnHu9h/p6WNlZHwrEiSfgm01qkZgzBnk61h4PbpgeTZSYmf83GtaPMwcWEPixk2mPp3
GaU2R+bGo1fVMizLatpxXDkxp/nKj96p45KuIZm1t1ymxAMkGXvPVRjFxVrIoxW+f6FV68U1r2re
QizpKYjq/au6r0XQFhL2eOI5wVjgSZq4fiCKd1fe2uuBi+Z7wNRghIplSQDWX8fsQ0N931g/3UaD
j48n+XK3IAZ2Y3C6xwuQ7Tup+DE2BX4Rv6B9qyxnhFPNCNwmHwhaCe1qtuVdblYmltDqOnW9l0b4
/Z75mghoe+kyXZZdbej7dEbvKAeHu4yTrZfSC34rMZpBng+/t6a9d5vhem1JsKpL1TY0elQG7llg
B8IK4G0wD6wKEpC6gHRDHTs/XSV6csiaUmFlbh2GlvWEByoJx0sRhj4OnJGOoVjaTp+TJz9zzzkS
or8DLr4cc1b9EVfIK47oF2KC9c4m5M1Vi0+yQQHvMPXkNoxcv9mM0dyTskBG2Xjp2gMbitZ4WKV2
FJI638ktwq4jE8JFZ6tfO1tDNpkRnndshZ84Ox/MFYIOn+0hLtyZm5eYw1RxHRww0m4bsBkUgchI
cjpgcVkSFag/6wEYj0zxtjDN7tmZZeySre0Zzf3O23zany6rQqvXd0Pv4LBWSrohg7IGSt1byT16
8qmit1UY3U2/sUUU7gdGml1bfgwGeYxB/CgCQVxzczwhxibDvvKjTtahIVsZbd300w6qwMJbvGed
lsWdjQGub7WwMBs8JptAK9mkn0Z1jRaQGSTXOLXeZSPvVMYBHfajchegg7Z3W42TedKY6bHspaUZ
EOvoo6ljG9+PvMlbDGWBr7ckYPqlVlE2wNDpXDamxpUCpu2y8mMQK8pxh4qTnnhlOUGxGV7HG3rt
xjO+J7W3qSnyCSQRF8jLLrkDCaYPQdMbCj4F2RsCBZc60QE7pFv1u0qwgdoprZgVpqwMqY2NPk9h
1ZljvpO2b3REA/geOUmL5gCYXD+PnrA/ycfji6JBz+9RLIK/idD/t/X6/e/m4tLt/9vlN/5iuOCc
y4b//s9/iZj853/3Yu79p7+I6yEf1vvxt1offvdjyS/9Hzr05d/83/2Hfwrn/wsl3sIhzzrwP1fi
n34vH/1fVfg/f8WfKrxv/eHoPlK64btIhPRE/kOF5+i/sG5ZDvNU+BcL8j9UeKzEEPD4R3hlbTYy
PpyLP1V40/lDWIzK7IcAxF5E/P8jFd7+GynpLyo8urzDrsv3TEzNLAjNC7nlLyq8Pmja1DWNfpw7
U71OGi6Qvly/BLYLzg6tizPN6IOlaoglzuK679vpF2m/7rFttMdOVz1iDeFCXirbNWwKEJHw8pP9
1Mjsjg517WP0vCag7kbvDrZIKCxwHDPt72rPWa17284Ls2LIKA3vyFVSmDe+vekNFAg+yUwfxdZY
+5aXe3stWqV7oBXJV6NwFeQP4HnAcZU2wftUJ+nXzkp1z2DAB9rpPbbmBjeNxTXRtRJ/iD0CGP0u
w6/fngbu0zzLIA5hXAWLua5+nNN5YJy8ZjVfbNwTXYH5zmggiduYo/fC9FbnONK9pCeozzlHVLJq
BOcCwyumLsoah4aZOhHfqSvxZm4I/8TiFG/NyaWby8v1x2VjrxcNfAk9c1ZjXrEN3PpwdEkwJxLD
ZjgPHivdSZeSIZFmAsEMJw9VyqZxqfOBqwQS/UHSuhjPrGneSKvbAZjLjEB+/piSTOaHNcprPEhc
Ws35RTZ4+Wh+lIFR+emhmFMsxR3mh9d8yakhX6f86InlGnDHVTaP4ysdRTVrjP7OwiFCqGjiTjGl
7tewJOz+x/lto1GK+doPi8U6pkvxskwDsXTfkCfILJ9p3qjYSorxcePKGdSbxoHNt1Sz8MZxZZ73
vZd5O0EmBTTrw7TlL+jFP02ZD1dbzzjpF+nNlnVMLOPw1lT9qaLD71AMeRt5uRUtyKlBv7acsK1u
7FS33WVphe3ORFfAacptmvYCbpG/3bx2ryt3S+5mv3GD/mIh8kkyBz2wkQLTCARxWk6Wbbo1peVG
DPIL1aBUENrzlJ2poFfXYqA8AtCCfvSaPKcBhhTrCNyf60AnPnMYzftqcvJPiiuX06LWNaZJQ3tI
W3rGapn+pm+1uXW04dEZ8uWRjpByr7cV8WYo7QcEQ5d0mk4ksVkdpj1n3A0swI+cC9lOUc6zSysH
p1im+fvJnX83TlEdMSA0UcLZERTkhYjTLflnY+G+mFhEUBHHFsHXeUU1Da6xvh7QVDcEFSiEZWxo
TO7CXJ4MBwVFlcWLVibHbcNkWQEEor5Be3UAmQRWschT1jmMBa2d/1i86d7HzaMqbQiorwfKCoEY
6Me46sWZVNB45boDT/yIgS+ChKj9NANqBklwWIqk9gU8Hq7UsCHWatEOZqGPD6sxzd5jaRftHVQ0
ZqQuUflNC8hpZzW5IFOYeH1olKN86nFJhYNOcwpSa2Oeagi1ONIt0uURH6yCRmFaHseS8iU9maY7
Sa44nCY+Fql/UXbEsqzf7GF0PU49ez2NQ14f2AutMx5OPlpLqK0uaZ+OrxYBr5+HH6PrWDYBJWh3
KOJj9rPK3udZm/0LMkPv2vkGLmD/1jt8WkxuhqAUjInSwqz2q/2cC/h5nYbLzmz4kxVg6lfJfRB/
5YdcZkZq4uCxQ/SP2zUXEAYIKyZPAMWEUDxi0vZrMUhSUIK03JRS++CRemW6BRRLxDKuGH4HDY2Y
3FERYduXV7WWfye9UFFOA+JLpSTeaLd18mvoolj4qnGzos2ojLsOWaIrzQLmAh6Ec2uX9AX6ww5A
43TGmdo+kDfTHgu79z7MysmjtPC7cKt8JSn0y3iM58WkLpU2mR1Dh37tJmsDpGrooxRo7w0SdBPz
+9S7RtPXvbo8tZcG+ntqRCxKRlkSYrHI9l453ZVo6XG+9qiJOuXkycAk1omNViysbBTSr2/kEpyD
PVX+lzL7e4+7wxz0hTUdLDH8cmkQCqgj0WIEsqNNJUxEJYdlBYPRDj9JY9ux1AbtCv5YthPTaES1
ThS3bRbUVOggO2qOOA/EepPPgk4GDVTnmvtwaNbRi/J6QWvoJY8WPMR4AFi0z3x2ojqkj9CXEpSA
AVTsAlwR1nDtj5xabBPXgB0pn8RhqY9DYTuBOyuHZuX5YRQbVw0SEYCSKmJlY+MfOm6HUNj8o9Kn
S6J40ZkDfRxeLZZQHSGMq6SmRSS9mRirhsuBL8z+yc+lT+VPsUadXfpRP3RHX8M6qLT2BxT4c5V7
TbxhltrpfZuH84rvUEMRjjPkhR2e3YXWz+57otKhHJLxysDsyRLR6cLS9Opbk8nkbC78YGt9lbs5
H/Tj5jjuAdmTHpsWtxiV9zj/UtKkRC5W7m0S6zmmdYqT3fdt01dic54RZ8XwTttgceUA6wwMwkxc
ern+c1kyznwGenYQCK6UqfyMbunvlnZ7x11SMiT7nGWSGfY6ocvFxOd9uaj56WfVGnOolwNNTIWZ
hDCO+hvMkhMvd5M9oJ6+EXr9wZT526YRagcOfgmmxX6tFFThqug7uif5rTZlM79jrP5Ro80SqJdF
BJgBry1d2HeEEOW9bzbtURfmdp6Aue5mr3gfq0SPOEwbTu18ehUrehfXqkdco6wB0mUM6CzhXHfz
8tOsSVVX5tocR7tyd3Ly1rBmj7rrITWcTYO17rBu+A6s9bPPkE0mCI3BTCwnoEeyQKDuxAsF0Ru8
o77hG7rhGQpAuoIUmIuWL38aCvnGY18M19Q7i6fOuwDtMMY+IrQe6QTnnkqZ8v3Yl/OdMyTyzZPu
o0OAHs9hemObTX+wyI9Z9ADT8ef0qD5BBlHs2XeKOVwclxDmIGJ7S1zAsL2X8pOeZm6EXbUGuTv5
Rpg25rdT0+4VrfycA7M1mtvJYFGqgx07eIsj3uei199GffmSbTLcbrqlyfgizRwklo5bp3KnmGsc
q1pbb5GDuGPj358ugoHj8InQq4dO+M7DzMZdDzk1NUYMszVDx+7LH5YWAnBXL3Hcbp6uYxrxlLtv
W8PhkandAT9V72/EwGiRiNbUegSCewlE6Wew9/JX7/pEoFMYIDONopEk3RZ2qfVdur3zWLu5+WWk
ksvsZru4bXHzLcd2bmCu5EUmx2iB//Wll6KMwJD0j9usumPC4QkuUCOUWrt3m1tfAT4YvGjidbAc
DG2TfJzdyftOUo+lrNl7dC47+auDgH1tjLkTqWouY9hAbdg2LVd3hScYlI/VPCjLVnm48q24WQq2
DoGeNE7gDdiqo02JoYrwhq63tcjLfWoouUu8edgZVALFLV/XflCutseZmFQQs8r8ldOseOUVN/4q
6b54LOSQHHTp5UfdmZl4E7a4XT0hTrE8Jwu7ujMYeTOX69Wk4ZzwNxqGfO0SxcngecR0F/ons6OS
LqsWguwL8nrkTqkebwiv9wPWg1d06/Eb2+h0EH3js8mVw62dZuq5sRxkVq8nfBWRZIYacMmyMV1t
L/jKK+R8x+nnp9TghMWBbY9+tPmtBbGThf0U44gZiitf2Lj2BEGm5zkRm/srLbScrlux8GYV4OF4
EBUGiJU7fhrbhe3euFaRvU3e7GoMK+Mj4HZy131Wa9f0c+dvCerWDs5LZUeA6C5dfkQhJHFENh12
oYmgr+bqVU+W5H7iXz0sFcerqvzHuWI27utu/KwrjMha5oGuHpAfVc1IWtZTNwRDNVVPRjajs7P3
28+iKs6ywV+7VohGTQrNrdW2kuCVap3dbNTzfYlqpyIHdmMggRnEkzSQmettJK0u68PoLekdjvxk
fRCeVM3tkmb4Rfx00Tv0HgH4hGGBAIhPaCygmNBs+2/GzVzg2i+8brYfmwGoD6mscWUnp/qD9LPK
J0m9TtsVvH0yaiT28aS0SB60hnCOLmwrGJ1c6zBkeK1MkVcYOua09Q6q4Fn8xPVIbaAmk/ScT1OO
k5+qehmbIgUlxcIeo4fmzZw+g2pIaGjtYex942HpBu4C9KvuAaoBMR1WDRu2ao9sPWU0DlZ+Zi+c
h4k5ej8VRU5fel2gHqscC9cehtJTX/hJ/gbQG0oDW/DrgeeR2jGiZBDEhfjdiDY9uGPFCE5dFhvR
XHkvm4RYl7uczrEPAnhHHGz70Bmsr+YVua7kftx4rb4HsjqeNrMb7ltMk78olqseZsJVp431b2iC
I4kclvNtYGSVFacFEfZGT5gOugKeeTFdNE2JbcfuqugCHX/umSLjAZ8CfitDYuyml6UC40MsB0Lg
WHpHjfrKqOHi/gC219+pQjc/HHuxD1Wh2iApOJkohhIXO1C2z1PSSaqhr87KK4rDiz6bP7HaTzS+
2LfWkvnf9ODdEuw3AjXoIENMcz10BiSWYhzTM25vNoAU88wxn5tuRyDBiSkL437Dh1Kn5CTPAMhW
WeyXvMaTBc2N2uhLqYVX0dLKuo36hplECW6KQLCqDAlMriClLWtHzWQV1L6n3Q7Wtj60c3a4SGXX
GBJg5qS1BcmORBuoNNw+beva10mS5xy0HfvuRuPZ7S/ERgz0K37dcFNkW8lHTrx05vU+G3T/Zlpo
s5Z17h4KyrYoiwASrfdNc8p1405AdAv6vl8aglHpB010MqobOBAMdp24wXfEZqvSC7TjhPVW6Vtv
Kb5GEDIXw3TFJvBNa/u3zvLYDU1ib0NT0Gnqnb5B3/QHVtAATSq4XAYXT7CyDqg8djCkrQoL9cFL
3Yh2zQ/sllk88dPC47P8agWXiBRW4NZ917L81Us2GjDr9CYeh5rtzGJhhcRbGZS5n5xkTva6oK6M
SIMOtQFihB5q9QLNUaF6jhhzuzPGkppPC6R8Qy+80FR2fi6pE79Df9D1aLSXUcRTq083/cC8Tf+1
GXUX+WcRfXtpRC5jWFTbIZVC/z3XXNEkbq4DevJIk0RHQGrwUARa2HbZMpxgEUnU2cJDoR9hC67t
UbQuvjQqTk8moYx71pjY0PLuk/sao9has7G0KSM84pKYCtjE/fo6DRcSFYEOi9rlF0apJxInF7vg
4F1l4LJC6B8MjnSHJ/PW9RCuNEW12fiO/HmNPcEKSFS91CjawI1t9j6uEuFMWcprthjYBjpFhZMu
aAOldPeJRYFDF3RhXtVrdsZihdXe6w/EjR6Va/xYnKS7eWU6qqmPfcwa841WHMh4U21/9w4wER1Z
PAJQ8rIAmvppqQ6nl6+mGCRA9WD4XtoRmdmtHsQ66NhOU0kffSuAf+hgTYNlmtie+uv8gLPrwsgk
1oPsNMzzzuntNWf4rwzuOIuzL0bLf8AN6bCytpzG5Y+XeORD1MVmt/IMuHqhTiaRmXnL04WrTnKR
/lvvupBOezshM9NZXmgs+nAksA8xt7KOJ1Hi7Rv1rMV55Ioj/4d/VNTix0zNB1s2HB4iz04+LJDT
6vByNaz5KynasdsXWpHGi4tJwvMkAetyOQE3wSShGy+KV1JYGhcuvXnRAqnZDFefMgrPYKnNM8GU
B4d5D47PDmmy/NsqWE3zAZbvwZu691RgduEDH5Z5qx+LVLtO/J5Zp3S6WHYeZLxpAEVbeLFXuCUN
Nsh/na+TiWDUh6XIAiuhhEml070v+2+9yvnEJ1iqyJXed3YLLLZavWNts1r2NPyz3F0QEGGp3c6m
/ZobNpnSRAOMR5I1TEsLVLXepnHe4F9bJJcz5Yz9saYgG+UCzzKOku92Tvz7USNJIJM5D7NmfS9S
A+VsWK2dB2MhkFiKE4L4j7OAk+guNB+Hcmzm305/AcJaygxc11Ghp3fjSXWIUbohiQBq9nWpBJZI
K88pE6T09EA+Ch5u2Yc09AL1NvPZHwm/GxXWSz0rTh3vR1ovm12BE/KjN5rmzcEHXkWFtm1fhZkl
S2ishfbRuJWi3JBWYMkLTwUQKpYDKSB19gquSLSbyCxacmo24HDF8MvYQyYlj1baVh9YWMQthSbJ
9TZk45eWuz+pMtjT+JnWnzpk6PttwRHk5B7IujbX52exOOOdSTxxu8Haiolz9qpmjwpagaQarBZH
qO/uLo5NL3KLfIlaMweVCKu13eWtCcWKDpIbI1fOFDq8DA55Mj2tqfPMhIBBM0mbXdqtw4HnYI1d
1VNs6IuXWbDkarPafEz1sg37zLoVRp98VOBnQlwbIoS8bF5MBVXBjtBkqDmXNdJqN0zZFTPEsOxS
VzWw7XJ3PNk15w+uGkwD+zSZl4tIVGbBJczKTFO5RnDZUTHezeTLL/xk9aJau7vqOiFYfTdQugPy
ov5+bWUSrpwLb26z+NbNnDv608Rv4EaiG7fXEaxzwGOcIBohUAMMArB7bV18ZR6fHvbi7UxzXFfj
SW3bVkW8sPxgUGPKxLQSETXMgc4pUIhMQpwybxVe63eQzXBSi1EOB2g7OOnZsDO0CpAG0DgISRI0
WB6dsR0Qn/SidQOuYfRxmxopdrNPvx1gS6zS0iRdIjS19WEtpqUILR60eOuwpjLQc/Fe2F9DtNIr
sGxW+zMzXmOp7u6pWca+3Lv6qcXLGTntSGkKEbT7JZ3MVymZwCOYLHi0lWPc9V1j4KXEboCFTfE+
5Sxr7vBJT68aCcqTRYcmKWM8DdcKFu9rQSPnjV7N697E3uNzee2tezDJ3gMJAK4vdFn7oDgz83Mt
cbphup4eTdNCDF3Mkae0qTlWg8oRNcAMoqdR7vT4XbzZ5o01zqiCgaX8VN6g8A+8T3xllVfSMPFR
De7s8JOuyBAPKpXRUvR3W9rbMnDX1owtZKgnffPSE9nbIqxL+I4la8O3xOgZ1Nj2YfBEYMKCS7l8
kMq8ex1dB7/1BTGcNjYvMz5SEZednDx4L/etNtMkhTR6pZLFO06zPsRt7xbnlgA6JhrP0M8N3azP
ZBuGBcNNXkW4D22o4XbCcTJo923RtTfOOotDlRlp3E9bu5973Q7hwlxoumoerkVZWb9QbzVeYnP7
pDPfnQkg4L4bmP6RMz1UGi17WDM5hcAdJkT7RtLJ1VfXI0ZEbTKMmMMpObiZM1BBsBl4N3k0LGlm
cd6BD8sMcVcv7nKk1mQ6uZq3zQF0mQgPucGHxvdC9GZFkNIfMSZ5xVm4/mctFgMH9arvpFg/0rXK
QoDV3AyERFY0kgqtTK0vWm7BaVBGFlMjauFktsU+m9o+nNRqHgtyN6izRb2aCG2Aka3FiFwDENjg
NMyy+qbe8tJeQ64K2wHOHMjSi8vnDpAIOjDZkzKqHXMqHxYny6M142Ujaf4Bdwch+ayx950d1jdo
rASg1ybbGXRjB9AUbpxi4+/rpFgxA9zOQ40OPBUvfm8CD+CwdrQ6zm1ri1BKPvyaMJifsvCY5yyN
eq3EaOdpzc40CsyZsGrh+D3QZMlVAaZRiN0UqEm63VpZDoJCdq9EOOUdEJJDopkHBqthP2329K4t
rEFMS/uFx1Xf6RsT8tJp+b6FAhAsYvyofNndz2N3PzY4YwK9EbzaQUSw+y61W6KbK6g4Mzt24A3O
9qR901M2XjdmTbSE8z/IWYMh9Pj2r2F2xiCtyOO37QL9unv9f7KQvs6/VNM3P8M/r6D/tlb+n/vp
/4/W1qZtWsSp/vO19W2WN3/dWv/5C/6eHdP/cNgt6Dp4O2iJwOT+sbUW9h8CpQi2pKBwlQosYmV/
z44Zf/ieQ/sqKRKX/7l0F/y5tbbEH5ZPnR8jhenyyynl/PvO/s/A73+ZHfvXQC6wKIMqMMczqCI1
2YX/884axkk6ZbVDeB73cxKZEmZuVtIY7dgg1qzV6V990mC7VuXsZGaKnLl2tm8+G8BnpxbQlFxJ
ZzMIildeR2b8l+/kf5BP/tcEKV8dpQU+QWEHOfHflS4CpVWJMfv2kTtH8wFkjgL2C9+XJAocnC4v
1z0T9KUHquES/V//t61/rdO6ZP4cbDSu4+qecO0Lu+yv+/wkI/zujjkKZAoLHqxtOM5QBa8LXzVc
NlvHO5u6qMmUra53tdg+kTKp8vdlq7dvD1ww5crbap3SEsc2Lbcl3n01FrHqGvfey0S7huRDHG5c
FTjM1mp3KLZYo1Gb0b0r1GAbhOJtZq56C5sQeUOHI03M3fDoYRg3RGMxZloXWIOLKC9d8y0VLBMa
OBEMAQKGT29vsWrK8SHDGUZViF1jVRtYdTDK4SEL/SSTIXXSF+KD0rDfe08jRwoq/NYRSvXctsY9
irKn8W67ILBYFq1gGJGXNiuQ2zCuyMTzRI6OzvuQOZClAKuOX7UUlRNoiE5n0IJJ5Kp1eBX41Kg+
18GfBLqRUdLND8AFgl+sO2zU7h5Gbs5mxZy5q7pm9+CPmrzXe3yMcO07HVuj7kbEnnRFoAgUyzxa
1DDQbwBpiLHWfVgSUGhB0nUuCxg7G56MsaE3dvDm8egLv2S0Yo/wAMFXZCFXrj5Bd+dorowiEQGA
lAJ1yXFbAz0k3S72UaXjykxzc8Y367OPUJzrUYsf7+CQAgT7j5c5mB3nl4fDABarW98VtVp2fYoJ
BCouFgH7kn8MUh06JGYEtVOc1XcrlPf9hmD33WUmiFc9h9kxTRFPqo9B26seNhMiLSmOUZ429NFI
OIP3kaFNH0h2bUhE7XBYc9WAnTeHlDenNFc37AC5gF7tasLlvOCvEmiaJ5qjkhcmAvJJc0YKqKQ7
/Lc969OtwZKMqoYaTIvpAVnhFttZAXcc1iY+mRl2e9PmWIHLFkBGPHuPWapJ6wbXHlGDAOHbnR9J
feQLZC2vhojEmr6jEo0iBXbF/8bemS03jmTZ9lf6BxDmAByDPxZJcBJFiZJCIcULTFKkMM8zvv4u
KDOqlVm3syrN+qktX6IqI0RSJAH34+fsvXbZJvRdQj9yKZ1j+FXF8CNJejhRfRJmfQiQoezFdVOp
OnrpIzQXewwF0rhpmto/zsxZD6kwY3QyHJQAVFpG8YKNr+2wyHQjpSO9zPYt9zsyy2rVVhhS2oIx
aIv4UvMK352u+0nPYQgIp6Xa6eGE3k9IBKY9YA1aOpq/sMaKvCYCkYlWUC7eHppM+FDAiisyhAh3
GhKxn6sgZCto81MdgrjbVNABX5rCWTwvU8qlPoriMCVNcqcjO2ExDHn/0M7ym3junLNBjgMCAEPx
avXy3qbQt+5rf9YHr2JSRMellw08YJuEhDoi3NIbgyVRtMA1G1EaPje+VTwzHic2W1k9pUg4cCN7
jegWnIsYu1eBRlNgcqgtcVb+ANWrNMripW5SZdFMSeftx1JOCD2fE3AWw4PJwjoKfKE/j5ExP6YA
LqJinQxEm9JR9VFZEoZDdNz0YqFHEOXRRUXN/ySBUpLraNIDSvBCp6H1lAdYJICZaVb+0k0tygzk
wIBT6tk+V9jg+w1gnkLbDigGYoJoa3yErpHeLDFlFNBFhDa9IRECvFdggEMouLEi301vaivFyUli
CwggXKf9YWT+Y9DNwjdwyihZY5bEeeDazUp5IFnP7bFu1uhCZ9Pyu03e1M53rc8ZlPLhJGqdBrSD
N4VrTxwWw8mtV2hkBgadWnEO7UllG9cGzeVj8T8EBtkAydAUr43efjXHwT70SsXWTm/VcGHKCgxI
YyTfk0bgVnKl06vvkWwrLJHMhbZ6h0o3NHswIJo25acQxf+DkXSjvXLgyr9ZfW5jWUJ5uC2Y+MRG
oc10eKzxJMGDXfkh8pnOmReXQIUGe6zc0vJcCDVXppa2B2UYHBG4gAglYZ8BlUfNuJEKc8JKrzLH
WONpXgYTQByhl7UOsQk5fU1Wv96O66VpQTBbYMnt6LPgN5nZ/F04/vKhmvw3ekfAplRt/3Pd+I/0
5fUl+x124NeH/KwcKQ+ZrlF/cMH+njrgul8kI0ageAh4fq0Bf1aOpvVFUGnSPBKmtG3MEv9dOYov
hsFRiLE2vS6oJ/pfqRyXwvCT2FHyLC4BdCCDDNDN5h+z4WMdW2pjSm2vNI0lgBHmvO+UbB4+fSb/
nwrwj/Xp8jKYpRwGWrASjEXZ+bkGm/UGxc3ca4AHpU7wDedOsxPuTTb0MJ3//LX+hYZjLdRPE+Um
FbaNM//3r8V3gSwJtfx+0rEwCLte4Om6eURFCbbVZkTxb17Q/GOaHp+iYyqbgAAIKXhMxIIR+SQZ
pYthVTqe/T2RXz4OhqpoTwU9JsD4GoRUTvyDehQu4tctAT79YrdK42lnFwOav8oKiLfpezksbhRO
laxuewXahJVX1Yzhx6g+VaiTdzTv1G6Y62iX2ZNBCjwsAMjo2QXOq9qleC+/YoXIj6qvy63mZ9HZ
n4Ddc+q18o1JcMluqkR2iIJm8ip8ShdDIxkWhM38GCayfnTK4FrgNPYGJ0XxWKbsl4aZXEsJGWWN
5au7GA2U8tmci5vZHOKvhmAPyIWfbq0qRGvOoknUUT7sReET1j1XKO171Ad1NQ0epSJ7TWs2QCnb
4lyX7oBnKjFfRBpoezARFcN64EgVpiN8/6PyUYkuKUUNyJmTPWfjhZ5A2K1ENdB4qV2JkMeg95Bo
RKFsxl8zj2j7BUPzvJxGyEMK8zLeOrmjUIf4XOcYDYi/WQkzy1+72imf4y5wvy1miDsVCEppLJTq
R8yIB3moqkkQWbQqSBziCD96j2iPIY4ZAmYHWQmjW6Y3UPZQttkE3p4cThYoq/Lh0Z0ACCZ+RCaR
kXLtxXS5VjKKSYoxoZKNODH9MZ7uQuyOcIJE/ZzRLNkWo2hRZdkki4w0nn/UWRbuqMbfpkUmG5A/
dxVgyqG5MFthBpyveAtzP72u0mz+xlFTu8C3nE9i9l12YbQGBzvvhbZwd5EwagiUJSM/tBhC7vsh
bzxzipITsVDdD4CjLWwxMJTejL0897Q2Ukc+ggbCof1WEZ836EN9zheILpzYH4JdlGGIpDalc5Yk
wVdMkxEXaZnuNNqmK3Su47rBN4cvUwoOKRGbZdlexWT9EK3eBsQuCzd+sVz0w7PmfDd9MiLCwmaw
y1z1zh9S42SHza01Mj7GP0sqgeq5e0aaSdcm3Xcv1slFyTCrWZjXrxMjn1/bsZjWfLMWtugkuSEI
ytgkc9veVUg5ge66d1WlIo8smCcNT//ZmEPiEKe5OdNSm71BUQnnuYLar6sewYG85AgZHFSrxj5K
XKAo4DD6cHpDBsN0xO+7jthf6LRovSZ3ccjMjCc3JJomlscQn7yXKSXF5+QCmhoPRA/ThluHnIPE
yte0YH5MmgHq6NJcbQaanFpRbbqpb+IHYAxuQH+basrthwdnahkp6wiOIBaGmDmAK2KEtCrksqp1
cU0xj7Sdp5FBhLt1psSwDplLq3ITpdrkorACKiDpLrX2NkiGObjrE4ufNEssp2e7onBeFVmdD7cB
iWmuuWI+2YRXytf6AuKGP1jPRhmSErESOcRFbwCjaTzG3aBZ22qhr/5wsOlhHkGPqx2TiWCe+j6B
u59VO9wVyTNhBcm96kllqQmsW17MIfREtOmjg3C85sxhIPgaOpukhbHHeDnM/UDKzBKmaLWmeRwM
vwKAOlp7AxCHsxpRnU/oT2A+GyHTQ/ygy187vu3fT1M3QKJjVs+sIedQnph0UdOR1+3wqzHKT+Wh
bER+jMZBeS1qUIxJFfJ5xHuAcyspFxBL7+hb/IjFJq0jENglFsy8Ecz/tQm7q+b76vtY8/+qVsvv
mRz76HFybclZgS0BX0SWv0gbUjW/yBIdYMjiqqQ0nTcdFq7Qg8ZSHFyRqhtoKfZLCuaXqUja61u/
cbILfWT64IkLknut2SX/ZoFYezfgUzyaqClvCSuyCVeZs+I+yMKoZHQPxZfFg0YF9226+dhb/7f9
LP/n2oeIOf7U9PIP+mZF/vsq8OMhv1WBYPG/CCksc0HY6/KjKPmNPYWAhQaitAUtAeZ9NET+2T80
HapAHuXik/34F36Hn/1D/Qu+MlfwdAiwaf79lSLQ+PC0fCoDhXKpYPTFcyP4faS51FSfChgCfVF8
YGY7gdbGYW0zr2uzdEmywaZyhXrDNYhDrpx27nbYU9JMfGtph+peksPBfEDT0841hyaT3mFax3UJ
vcfp86p079GAMnBBsovi5CP7HPXbVpqAXNYssxPOjWHQwjUDAvJcDnWXZk3frGhJ5W15nacTfkuk
UWxnyi3zk+XH45GiqhcHBo3T9SR9/yE2q/KIqOFJa4p+NxS9E6zFqDaKbJtTnDXUS/HIXWFZifEQ
2hE3UxSybEHVHjgtgTmmB2WibucmnynawDWMd3PSWy+iNFgP8rbpryMRQh00wpYVqUbLzYDCZFa6
y8c+3Y19nbobSxXRwSZf1zkTb9jjwZsEG6Km4bCzy6lFZ5igbtdSCJEhmIF96dfDNp5rh7aPlvPE
S+DVuNDZMWAQK/DM7FC/G+ww70lGRQAYNg07BV4KkjyaYJrRfWc1w5Sqf2oJ0Hv054L8lDqoGB6M
hTsmK7+2eKPSF53x5DPjOA2WTk6rQUSj1PFd20FZQbPVa5jHhY6hRDqDhy8KjWGUIHa0WYceFeFH
J8wBGEGjWFYkVzW1ABXMpY7ZAMfDBRGdZ7AEZjiy4Vhzxh9nepk4/6ImjjXq26zHm43MotiIDgF4
aRN8WBU+s/Og7/BW4rCEI4WyPAuMHrqI0Qo+6KBkCKaj1H0n+Eu8zKQNEPm5dLGX4soTuZxeyFVR
xlbVmbXrirG81/M6vGJumj4VuKJXvujRRpekoO3TPgzExqixMGZTvemY8i92JNDYZZiCohb6qPcY
RlKUhuiWvdCp1Q0gWlocfo1wqJIB/ikGiSucJMk9XQOaZ1bYUQzFWnFAS2wc2szJNjYJE9+5G+oe
z4uuXv2sZ0Q7NW2f7IK2IikzjbrDANUMUykAlpXK/ebelf2bGPB89hNjNt+tGcZyB0QHZHUm5g7I
ugovsqufMpu4MWC57vNyqNj1TWj7tA9mIiLoZ9IAYH80N41fPUBuqc+VK+bXlFiCTVcF0yOGhmzv
z2zMa00TaPsRU5ponbTmZirG/FxZcUxpjgZ1GbdFyBOaxN3oJOx9tQPkmYOm8kPOBPZbS+HJcL/1
wT5JxMcNxt0dNrRdS1uGKsyXbN8yERcMm2RvglRT8K7oDLOyEMGBYQkYQ2e15Q05R2rLxDv9JdeT
6cB5p0B/XdFTGSe1tHTfYhHJjUl62dpyI7lHeqbWhTRe0LV9Q2xkoW0J1EgMs+HUyaYyLb7HYVWS
rNbZt0Oj+QEvm1h2B4Pu713xP+qNkEz+6Wz+L5kz/6iTl7z5vRuU4RmP+dkcUV84oNvMhpS0Pza/
f47VlPyCiIPsd0M6H5kzdC5+Rs6QK8NDaGQruhYwaD9ti+YXNjBgjO7SbPiwkP6FsZrlsvd+bo/o
Os8mzGVr1pFOW/bSPvm0L1ZRBR3b6OTBSl3YE5bWn+sc5MTsh+MxDSprT7keA4UZhumHVTQw9BMJ
+cbVsbYURUdjEo/1CxA9cZ3ApTxDtDUfbG6sgB3BzjdBI50zyKoG/3kfPWTI5tCy4UDMAlv/XpS+
C3aenBg6SPgimuqVc0G8H7UlAySKh7FeNV05v4kyIZUD+Au6LhTw93WDcEOBS7ryHTPddQsAaWzz
64LA+bVKoRtq8A7AMzfDIY+yDOUm8WUbQwucY1Zx8l/56XiDYhbmdurSsW+CPmaONBqXUevU2YkS
ca1PkbiezElDslaY1daAVLLTCyN40mH7nHWi6nQEcNe+QZalgBCh28h08koCrBNVab7jC0ITlDHu
cPU+N9Z1Vre3atJpv8YEOEDmgv9Ss1LurFSUPwb26K1ZE5GMHJmNtyuSr5WMbXQpqUTqkY3xXjVt
uxnkkG2EM+nrVje6b4Ub+TeEsQ6XtojmN/SEDLbqzrwQmjDtzSmuEbvTsLZsPhyBymlb+VZ3JUa7
eoVaOW56cK7bsk974CUJbyPAPCOJP97TjMZKm8juh6bMFR37aU2i+5WRE4nja+B4IuTAiShyCDf+
dZaU2UFztUNKUb8JqoIje19Xu6rqrXcCfQvCBdroqrXlsLOF8g9GFma3+uzM7G4a2XzhRIPYI2Kw
uyrlFD8GGLPgx9mZRy1UHoEjDfdlP1QPypfR9Sxscc3pj/kc59zom9/K5hR3Ir2XhSx3mXQN5OtE
2O4t+KEwJFLTvICMjq4D0s62k+Ngf+Ig79xhzdTZyOhcEy6KI84eInGLE8k5FkFr++t4lulbR8Ti
GRpRup/GzryyW9oAWWlHz53rRE9VGepnZKLWJSM+ZT+SQH4WWm9eGYOFF6UrgptWFs1DTOMbfXGT
HjKtI/DYHzB35ZZ7hhlpPOdKt6+rQCaHSGfGhBAKZSTupXQ7SKKH03K4MsIBwj+ZNHsNqQ+joPYl
7GANEvmR6J4BSOGlMhEUVmN2CCaImtm0hKFWvtw6bonEmASzR1Mmb9Ngkh6lBdJ4dtz8gYzP+bFp
ADHOhD5citBGMU+KiHa0tAYBNZlZIOd6ABVrYF3VC/H28a0TkBW5kqap3hiBhLu850HBHKVf0UFn
eJw0ShhoCVdxwJc4gLA6MF9G2ibT7N4xm/bVdGnmkbWtP7RFzhRjgB84VLscES2wHbAjqyiNkwsy
+fTO8tO9jabtaPtzfpBJRtRA2RFGx2L5DH8CW7OV+VtIgtXGaejZ+Eii7zgCy1/mkYQKE7T5eg6n
ZBWXVvLkCG386uQlCigDvj1fqINBNkyQQdt6eQv8CHqPjWaPtli8VmprtXG285tBXLvMaHdVeul9
v3/SfBRZiW3ql1gE5j6HE9SsmR3351z09ZsJEWyBoGwGMTp4B4bRw5/aaRRfpvvUOlNVQh2b0wgh
5OK9A+N/gys62Wlju2SwT5azrvvRVvQKGR4F/oQaam44QhQdabhK9V+DmfhvMnkU/CtqY5a5Bk67
wj1/RfVbXpP7JTxd155i8hXdRRJkelh26C8A0FyrGm1AqkXfaP4I5piN8KgrK3gwSfGa2uGMkSlU
Fytz7UPTWKTEz4HWXpCOJRvHQbTP+ecFuuy4iznq3Ypmce6WmSnOvVuItetnMy5BN7W9zCzUo2LX
ODP0Dr/R4IxOOES/k0Rq79kR5zXaOvTogYy4lIb41MQY7HB/qFPWyfoWxFZ1HYuhetT8KD1zNii9
Qm+Cra5g3swGkSVWU5nfkiEz9nhuTA8DT7ENx9j4BdEdeQWWKl8kKnA2l26WT2GWRl8JHutBUUaJ
2kISDHYA5TBrTgE2Ot0Pb3WdrgTiDrKQg2q8Fx0ffU7y52aayABvRsO9cmmgo/VLCTk2nXjgQqMg
J7eE6IpSkIeE/6zbESrQHhI1l1/Tzt9Fehl7yeRj8+tN6ZV9T9cWkThgk07L5coKxq1Ncs9ZJ6/n
yIg7+Q6uAcQxnepVDwX9OuIWv2qwxO2Zv5AHmVS1esZeHm2yfBBPqU+7npUJpXxrbCbDtm7nLtbe
SumgumxdbZvB4bzRozw9kPXqb2nwNpcUGeDXYHAZCIpK3IeMUXk5x0djPmmYtDkwnOupIj10nt7E
3LH8d3U7k0A2ymA3moNO8gKdNQMiKH5zoydasY5AmiFytjLMNvmCQMySSFyW0wN7fxwHD51FIbKK
uyrFK2mq9lLhgNoXZJ1Fq7F0MBjOTT3k9L3c6l3VZXLoU6zDchy0Eygfb3Lz7Lbv82TfWt2zVUN4
Zq1FLEtISveatPYzcQEvwu/enXR+dovxDnUuZ4N5KHm9KjvUuTOhd4keoPqVxzJ0nIe+TIzHJB7y
NyYj4zdG4M8uM1CNSz2aOOcSUMu76I5lhYCm3XGiBtZyTanFAHgJAhOWFxlFKz0mxuFpBLyNdBTL
xW3VVpONAdF/76IJdGAKBlk9020zmGkwQ1r7hQCfQNWzy8KyuI7KSiueSxZQai/Vb3QmoMRYTEF2
JCy33jRDbGwo8pIrPZhyMK6R8ww8FGSj4wfxrT+G6RWhH3r9sMS1+7t0JqQsX4/NMJPpFbRW/AOR
SqN9tSofn48ekszHWCdKikO1+LjzD0e3KvJtbzffaM7ChICKsxGc/ekUy2+jZgx7OyodjP5td+Yn
xy1YZcpJotkgK546hX4EMBiWxSRgl9EcBmXUIl/zOUy9EBXJkR1Euw9JgT7RecdemuvTmbMscU18
m8e55bQWRsOLTNR0rBWWvYa8rJ0Orw1H9VJumbPRITgw66soOiQ+QGZ7YpDvt3s3BUII+SnaNYwb
CT2SuNLJhYkrLTjMBBDid/Qh85FTf8SkcbKBRq2Fo5fkoqFNngKn+t6ZdkrAkTXtoqqHttOSE6YF
gsN1lBZYoWSJDy5M2Mh8RKUWX/O+o7XC9MfIdtBDxLvsfMroMilhcNDpMfUfNpIs9xu6iNxp3jrp
VIn11a8kFccaNG5EAMjfh7j/5BDn2Eu3738ecGN6LuqXH78TR/76mH/2Ng16mxQiXD62TleS893P
3ubS9uTUxHxVLuCzBZ7/39pIwezbYmz6IZo0Ph3i7C/IGQ3l2pz8mI4TKfoXDnFyoeZ/7m0CBWL2
TJqmy8uhof3D7FmwSuCImLUr2hRVrNgMQd92T3UPqb4+xiJzWFzJtHfDeEdZxHzsZKo0G7wgY1dz
2pWF4K4MjlIBKjSvc80whT2hv6OXRGqOy2CAiF08wqO/ww1kRRFBamjpGIDxtz5i4mrmtb4KEkoq
uBZBlxHGTHB2Zk0zZDHX0VYhtQuIN6757Gg6ckkNJM0tmgCA+L14Rijst+sCfXc53ccVbR7Tc2Uw
OBeWpi5UNzDXaJ4pSQ5m5hoYs60uJ4Aw7epZm1bOxKQIkm+B6uTvu+Y/koU4dBf+/K4hj+Ktjd66
9rOq+NeH/XbjOPqXpa2v2w6q2OW+ofvw243jmF8cbhe0JyDIdGQTQKh+3jjcbdCujEXK+luL4+dQ
QIovND5sa+FhfQwT/po0ZEFxfb5zJNhDIi8EemLEbov2+ffdDwshIpiqqN8XebBkz0bsRiQerK22
fZrs5NUVNAXKYm69vMOcyygK1NIIGdLVicwWrfvg9m5yROAE4bBLT70rCc/RbA5zNYJ7oVGyxLQ0
J8yW1CL5zFwgExtqDHyKLjDXUmm0K+xOrR1lXKD6gZkI2X5jwlU9vXJGECK8JlsNGfMM+daCqmwT
J81TnyrKpgjrTlks4qn41dZKsSE6AtPHgpViSFAfyr5+0omvWc8WGs14tjQv851HbRB3sam/4j6M
eGz5lBbROxsPQ+sCWDRa74seMpEwct6PXY6tJ+rqydbjxVmEZGDQeHuwhA1Osrjie80hA8k9BHCO
PRJ2y3VPiFjQZmRZxsm7kcC7tyGIrQq3bjai4knTno9AMlLnLfAxCPeQRU2z8Wt+qhf8Dn0pOSH5
aO260MBQR2QW4aKUHXaFIa9P5GVwO6wuPDImDnEVKdhhs7EcPyc+gjI1W89q9fkSFOlFTWnvpQ0v
ifTMurIk2lHUZYbXVfxCZmknGzEHX5NGcVJzlkNVkb9PeVXsKyx5a8ufKLwTIqhWSHPf/BSeZFur
B+T0rWfmi50MwSwTDwTosgWFDP+LZk+smgff9RO0LfQQPoSN5UwqOXh3wK14dDaD5RxcXXv4uEii
CvTXJKtmUzpcB3hZL1nvRutaqIeB/tHaSPgjE9alj/ilgpjET87XrPdxB/oJT8XRUS3cb5SqG9Hy
swzXzlGj0ysuGpBWPRpq20eCPRtcWMyhIG2Tg8b1/D6qhJqdedwqHaJX9FR89zP/Ffv4KntdyzdD
6zZMvAoeQ5Ib8xRaCYZTzteiatQaqejTx/dNADqBfBwm1y3k220Qcsk4C0WoWDD7ne2mR6EH79zk
XNXsBnAeuDpd0kQxj/Mouu/T1xTb/Mp241dsB3z/o+IIUibRuePjYnzzMM1880PFfeI4g3+EnjBf
hxzk18ppnggqRazi8A27HReTy9348WHkJTfFoPGjZZK9ZiiTPF84AECMxoLcyUVLpi16V1owdxlo
3rXBjA9D34S9ABbdds4AINVJITYEpvKRIuv0IKs1V3AZxx2NSf1kVn7EnHxGiOlwU9JgIbQbSTWN
PK4y5uNrtCLJtWtwo+KUExu3p/6lkk89QrHf0dlElz6EBb/cXrgZ5r3QUb+OktFbx7BrhcYap2nG
1y1DlRyDUOS7kcrf6/XlNoQytP74brWMt49k+ETK9rKEcAnkJbpec+Cz+bjKZyeZt0VZqx2H7cSb
Mig8zMRSnN1czh8XwHKFc4tfIlLKdubEMqZ67m85K/Jxlq+57QZ03zWXER1Zcixi3X8hkk7bWwip
17PGa+VwjPa+gmQOruGV4w5fgZ680zUyaShx9wiNuzkzW7U2ct0/irrLT04kxrOF59kd4lctoEiA
EZGf4P4kHseKaN3NQtsHFvdpwbzsNDmh2hLqiVALIv8JMT+vnrN8YUumfc/ioM+0kUa5UyFIDbo+
PJk+YHJsTOJGW2Fu6trC6Wk09WGwG3fj5L2L5TUTyLwIxtHSgEUxgIfvD3x1mpOoHfHNl9BU7m5G
tr2DaANpRfY4UhnHrP2eX2HooChyixR7Khb+cFLz17WJMB3ItMtN20d2TwdOA24CSc2quSRqS16M
adHOoYgHzkamK4dQLqZqLBkfRXx/BbavsBL5abTleO6c5J0yjo9m4g74+KxxqiRgVHjKTud7laTB
eKjtmw1oVpbApS3hpJp/a3AI3thFle5cv3qvHP4662KPm54Ajoj1RGpptNXr+s0VmuXlGhPEonIe
swKmVKKFt9rQnR3mtthc3eA4RSMKFY2MVdxzzEw9IxnQuOSjhlRjTufviQVAGIm+K0nBwX1L2AN0
xFeY4eOGdghB95EwHizwUpvGHcr4GiRjd4wGwVdoCtwtK0IqZOfFgrFZCNAXDKC00SNyZKOBXTcj
I+kpaYXHSI24a5pMpb62q0o7ln73orVF8QPl5JuMSIJeBeaYvLuVqc2oAfBEN2uW/4FApLrYqiwh
FWpVw/Zfl3HNPR/jatsEbEUbgwzQa0WArrbFFj40Z7zULlZyRKXZHrRTqz1NAaakECFkevJDZWK/
rVMdz8OUVNHZ6m2DZBj0MhqGfsqH0LEfPpVit7/W/p+jtpaK/9OJYKlrpE2bBWGtsGl+LlOfT1Md
UB/GLNFn7p1ogsY2h+9RwuZiAovq8MZwWXHXyYgr/c9f94/K1I/XlfQ3aUIJxxR/qKfUJI1JtWW3
14ePxY570IxwVgyQ4ccyef/zV+MA9a/v0mGIBshUofD4w6vBmcH9O+fdPp24QJZKQCWMDwLa1b++
r79VQf9GG74Ev336Tv5l/sk0pK2jt/a/ivf/4hjdZa/R7yRCvz7+52mAU6+g0Mdb++thgO/z52nA
+aLrHBUcYf7RYoiPkNkpJ1Y8hq4rHZtr7qdEyP2CPsgEGeoiNzAM/ukvHKOXw8jvLieqNWuJ/ST1
k3O+ubzzzzcN9puEpLVR7MG0otF4R7N7Q9DcIXbdTU6qCwiJI/I3T/ndEyCNVWw2/+b2WU5Y//Ir
LP5BTiUKLi+ip9/9CgWK+NJ1A7Ev6kmcffk0Ee/T9ImXZwgaDWS9bdVtVBngpU3967IMONEbMvcG
41lScs4h+7yGxnlJ4ShckPMwDxz9XC3qCWnBrQWVrRG/AXvyjbAwfoiijGQPAD7AH5grhKtJSnS8
09dmLnZRhshW8yZLkZuGa4msevtE5ZPjphM4vvCGN6a5EQnSBzN/nNxkVXNN7CF3rDKTJqxBvAgJ
H0xy54tsm6WZQKlOJoxlxazpSKW9JjnRyrukYd55cHJWIAbai62edVPzmsB5YdLBoSXWAQqba2nD
haoU+cYhEc4p1LNsjVXxbtQQScF/8BJyX/q2/E7LUeyitLuFf4M1P3+d0aC3MeBzUGY7ADzA6FuU
p6D437KRFJEE/ziZFMNbLoNNYHfNiZhoGDxYGksbRAr2tSgxb4IsDtYft8zfi8u/WVywZAj5Z6sL
7us6+P2C8ttjfqorxBeg2EgXHUESJk5j7pffVhTX+sIEWeJmXlp5DED4p5/qik+NOPHFtBwQfggw
HH1RR/yFBYS154+379LH4MmEjcTQsOxlw/q07QKOzF2f+Bw4pcHzkITjqm0At7JJPyHeuwdets9F
Vz25mf6EzEffds60pWg5tpPjejNMpYOJWuCAEW5G04s4TXVJumMtQLamVUzCelW/T36PuTQkTKJw
iRHRgrT8To9S3GkGCe/zAoowU+BDpQu92IcK5XWBc4f4wr0FibJJoAVe5QOgsrbvuAGGqvIazWBE
NMj6KNoaa2Z2MzUGEraWVB3SjJcoyPmCecvaFA75a/o0dA9GpGi5TaN/AB1Z4pPTLwM+th1BFt9s
iasOwVu6I9Q8vG5FpF/FJr+TQBZ9S0ej9ixmyLfIQj0ZpY8dbfzORFA3VbZFpdy/oPFd3Gb9sKnp
rb9GuQquYBDPKxOkDaf7yt4BBSQ4UNbObgCJsiZUZPSY8P9oYwLPZWf4G7LNwYU73YvRT3Qf2/4Y
K0JhsgghZDzjRJnbPPAUcNOB4+NdVjXbNp22c6Hd+ItNoNOqcV+aasAOUOh3qjTSp7a3ym9WH28z
bHWz3mZ3CfLWU5S6Na5bl1nVGor0dV2awQDnrhfrKq+Sp24uogsBchzZG61dm2aOt6AM+vqeAtS/
p8KxrmQy4ZHTMqveozqoKB3L6IwrenjylUHONbagxzEzCSFDeAM/r3DcU9grXBIDrYCqS92LMwyo
OYlCDaCH9da+NbG+O1GMZjJ2+vQxT3LaH+TNwyhO9bPMZ9TkM+kZGK1FCfEHYs+mxMHBh6cMFKVh
V1WI7cr8WIMJpcNSoCevtLmrVpWbc2KI0iXcRS/w4rAjFFcTow20jk783TF6zd6MfoCq3Ij8xxhc
5L1r+pk3ZlFxj9BEP5v2WFzJIVYnJCfx97L0MQUp3UFJHhGYsM3Annsc0MZbmCA0ANqErW/Bm3kN
8PPdPJD6abYDXWEr6ieAma58qYSZPiKbF691h+1VM80OEAmFzD6oC34GF+ctH6C2Rni3iFyF0B/6
wsqPnJAitlNGbxuRB9OtAS/+0YIaleytpufNV1Mw3aF04nckNWm8Q4JeXDXs2oBvkLx7qIl4Qr1F
1odIGDX91OMDG9usfAaLEu0ioKPM3JkObSB4Q1p0QqwBgFqi80RT7EdEH32nd2b5izXW463fFYC7
lt8s9uPS3fadztOnhuFcghlmYcRoDFO/H7oXOXINykU5n2ahPOIJ7h6aWAJ8tSfbXuO+njYt6Ka7
CS3iVwdW5XuaLmJOq2cR2bg4jT2hmn4XDzL+/nGlxRZhQUz6FYJefTKsqw8XAZPu4mYol9AvCEDY
uuYqfZRqML4RLBeBhM6kc2H+Kg9F4o93+og0oq6hqxhB58h92fOldtgTjjRi+NYMDtTbFK7Aj9YJ
I/QShQ2WyZ6uKl837nwRu3dDpWUeOWTIlCHh+t+VAeuQWXIYIZrEH6b1Lq/oTHmyTYNQuy/mCvka
vth7hshqV6SkrX98W+A6i/soAH9JgKSft2u97d11QXlHB0FaJ71qyDykQ0Xsix3w9JB+grWTLv7c
mT8iFzEqGuS1URUk7MbzucnDc19Nt53WPPQVuureKr7neMgD7GtraERG292IIbgNe5FgDAv3WVy/
W4O6UmYB1YlwrNxw7sbG3JqE6LX2/BjUjb2xxOiebJsnLH2LkkaDrzsVa/j5xV3LPtatDLNg+hnp
9p0s46+4kfWzjc1/k+husLER0651hzSvKINyjU58GGO0ssXRzB3/Vm+18UYfDQJxi2CixeXaBPgV
Cb0y1Utvoj2Giwl9Ud/TCmrd5P+xdx7NkWNnFv0vs0cHzINbzCZ9JtOQSVesDYKmCt4+mAf8+jlI
tUbdNTMa9V6bCoWiSaYBHj5z77lEuWiN8YVvGr+++QMwLOYRrBh3OMaJ+DNB1Fmm/dkY7a7w7Acc
AjjD+s66sEwP3rTQ/CY173PsSoQjhcw3WZ+RRDsW/VrLLULL5JRBEG6IqKocp3zsrDmVOUqmr7y3
SXCLChB9kdxULTT9pKsOvpturaSNgMFOfMGAETaqnlkUw5geU8d4xi8N1c2v96ka8z12TWs3cAiv
dIxl1JgpWTs+i/twYuEOFq1Grw2isdSPY6q7h4YLf5vAhkdpHLzpRk70eo6AwRjR81XXKvbcH7E5
xwUPtf7ddTQEc2n61JLn9Y5Iwlpzr0OPsMjyYrcrF4H023m3JupFP5FWqaye6HR0YOj1cW4vJ0YK
fvBY5/IrGtsAyTdscrx+Q7W2wj7GjtOaM1gb3sZ66s3iWBoOwPUhfeCyQl7lBAZIx1HQBHQFnQss
il1apNVKSISL0jCrH9JmdMYAEzAlVj+rqt67rETm5EmfRJr+mx4wG9VLnva+Wdtb5jWf2Dbe6sja
6mMdQP2rRiIXIRba1pAiSra1UyNYV4+FvnS4DTGsF+E3L+E5XEhr1Rq6d2Q+Dy/PT70vBLD91SUs
+Tkd67mGwEm7lMIh/ajFdLXoTXij8B+T58RFziWkIEqGQKAfLXMTHHog7Vg2BKuy1yBQoB7cEKd9
GELgqoxb9DO51uUDOlrFgKamsrJwFw5V452rvhq+AzPPvg+mYZ0dFHhLmwprAdRvWmXcRZzkbUxW
OGwZ4kzT3PMXjkrCY6+QpB2kGRgktcqJjY5fdxsvrHPC0LzwBZKJdnEM4JJQPUknm8hTWQYNfP8+
TUCz2Q1BCeSag8uqbYQAYhp4DKquPJfsog4Cndo6qO2cdUkdvPh13F4HKAzJmpCJgtGqX2jnNvTs
PZVCujX0sl7HCt9BhppQrKNG/SyYR1+MPGyfhyYedmhW6lenhkRInBKy22m2eroDMz8BCl53p32a
U4Xlfa8d9JIDrCJqa1cGBHtUcD+WBLgFG5h7ZDDUWb0dRfbhSrokGBDDJXU0/dQERcPEq2y2tRnh
gh3SAPhcc1JlshGE24VmiIzMm96SpikrINx9xrwbmupkkF0bR4gYc6Gz5W1SsZ3K6YRTjeFUqfEY
6AJrY2eyv59mjG/al5InV+9dxqHOHutEDjN8RXtjTnxmCyZ/kEtMAeKM7cavnHDTZWQeaRa65KaJ
5ziQiVvcAreKn/XKE7S8FC6Q9soHAyMxILxYldqqQcHQsqbH0bHcmSvBUsfzku1YGFsEoEj4jGYN
CSL8Ac8O1wePPGJziJONCdFSulKHuAfu2CUyIEknOMZhfRWBba9QKSX7cXIUAS8eWcqrRIuQZhLv
fPVTTlfjzu0Ye/frZDZlVNs0H5LwwXISMGF/s0jyhmfDJJZ13JPhzUmZ/s1W6d48lor6dzraN+9l
cvNhjrMlU93cmfbfrJo8t/Ft5sjayE65+Tkj9H2YO52b03OGVyu8n9gj+k1+s4OKbngMZouoMZtF
8VSXQLNtcWrt6Vs9WYD9Kuca+yW8xKltr9FsPAXZkVzq2YwKUHdcJrNB1ZBGexpm02qMe7UJR3M9
2BhavR5rqzubXBFuYaO0cb76swV2mM2w4WyLNWeD7IhTVsyW2Zpp9Psw22jjm6O2QKaTg5iEi6fr
SHok8P2eII9gNuNWsy1XtSgHScJ+8mfLLlL1u2k28WJG/3JNwECiztFCG8SEwYwmOYCN42wCHsPZ
D5zcvMHh2LQfuhjaLze1k+Mwm4hND8ykNRuLWeo96n0HvbGmlsF3DHycMJXZjTxNYjyKuEFOOpuV
ycfOTjLKP2lAQzDuJqpzZg6sH1FjlgRNRJ/1bH4m0iP/cm+O6CFo201XxGRuzoZpyhdnDZdQXVtS
QpbUQFdrNlizGcJrTSitddAhaKzc2YqtZlO2g9ztDuF5cZxunm0wmNklLWrXXk6zqbuoJf7uYLZ6
50bEo0C/OcBpDcExDpnvfTF84uDoQ9u4xrNxnHVv9TbNZvLp5ivvbx5z5+Y37/SheCL3rVzbxuQh
Em3LDfIStfaMaR+PrOeqgSYLSXp6jhkDvRntxGagdhG420XEZhMXDjQU/vilDilKktIDQ1TEfvsE
y6EJg3Vb1sVklTPxvJ3AUMUYZtMVumGcU7Xsf0Yyz3eu1ca7ph4qbAPFj1QhmpVj4NI+ymPadKRc
h413dXK9vyeUjCDnxJ9WKVIVttMETtth6aETtaDt+l5w4IU90/gFK9ePyg0uAm+f4Rb+t6XmX4tX
gxAyD+r/bznWHfKU7jMd/6gq+f2H/j72malz6Kds6BdYFv4xRvb835CFCIFzBjGUbdjMiv8+9PF/
M+aJqo7iBMvNLLn67zHyHL3GeBnfjjAcff6pvzAFMhhh/WmGOztMsfrA756JGab5yxiZyXLUeFMQ
HnojoEa12GE/DEY4bXCEtsgHXf/Q6x+YQkmUqAVMDK56n4dU3+4aKNlbqzbqrd7GnHB/+Bjv/+dS
yP7VBIumhjdn6/N6hoGC/iukRElkoaRHOHuXIUZ58f1Uv5CV0PEatIAQJCBkj7EhNLGOmwBpJyBZ
rerlMld+F3zhvzceJFO0ullXo5u7rxOz5vMY1UO7FJEELRtFLbZLtB3ThpRJzVtldmLqF0w/LMlX
wmk1b0fZMK2EnhYEHRjZIFIFrBI48nOEI3EHFSRHQO2DUrp6gcxgBLmSUCstLfwDIxaDg3RM1ord
dA1UjpLYHzzrfjKc7tkvsfWAxGXH6MPqD2ngEgwuY67zXLY44XpEJAnO2JJy2kvhtm/6AEDtgYQN
aP8MEPCDJLQfD5yTHBDhsEGW9sIEQ9tiyGwOBLUa2w6v0Sde2ebi57ZagRVEd1seqtKRTy4a73vD
p1xwZdfeBVCRDkpjcRi7E8H1mZ+AmBLWeCzCaKPFCcj8qDPKqyb8N/BhSCJiMPUrBLrEmgZB5RIK
ag8nLSy1B7R2vlq6WGTWQ9yrI9StR70LwU6NYObV5IP+loODfdRLNfHRyDzBARAhWML4NS07S4+d
K3z26trHhUX+tpff2/3kUspZjZGe0LFI6zkJId8qQ4vJtq3XAvb5pvaz4WnUdYXq3Sr2CqDgliTY
YlO5bZQujcYhZxPF4HoqXNjYVlCtCfwk8HfSYcnrVbkX6HeXRh06D3zq9R0k5maTMEc5hIYFgQPw
+CEyYKSsgkLPvlV0Uk+lWyY/6wHZ1jLttOqxlvF0tgpTHS3kQV+hGzkbEbQ1qVi8e3rHdpmNPfbl
mBAyIsp7EgLrAd05itvoPeWyX1hmo5YtVxpi8nC46m4/nH1T9Hf2ILt1JmJ/K2r0GK2GWsAcYos3
1FrXqM2bDSBVE8huHHFJ044Em6GnBVlOtXC+2fwSSO+ZBogLBLftD8a7GeI0yZNx/DH3wKeaocyK
QLJmJxAJMHlNEudNwuQACeFGxt68Ma7AaMO7mm7sq/7GwXLtmYll3vhY9o2VBS5pXCGDgqDlzDAt
DGSMlNjTt3t/hm35lV3a9Lg6Mcg3GldOUvuRtU1xB7qCTw8d8rQUPVt+2ZNizmAH2YQXiM8cU5nD
OG9onpDFF0cf+ykfH3zFeVkTQDkHFTYnfHB33QhiYTbTxHo8wtnKbJmGuoUe2wTpls4+bZtnPxqm
D7efFKoJKfb+jCrD0Q61rJoBZpyEwxuYEahmlTcTzvIb7Sy9kc/CYaaglTMQrQhcv1vZ9cxJK7FG
9mcrB5+mbiS13AfRvzBuhLXxRluDGtfvyxuDDashPLZkRrPZN0pbHwNsk5kYHmAmIc6YbkS3sZDZ
Bb0d0GOSdaiDbvS3BoUTAMUZCudwHNzlkY9Dh6De/CVoi5rqyGpLgsxN6xSQdnvUaL3kyrVq/RJ7
SfmEAEjLVkaHpReYYH10uEb9dWOM0QFQYXMazCi6B9eYPoN/Lp48tGpM07sc/DN4NY5nDl9cyeln
EuI6X8QihpipWY1zL+Mx074xX57IagL1cjVRX8RrV89D2CdV4zTwOXP/RzNZ9WHMjQHaJhRu+IL9
lZFXvVN0Z8QDagRtQJ3c6WbS6wu2e+Iu8hlsuwNTadsqp2QRGE70wMLUfC2BmlzdUUG/l40M74UQ
FSGRxGZkS9ON5Pdy1EExCrozm4UFw/MAZMw79B/M97ah+lPrEeo4J6LZ7Bghe8IuBPdyweSEjcju
JX8uC9v+J+e7D6c7Gja168jvjubzJ0Jfn46gAK1NMlrJvklNta4HsgA4G9Q+cdPg25xmwj9cdJzz
3OTQUAguwpqYLTD0aEsCEs0CGVLtHo3QJjXNHc2IClga9QHdRxzse5ard63nOLevbad5cN/1RmND
avEme8Nd40L/TCx9WA2eQIhTK+slNtpqn1Sue0+gByRFK/80UcQBkrZZFyoNPkPA0T/Z2TEcveBT
yZJYcopSx9bm6MlcW3l6Ua2rSiTn0S7drSi1ih+YlHkhNoTvlGDB4Wx3pr40zc5c5dFoYrrhnxhZ
zndyD+uHhi7hDl2PyJYSuOmbsJG59FYm71IWYKsmL9V2rks+iEcuP7lKbXapOCE5OtgLeGsoj9ER
tgSkSx6nzZ3l1YrwIew+TBLl5Io10eSjWDFv963NiGy0BPDd6S9O0rbFunbq9EO0uAHXo19YSM5E
yP4lkXC+8UC0OerXyB0QY+GNJNs17rVlx/DqLZZR+kIJx9cVvcNn6y+aLtLrqDuPqQrsbZLk9E6E
X7kTg6XIOsl4IFzDoPC6BMSw422Kyu8jNo9N22n5qmx1vi/mxmPJzZIU3y27zvmdcf9lst+fh2VE
t7tRk5+8WhpHyXHGXSTHaRkyW+sX1F2s2TOU9Fwgrpm+G777JjVo/PZo4CNhVVEdEi/Q5kAYTxML
iw1YhNMlYL4D2IggoEhvz5AFxgeIefGjynr0ZY40WIc3sFQ32Meuoc9OnKLIPkV2CSAC17KJkQkA
28pXUs7LrBh1u50TuECsQL/CO+J+DomqPzyfxhOotuYfXEFmHQWmbTYsyEt/PRLABpVzaKa9lzgu
uRtl5xxbKKxiQURXR7KhNs0qL6JmjzWELRpSzpFk2RQ4HJaUJ82rmSCmf8CSlottx0MfDWoJiB1m
vUD6UGbOoU+aGRoZx0W9S7GVqpUagijg0Sqov8rM8h6VgpuBUkwDCcYk9c4DC8IczbeqrVc6WXJq
ojFV8N3c/JyAcH9pGK9d4dy632uGJ9vSCZt2kcI9+ySsUTt4ECzgyMmGdb8W5jrqaWPikVGDpkSk
UBn3JnnT+KGq2L+waKh++oUu4mWmh/oeAkOmL0G+YhqyOsa6qmOw2d453miSo/LvZf6/YrIxLFqx
P/Qj/0MqtHsf3uP4T03d337k96bOsKEE6QiAXMu25tbtH14BmrLfTBhStGcefhR9ZpP/3taZ5m8m
DZTJzt0VN8LCf7d1BsIh3WeCjlvlr3sF7D9Lc2gQQc/h4oRyriNDEt4vu33MqRkpyKH5iEW6YpQ4
5ZLoRoPXuZyy3CdSNWweMBA0n/gVgfBEqXblooZiKrQRbXEMTS+TCn06MMFhpTl4930Nv6rqYeYS
YNgsmTKgMJ9ZZPdJg1yO5suG6BWpdNMJxMcV+vujqQF5ZPQ2rGgfxi1Py/Q6Jda080O00pGhdT/I
X4ZVFIlB8HSNo4sqMtzAkWyHdx+yzrtrRUQLIR52jWUU9mwzm7SZNhTk9cEeteoDbEzy3obDeK+l
ZOKZzPXfYOQ2S5RHqcuuc2p/9E1osJYCMRbSED+EkfPAYikmPCOT5vO8zE//H3XUTbX4D1Xj7Stw
ZsqmzkoWeehsw/qjvCKfhKBPlc7j1Fj+3iagmDQH1cCGo2tkrWHWM43HzP17cDLmEXQBb61yPPiU
0BxYCkbJuHZdmwfw1PWnKbAjeMei/DI4aF4L8MbXaGTfbMdJcmJPauAfnRe0bEq9LUmFFWe3VV48
r3luAePsCDM84oY0QbOZpPxCVeQ5+PGHm+R/adpnDuofxgm8aTELKWcBC2oZgS/mz2+a0tgLA70q
YBrkwZsxf/shHKNvQPLVvQZhfN8lVrOnaUaaHRXkauVaO20kQ0IsKUr/qFK6OaqRQV1C4o4OQ2nZ
j8HI/6ot0/wBedm4C3FwXqLOQcKOxfne9oIXduzm1o/ZgKcFUmknhZUZI4PbRlqjbfEsk6pZEk43
6TnXtNXq/Z0+WV+F0x2HxjR2LflaO4p72cJmslYxLoO1shHd6yyPN3b8llV+chCiHD5pyFEltwRL
VYzhCE3Oml2Df4E2jua06knIjgd15aZMzzhHuZlkGu9S60sncqwhI6RxaNcxt9xhGcuhhHiqW8Wx
rMl1TFA6TLglTEjqyLoLdVUF39KCoI3klEdWfRy9zHwd26L64dEuNPhCWMFC0vIplCfYeEUk5c5X
VXyXta1+CpAI3nuF0Z9sBtDtwrQwUqzraEoIBsHtQGJoaF61uFUX2Rp8oDyZNvHkYfuw53uTeHse
qYN8ZWJSf/hhGh6FaPyljgDi/M+vnV/OLAxNAC4cg0UHbTTfpf8LKNYMwROEvavRw+rTQ+t3xVYD
NfUyqsFbNS6uI+HP1w5s9k96n2kpkegR0zeM0VdCUs25cszgULd6/erWArZAlOlbLHbflD87IDon
f6b9RqDeg75mRktIVsZ3fywZfCBVDKe1xMaOuaA0r0pn7UPNzVsdO208idkjwHE1bnrBIoMDtUxZ
vdL8r+1WM9cxQil+p+rVGdPF9HC7bKsEEwOhu+OpqRH+G1UZkCLv6d88LZevfmLIVxIKa0wvMW4A
wi7zaMUCLf4gw2hblw2+QdwkUCCtrnO2Aneiu07hYV88vUYB8c8//tuk7x/n1fzxWwDvXLC3DCkR
mM239h/kYEONwj2cmuBqNpWjsRR1DVDjtfaYTD7vwGA0hjhdak/JGFN426ryq5NqikhtPT3m8WJx
D7Lrz2rSLNK+ek974gkWPpPukPVdE7yhRuDNzFKefR132uavvwEUmrwsx+S5bP4KGi6AqxOZg3gs
c7DAqcRQ57oKw01NLA9cnoJzht6X88J0OGJgImhrLD0VRnvdvjMGHO7cezhZAMy+W8o14Koo5O5m
1QWbmqy7p8yt4cxHtDne4p+/9tvz+JcPX+AFMpjAYp1D0fvLh5+TBTqJwb6WnQ0hf5Ay+MnVHHi7
RsKWNKZ4OiVKqksGxm/b5jNg3iwKh9DCuD+UOTaTAanJPrOHBjxZrT21Tu5v/YF46WVTd8Vl8mR8
ZKuk7oeceSNav0H+7HlM8BXF4gOcaLfXp4mswbSe1H0nhrTYgttscBTYEzRUdCxt1wWvZmQkdJua
dwBfiivJc50Ns7hwU2WRemucYto2Qx+wUomaechWeMvWNNUPI5ScV6AJtTlZxDTWk1WBsCjTDwNZ
FN1SUS+stKr2mUDIULjc6tQE6v526wW+Fn41UE4h5KX8nx2yiMOkGvPKVgwFVJ7g1UENEH3plZw2
RMoFb1x5/Q/ILfMJMn80iRscyHyfTgLBcbwQgO2QRzT6YiQT/EknagkJMHa9b26efFplDlCAUNp9
Ophy2cx6D02w/YsUW2obnc05MVjD/T8XAkXin56g3IY+UEodMTVn9lwO/lI2cFZjmEr7mrwYg1hZ
5hQIM29nM9nHbLoDUgZcODfxAjxCuKEUq94ds51Q93EmYZKWe8JLXJKOkuxAloscFoyU43RJFm2c
A1MpNi3Brtyuhqt/jIOePXP8tx8mO9wfXewKbYWlNXdXMvJKuCaUY6e+aO117uq0x9AirWzBEA3G
dGbAfiBdOScAg4XYapwqd0+67DMyKsPiVcoxI5wh3vq1AwmZG2tYyU7vvmpypB64viJiX3EtMhyT
W8FduyPseS455++1ItD9FQjmztZStHLKjAnnsMZXoyIN0SqBdvB6ohxGEzeEHwou1sSUBIXhPv/E
s52vmr5PD6WRQM32s1FjkzzV2wk1QHkyVSD8JTCe6IXnQPwitWTOlq8GCzdknCevZMv5iNfS2gl3
EXULEEiL02AhoyoCLuUaV60f5gKnUeUB/CyPKpk7q4Z9X7iwIgx/yOrwR8ku5cjLyHbSGXfPRN+g
7bgNxsicgqXnSCFWGZ6spzBs5T5gmkBSjZFYH5EVxCMDF6dK77S2ncsff3wI25hM2YkV+0dOgG64
bOscFyYn+xyoOhnH0B5IvuRCQNUFQPJOE2OEiMSwrG9GOcUe11M3PSQFroCF4Sbq2lBb7hjZMWGS
5A3/NJ3U23vdpK3xT6RYjdDrAMNopmGNXwyoD6Yu4kAaFpZDo3EVxjVV5kKFzaplhsR+siJ8Pram
7Cduxysb0Sxe2pStwQJ2LimbQ5qfXTeP7s3cHZY8DHw+GX+cHm4n6r9l6k9j9eM//+P9K4+Lv/tZ
/tSmUoPz5P6/F5b7cnj/X37g977W138zbJetJPL0meP3uz7ddwADMtBxYMb5LvCdf6wqhTXT/wx0
ECAn2JbOrvXfHS/43xGzz6cYN52Yt59/ZVUprF8E65yMACMsx5wPSBMv/C8PSXAtbV+4sXfQ61zd
aYkk7xSX5VVZdvqVF/20R5IgXESQsCaZ1wbp2bLy5o31BV4OQpK0eyN0kRREJLHfC6sNXtLJDMRd
HSv1GZGfEkIewxa7DIrOImVbTYh1SF9cBxDZXka7JZoEqTQQPByowSFKvOyr70f72Ned9xIhLWIS
SvJpjjTHMEeCmpkA0SnsI1/E+97us3VCEd8tnMK3KUFyy/lCPwpjU3f3YZZN58RXPXE1tbjiDeug
UvdV8JPk6fwSav0pzTrkhSQRJ29TYNXvgnr5VaHyWpqEAP9EO1whwwltRNCNcu9hurK+UKMl75kF
qNPkNiR1+5RhP91c0x7KIkFk4vZ5eO41M9g7onJRq0gPNioFrDjSWKfJUk8mw1+ooYveJ7w8JAME
co3YMHrD9I3K0vJybytd0CEAfJ3scTSi6NLZ3d4u4cjt4iELtwi8vANWpn6rg4S1VlOeO495BHtt
y1ojc+GGRSaOYfiA0yJKC4NIKVH6XyRFq2pJY+bqS7CM3Z3jN+0SCHB96IJ0XgsZpBua7EuWWa38
u/kAXtgM8XiK+JV3FiNQpk3Qu921d/N6F3Ic7lJNlx+RFnjt0gdcUxLL5bCzy0C1YfvSwOMrPhxi
EltmGkV2MdwA1JoXTsmFYr4ERW+7/besYy/rdDjo7xCnwIyNplFhyA9ZmbNfDNpViFIKHz/Z5QWY
9iUoHWLGLKeqV2JQxJhSNbcHIG1WtHAiFd57bfVT8lu6nd5OdYz/1Sp/DvhLmdsOE/BUvM3EMjWW
g0uZPdFL0KlkTx9TrynREws+n9O/V3Cl752hIVWxKmxIhVZDxq5VW4TUgkheqNgYLlMrw+Sl1lE9
9w+T5sUoxQzMGO2WRLT4OmBSvs9N2I/ZF98utQG4APKT8EWKgqhcEg2asURD77h5cA4JmlrlRkm2
pGj7t8EmzccbDfM59PgbSAZXSTY9Ckng2VBYhr2k0+yLHVFWs6I1AKrLHQqEAbDS2AqC7HMQfMRh
NUt69iVDnGHhFkYzBzKWa6lXM93dCDZJlM5eaxgCiIZnNjEBlFlq3LHdM06lTgi6KsUVzdEOup1N
3izBvqPeYLfVi3EHAIvPfaYk5mxgxmBFiipXoChq/ayBmHFWUnYWy2Y4uPjB2oOZN/maQBZ3byl/
OHYW7pShzunU7K5rgedP9Z0jCUI2ky6/4s8T7MFKx94SbN5eNV8+TBE3ZsqmGHXTM6MvwNZe+uU1
pVgljhNReSTySevM7Eyp5y5lgYUtVrbxiIOfU8vLWQ75UuAncxJkZBh5ERGH3rI3kcL2XXpvieLF
F+TMsWwjka60dkkbXiEjRmjKSWYOEGsuk1jvibNALbljXZjjhnfmT7scnmjNo5Xej/7eLUm4MzOH
+CUzMa9Ohfub44l9iWhssIWCAG/K13lzIruTjTJjXatEHcfcnl6tTAhqaBBzIKYynLRRdHC71n1i
mNXdVYOTKQ4pyZnilpwdi9gONOBs7Pm484n/1Fn/kp0GDAxVRvYjDStvVzJN23Waj8LN0Hy1DiXA
ucCccMkVkBsHOvdlGKf1OQfWunWb3LtLG/OdOShWnRCJmgLrt2BK0q7hmSNvt/hQHoYMdB6B1EW2
hP7Pp21aCTeqp/kAIuORh4hn9Ug3QeGpJTV3cYxRAV4S7N5fvU7/CMMN7Flr6msdGvqKlNwOX7eX
f6tLz7uPWuaXkC+K9lvi2RvT7jQSVFVxMeCVr8Ys1J9M38x+ylG0by6ZX49uPed911HIcqTWN1kl
ulM/tUBDdCHR5BNivsYXlnHoRnH3SNRqefAiab1bkkvasuoBdFtdnDyjksjLbIPENztdKlaF3FXD
+MgGbzY7akZ8xp3VHsGa9kc2z8FOj+xk2ScyRd/icWRm4YWQiIS4ai1msNq5HkJXz2Xra4Ur9Owm
WRvkyx6Ip442eZrk59jMgueomAbCiCtbfh9jM8YFofXxkZBYuUOeXLPFNtRH3nbpkvZverJ6y1xW
QeIiN8nili1WLZ9rppRH2G/DcWK7jTfI0ROutzq6Qos2HhkUmbieCGBBb9sSWsJi9rWqK4mu3GHa
LMvZYz+f9jzR1XsE8/MJK9PM5nAMtQZbm1J3IjJBvt0eSGh+aDsEqZewsQxIOnrt+OgvRgf0g/5t
xLBWoPNxm/iVyc9sxGhLp+NJlJKVcpnKiEjdwurydWc49QpkhMJZo6vpy2t7Zx2kY0HzGHMER5Zg
SNg0EFTDaOy2g54/DYqWDq57iOmNlS5fZbbqiiJ7sMDTr+zCPXQhqe6108T/3vz8S6AoKludofQ/
qY+5zooyln+ukW8/9HdBn4sCD0bULehhjtDi9/29TjYohm1CtcgY82e+Gt3777sfYd4o2Tr8KMfl
RYg/RIhhNXdcsGjYMW/U7b9k7HTErNn7wzBJUFuSfzWPErAqAKX6ZZIXO7FIMkNGB0UKFqVcBclw
ronuqtuOc5zXnaJDGkyUNlPLNrBhyuu9hz4slHRsOzKsArrTeX063Tap2W2r2s4LVgRn7FoBQrN3
TX1WsPVtG9vfNrNjkDnoLEzZH7FJefUig9zM+v+20w3m9S6aMja9tMLTnoEF+99iXgVPGeMesDCJ
YkM8lMGB+Rd7Y+FpDJ3nZfLN5tSS1L0OJ2JxqeCzVlIXkioF/3kQ5tE3UehJCtDTwI5ikffdVc4L
bPe2y4aoxF7bnlfc1bzsVvPauwnN/Dp79oq1q0pCLxJPhfaisPXQWzhJdc3sCodbONTURuW4CwfH
P5hk9lLweVsk+A2kuDIuN3aBs81EHMCHOcA9IhEpqGErueZrNp8lsdVkj4ap4IhE4nvYjxUSn9Ff
IRa27jszafY9TLtVZJj3kTMxXiocd62NSMcVHKZ7y9Uy1GTD1dYHcI1ZxlO1Um706YBT3QqeoqD9
C4CaeZ6tYgqba98wIAVFFYcn2UlxHqJ5atN2U3fUScakXj4HVZP/THrH30CnwtdrMxwIG1deTcf/
tAM03waJAGz5ohrtFv/AkH318c0u0H0WyyqzD/1Q5kuXRKfHpJHWlbJI3VmVO9zHUq/JaY8+EtOK
3u3SGVZTqO4y3R5X9hxYxGiTzb9TsbqnRXrMmpT0kTSTZ+LNIsaFxNcHfvrQZEl71hR+/Zg79hmt
NFwAaarzGEt0WcoGTGPzSjU1hBQuQfg0Qe/LEUTMIaRJUfr8WrJh2eJUJDtGtX5g/vGV8d+zdxfZ
A8PULFqhifCvbmxXDx4dyoIZeBKgwp6msyAUdZlUPSskXZW4lbviqptc0a7TtUczFeJuZJZaNZbY
GFz2p1JZ01vf4B5aU0xHBI1FxqoSacZs0+rFqk7TYdslQbjRUO84li8PeuSc+l7WOFsdCjwqh2Tp
JUrbUZZQcEuuwZXSxxw1F1ZcRtsvmpaR+DFdPVyjm8C9E/2MuKoLvERdch9ZzUVjD2iwvFj5mbhS
SWRrQqU/JbqfPdKLl9GijWRw+j13m2yTxiZP0Tw2IY0NGYmgfFPjlxZiUimRC4FN1F9Fh5qTyjDY
VUOvnQbok+ugq8IVhckbh6G8mPDeN5psSsBUob0fsSe+CAeMokpcucoD5qyaZXJbaQc3iOxFEJtv
kHrRRLl5s2W0bu4TeZjaGAUIMe5wqeZG90wOB6NaB2lvw0gPpDxc7qGKNynykqVIE4nu1soeKs8O
933Cx8yWxNr7voMURKHeKVoA2VVVNdspVc5JND0RfXTkDUk1EM0MOTwwI3/BLqfttHq0z4MwooIb
rJRi0HHwMfT1V7XRmMn9SPprTi6Lfc7RJjG5JFDMmXzybkbyrEwUbxFo+3vkYvGFOvG9QD65R9FT
L6bYeHeq3m4XUaO332XDW55BmKumysw7Kox8o5s2l7QeIn3LRQYeKcruR47dRaRmcmTZlOXSLcbv
UwdlmE1ZsMQx0x7jUY3f/ZEc3wXEj/oR4eFjobMyBHmVX0qUnP6i97Ouug9J+Nhb1RDJbUXIA7Ih
GyEdQrZyX6V9gNqxaLO5Z/SvbeL+rEp9WBLTapAh7WXEhjAVIGzVaWHXOEVezpqavFMgljo7YSEW
O9rGmKJp45ltvkFmzYh1UVRDprqXKBulIXYjc+QDBL6o49mi1Z8pXcfI5j/p6MmiwXQu4L7BdCSl
8nZp5yXTUYnGeVA8sB9pxLhF0oFLb99ga/8mjbg5RMR1k+GKk/+j5eqPl0bH0H5paIGLEs2p3Gud
aZ65CnCoHEpT9w71GGib1k+KEBBou/8v9s5sOW4j7bYvdODIBJAYbmueOJOiyBsETUmYp8SMpz8L
tN2/pO4j/z7XHR1hd4RMoaqISmTub++1oa+HN1HWZQ8eJ053BfXA3UeIL7i62cm+VJ7dbDlg5QeJ
Z+fNWzqgYHqSBWEn3NqXEDdyvMJLhHIyDx22vApeyGD1PTXc40y6hqX9W5HaFF5TkTlctX3T3DKQ
AIwI85fCCNRfVJtEYUJY2bjUnsUi7dRaxC88kwmQD3l3RfArvwl65X8TY4QuFGWBhQSd9s8GeOTr
HP2IuVj2NV8kJfWhLsUfSlO3iE7hIj+psj9irMvX6DtoU4ytOXv5AZ/iKkki71O3CFmZ02RfjEQk
RJc6E5whJWfDHZxf5xPPEX9bfUhi02SikrhuFawJy0XhUS8CWhrHvs1iFJIQTIv+dnRrTq35FBm3
8YcCZ36IcR+yXMZgjrt4UetM2tcgR9TpF5vBBLp/8QCTC4YYsKTgmMo0J7Aa8WWtYLrczB/6HLMr
+CdmExPPn0xfXDF7Gl7UMA1f4frXr6iU/a4wEl8Do/RD1Kt6Mk7MMPvbQrHewDPUmLXERMOOLiB1
WYbXHDp3qvTBNYbq1Q9H5lbTHFB6IFHwNkmcIN74jIaeYTPb9sorrfYeliNQCmO0atKaVXbkOxcn
e7yPnPsmGz83r9zfWq4WL4HfBva2iAUJAtkbdCPh4b4P/IoZtTW5sOe6gsy+R3MGyzO4GQWRFjS7
6V6moa1PkrDCxqkA80/9cho3ueHcrJrXIynvbS0IhDoJXDsVgfZayaa6k13TbhrGTJfM6LFwukSe
NqObVMfGtTVNmlmhX1KdLDaUsGskw+am/Aw3siq2re1P2KmTev66mAGvAjFUG8t0frfDyH9ycW68
lWFT7mDw9dmGJR4VZ+pTwnaDn7IiqnESx9gV7pU/2+5rr3R2qJBdQ5L1CsP6ZE3W7+5AMVQbSOuT
T1wxRuCwRntVa/LIRQmDLvRG/m9KlMA7JLiA7r00qPv1yATyradXaI2+Vb2GGOvvlE8GlXp0U7x0
HBrBeYqh414STbcC/CC/+LVZJ1t61cPFn5cEn4ltFU9Yg5xmZzFiO3dNN+37xDCizaxpGszJfR2T
ML0FG09fRuFehxOSWpT3694ztsSFKUmbWv/Obn0B1m7h8PiwizcK8MaNk7E39FCb9wwUMS4q3du/
+zSHOKDeq/ATPVkuvdm42KFRGJac8K3GYg+vM7xuWpPeS+ZDRzOh42S2VbuZKyvD1i+6i6Tp0el0
/jVKzEVU7Bz3q0NFLXFPAv4UO7T6CX0y+N1h5rKjtRFfMb9NeHGVRk1AZU3xQFkpSe9AAfGPdUg3
epjayZeKcGUBEol/VEaUsbRYw1XJwPE5QwB/jJWI9njmDc4HQXfR1UhVlUydRWrJKcIS7BHzITx5
c240ZFFqxoKxj6pSmGH6uQFpg80rGPAORLEiOV5VprOtg3k+p4asTgOWugvvMLuYuDXfgzluYZ+0
7SGv6n4X+oQ56iykFCednys8Id1amlK/hVbt3lIWZ3yVItbH/06R/lf+SKwITFd+cUr+8hb9gCCX
f/zEX/ZIKRcGOf+TNlo3v7l/HZGldDFBovKSb8Mex4zprwMybHKOrHCNHWbf9sex+q9BEhE6HzQ5
5shlKo6n8p8Mkhg9/XhApj9KWIKXtYDrbUkTzI9ui1QGdcdXxLlWkW0cQ3pX6jOVCiR/DU9OykUk
xxJgwViBEJc9zHGl/N85dH+NIHg+EP+yKMErKY5CT3pOXSM+cwwfW7bUXsbJAVA+T9a58TmZgDpA
/M3MkC9HOAz1kyjqwFgVfZxZ+Tn1YZUDrkiSa9eMCLAQIPd22MyLYx5MjNCTjpVoWqYheWZvyJOo
XRRjItkmfneX0n7Kw1sMwSWDknBpOrPdT05fn0xfD18A5bzaeQvQwG/ESzZg1hdVXL3qPBVrIv3O
0bGaN0snDHhHL4Kt4ZosyPMUjQdyUPaOX5RxzQ44GClO6XeR8HDxrLWPAKfXbtXJvN+pJiPdagKO
vTGiyHzuaSa0O6vayJjBTRNH4n5qFhBIV1Mc2YpnelX9p5HnA0bP0WIr6j+Po+dsezFRONvnd7gm
64PdafOatmX8gjB4GEFBccfaPRyVE8VXvpG9+S26O581nlSAyGeEeCq3S6P/vUnd4DgFytoxRmJH
lNFLOCee/Gphf6oZYOvy4Jvx167DiO4P8fhZSW8AxMz4j5i0F67rPPNeCS+gtboJ+TKvfM7j/Lk2
uDQdmjM8t6F/CVogo9i1yq2dxu5aVUv7jzsUPLLghioJS9KnNWge7aXzMKqOyx35VPeNs/NkQEkL
W4f0AMCnxsrhunRywMCmvoLY+V5gWJw2VH8ODAlSGd7b7INup6mZbwIc++totutLRL805A4xKq5i
lZChXHuP8oPpirbB+GFgL3dReTVdIpgBV0jNyc5hAb4ldKh3RdOM7y3NRsUKTx59oKmBD71p2Muj
p8h9TjPMBTJBfBhV0VzawINkNTpD+CUyM2OdVZU6RBIi1YruD/cs8UlyhGhdcT0UeN0d7VOjowtT
FEDsep/zSNN9skZagFfsd8xdaqU1EWng2RszjPpdH5mE54zcIDfF5Onc5xz2Vi0KOLF5zHA7nzxY
XPOiaNiqTs08NU/oFaR4egYh30qQVVvPy3wgolD/tDK+OLMSeDGiBMorVWwrizJzMgUzpkursqqd
mwj/mRhluuLAfq4CWF85rQNweZT4vQfSujNB1rwTGpixGuU9toc+cvbYHtRKy3b47Je2hTQeuBvh
UkHTQb8NkTGG6VwOht2uPfBqJ+KDbJ1yrEvbqTPnW4Yn5Xau2a04zlhsqGA0jw09R/eoI2rvZUP3
SRGzuCOwELFDCLBUuH4Yn43KmohY+F6+9nzekoNML3Db+QRe3YEjpu4nZKo+gSpA51I8ePNTP9bw
sHH27SJytpsIsPhKt3ZwFXmFvnXQq2Xg6Uf8xM69b3UHXVjzzUBQfo3gfUK5i8naZuZ4ZJ8N02Jw
ytskN42t5NxMRqbypgfKvqorRirmo8kG6zUWssYtDrOmG/TAFDCOgmMB2fthTGpz7UPKsMZKXIFb
gBxTDnehXevLlBB0ZfEU1w274DUMKfZWOZHGXjBZDK1BHOdafpGDcq4ruy6OJmLLMW86EoCyYYRV
VCb+8yDca5MG0yCuHg23mgKcXVb7AFtk+pojAQF5dqfDlMCRoMYqx0hOewyOS5MDY6zSvduN1SYO
WMiFObdnOmnHJ+rV7V1dFSHGot65EmNhwDNjIfLDaNgE9FS8WKWIDhMn3TWxSkJzNg1QhImU88JD
cD5AC2VvktQGI/TIWk+O3X1LAiKFNjD5+4byrnVFbRq6q3gL5zzc1jS6bEzSTXuvb6jhrtiBvWBO
ay86z+5J3HaUnlI0ZWlNtx0ptNu5AH4xjN58KySRkibS6WLWC+atHTqaajkAKkSuvA29of2mcyP7
K907/XZwx3dab7D8sWbSMZgS0NGOMi6RAf6nrNTwzCYP9q6s5nvHG3yoXKXz0hHQ25kMsjez8rIj
fvTxigm3wYJF286gYvs1zdhEei78YBlQhD6LUr4NJP7Ai81PUDPIZg6TeVC9w/hVEOd+iGM5on/M
3hF74v0s5JHdA+4yhjLONhUTv+DCVP7Gjfu7oUrDZ2NUxCU7mJ9M+6PbJGumYmUwO/okQoeQHPvC
E1HCCik3DfwD66aBY1hcGtew7ue5u2Xk0q7qTGRnktnpWnHv4W0181MAZ4evBOY3XwIln8Po6HvG
fUoYdD0OugQFagXh2i5C7xDTqLgLvTbbktbJ18ILLuSkUzJBTYefi3Mc0DoGxVWOFERSYdfluOrC
Fvy/OWYkjukbw7WlWb6HYHiLYlHtjV4457lv3HfpZhnZ6Iq5YaPvGitXD7NHdclkw3H2KV9nmOUi
hxjz3uvcbltjTHhq8qg7KSd/S+akPUaJiwU2jct934GG65DakZWNsDnF4EvgGYb2fRMW5e2MK2/j
8eTq0QPuZFiZLwa51ovPUxkLsgz6ZxnHxiGbe3XJqzg5mbHalVZSM00TQHfsT6Mx2Cvh5dk2Lqxg
5UKUfvS9sNp3rVffVB6h0bGprJ2og68ebDymrlG0B+tEsovR16Eps/kSQRk4U3gXfu59tD+36ctN
NWeYJhw1f1MM86KcMbaZJu4DpcNq18q0XfP6cGMk1lXPqrql3fA1aDhbwf6ObjCHM47AxT06jKgD
aT9ldQoXMKHJzDZ0v+f0xJB/TINX3U3j3h5j/QqcAy+M3/lAdcz+6A5Jt0MdeR0k6wrpTLkLmbGn
CywFV86b0aFt68kSKxfd6uQzd3bTMDuP7dkt8VZx7Mv7azsrw3XkiXJNnCV7SgyneGBTlZ6L2uNR
ryS2unhIGSyWZSv3vhtW12Qqd7mzZNEwpaMs2cWmGJWxjxIb1TAyw4uLn2+LQNkdQmApAKqGxLmF
4zQeIzuDNuZ1ejMliSKnN7wSFE7QbrSq9lBt5psK+OGaCmd5Kmdd7JQ3jG+dh7sERXlmk5I2Dj1Y
dKsWK2eq7Y0q5/G9oLXg1aFrQLDNfctDP9jwQr7lXV7vEvA85XoqDH2cGuGRK0/B3886BV5fp8T8
JV2dV9VogiFMQasPfY6l1bDDL0GrzQ2QR4YcuUOiTvkCamGa3LDvXRN1pFbSdOadCCqeoEMgTzPr
AHgvdpsRutwhsAzxzQO1sWqZ96y6FpofJT3hVsZIPmw99LbJ0jvlIhEDVpogHgXNQrw0k6PgV/26
lPMd8IYGW7foKtrGpgaXPxOUNai+ZlMPGei1GjfQ5zoSS5VF56pVPIs7l0JOcwWAL7mWQyvfx8rN
buYRsU30Zgb0MDV3QTFnhXzwxgD9fxP0XlS+x13eA/3E2OHnj+4Ypal9CqhTTs/t6Pnl4zD1fGpl
+2U06A3yC3bKq0Q7csbHk0m3XxdDolAc4tTdTFFYbAw6r/GCADr9WjlYVQefV8geQX3mZ8pXIxwo
nDT76gg/C+1R9t64EY0Xn7req6/qiv+6bJzyxeKbZ6WT3nFF4yolW7/pICPtY5esN7HtscCNLbDZ
xKN3BGAy8w3mMHftds7jTEcGKo5yvthZ1QQrClOrc6D8YQsAT9/rnDaFxMk1UMUqvxNDFG0ciI6w
x6KhO9gZCjOrAXVoNdC30mYLYw7N4lyO04OjM3uLv888i6KxT1qQp0KXoH4J8znzvYkqDtfgeiKt
yqcx7u1nGkUwqjR0bBNilQYFsSLDAMAnd4/dl7BV1k54loKbMPH4WEXmjw/j4IebPmEmv2ZoJq6m
KjTXSUvli7YyZL1GeU6H1asii8FTGFYHSD/mF4wJV01FadSYJ8lj6GXtC9FcmreBVV5PxRw+YJBp
dtTw1FdBHiV76NGcvhTNstdGQLPeijY6LO5dJY5T0tQPQZCLdgP3GlURnuQxbXRx34bomiHglU86
0mSrKq/+XJThpwCL9sU2cU7DCqBzwjKX7F/ho/J0vTi7fl499NHYFBtgHYV7Re0V8JCofgO9ANOw
mkdQ20Yk5jXNmjz24zkE+CKyAGE+m7LnREBv9JIhwBXkU64wddLccxRqn+AW4YgxMH0zWgjPTR5W
mB+xmic64UtISmRm3NcqUHa1Zq9DfyKafKSG32d2fez4DQotdDlOt7XrpWDBoRfc69BnJ1bPBA/6
hGKRxjNojAXWcQQgGx+jeU4uisrHY2757nWmODm4o8PNJIzfM6+cn6hbCNQKVytvjhFNuRUqnZ5T
lgqcav0g1nPizjfGVALX66pg35p9dk8enOqBmfuKQAbZbTTsU2CmEOjY+ZLm8ctDkQRynXAsg3hZ
LBtZqfRFWWyu40KoZQUjBz3VA57AJk7y+nPZUvpyI5lWWQx2HA5jNRNkQS8uJvt1FzlQ3uhld+Yv
xlSI4VZSL3xwIgiUcdEb03NbjNX4OA8GvFOKzjjwtredaJjxbrvONZnl+JYehzMfifa8XRlCUF9b
jSzBE/6f3KaO3oaiec0Mdk8UvH6EhzJ++k7++Q/Jvw/Y+3emAzA9GA7IgENEI/KqFofw9/Ghqh6H
JLPkcB0ajdoYPuY0SUIdeCsdyxBkw1cztxBYzZOVqp1h652K5NZz4cJ3JK9KSqsYs/pzsqF1Yv/r
F7ekXf/ttZEKkrbj0m1uLhCk76JNuezrQgTmcM0c8Nqt2CsGh7j/u/zaf7gINCfbxdsBGPfnD0BR
OMehF0pLbApynRyBGdMWbvlHzOm/xva/NbZ7AM9/JUkWX+K34idv+8fP/OXbsX9bzOhkP9AR7e/t
7Z73G5Q9hsIW/W6+IP/2P6qk/M2F3CUE5kRuH/zt/7K3W+5vLn+w/Nifbp9/okpyo/x4A2HboTOC
v43eRpQ182feVYeBJJ6j0TgG1jxurDrL3iDZ4GXrPigP0QfxYVrgD01H+mSdhoQXnQg4xPzBiZAL
MiJY4BEu0tzNDG741f9gS4R+GkKZW5AT4wKfyIu5eM0V6VWc/eYNQE4HcjqmkSs0Q4KVuPnY1jZ+
5gCB9h5cnWb3euz6G9G/5Qv+IlpAGO2CxCg/6BhznxH7SkU1vqEHws+IP1gahrVwNcYPxobVLryN
akFvRAwWSMnonP6dydTBAsmiBRWxgqFE5ndXC6fdYtwRzOw3tenZ26z0YHsQpE4k2PLE2tc+8ael
8Du6WMnCBGGGBh/EKDJ6F7BJlu8VyfcXCBvzdddMYg0VpTmHfjO8c8YBOdLGilG7F05nNtz13VQl
4ZsZ4WqME7NcERQFYE1XlMMwD5AfSJNZjeUtq3wJf90bazI8+eDuszFOrz0rH+/szJp3i21vgpni
ukOHmohzpS86Qr/2BK4ndm/lB2wlAbuCAReJcMzxaivJfqxN2gdrIltGsVyztYfJOgRzJbMVGdzi
pNrQ3SQ0iZ29D/jL3MgaMg/+1ZX4wMPECynG+4DGaGPKPkEd6h66hSyTdBLITLfwZuKFPNMaHAyq
hUZTFL5xGWYTma3Aa1RC5V0PYzBf5lB2z1k6VfVa+bm+DIGuz2yxe9qMWaHZFy8UHNBE0U1vF9m2
Qs5KaB3xOSSg//dXOGz0UoEBU6de6DphMwLqpaSJR5qZDM0rVfHU1g5BTZt4WlvhbeH5hTywqMf3
UZVaz2aYx3f+rLgaeXP9ICvUS0gY9ll+AICihQWEOwe05AQgyGwhBQ0LMwiwBm7ePBlfjCLUOPFh
CyFFuXrnfCCHpLXgh4aFRIQXDSgRDQAlVeOh5dxGH9iiHl5KgdF6Tt/tD7ARlX4E6wTtUz4xe+Rh
8lr8HtMnZLDo1h2T5qpZSEkuIUF/Kxd+Eq2INjoYrccbbtfy0bMgLUEJAbpk1Py5LEP7qu7trtzy
mK/Airg4nBj18y3/PBYyWQrSQ2pX+Hio7BZgpOm25l8l0Yi2XY1+PyUOYpA/iuxSYMwrCHfD6qfs
bEBiDfpZBPfT0FvTKVJRcqgH51Z6CVN0GzgNzfbotgS5Ab7w7dk21EG+BAGHVpkFDHTdjpnBOq3M
Eh2uUQ8dcQ76vqEHrVt7quEPx+LaxvFzaRHkAZElatWUDSBt6uGonKEDxrNQ8jTfl/ugQeVdxYw5
nsYPBw3eKZHcujEkbX9jV/iLHuy5AdaT4asq1LUpa+MwdPqTzVT/zkg9P2ULiWnHwr3Th4VzVS6G
nnyx9mSLyafq8ukO45QJXQALULmYgbypye4GbSGs/mkVwtRMkeyWFsB8Q6/PKl+sRbKOrilCxKKI
6QiO4aVPTmyg+Zsso953i0HJx6nkLJYlhXcpSfDV1aT5AD7QkvdhcFqsThGzsGOw2J/kYoSiKbS5
ifFG+YtJiqYJZITFOEWUJuCUDtVn6sRzsdirKArjlzx90U1/bmc+w6AV5+TDkyUx1u9EEz2NH4Yt
nFueS/4gx8sFnDnbYkG8F4vNK8DvhRPlxhmS5LbFCcbGl2PTdKZRS+xyUT70MVjCfHTb9bB4ycSQ
9hvzw2CG6OkdwLqlSJMLfeoPKxqmtBpt9aSt5kyPfbibfK/fm4uHTTYUg61s08XB4qfRSYeuHfP2
qvmFw0VzBZ7K3uGeXpncRmdnccqJUJvIfIt7bqzLvaEKY8mzczex+b6ePgx3TYk92ltcePUEU4st
OAcBJLrsLl38egR/vrhlJE5pHMrznPv11mjYVq8ryIjLMgt4H0ziFD66sFg3MFvKTb04BOfFKxg6
4XSdLf7BqZf6aU7p1zEUKprpx3dKGzVfCZyHREYbzF24EZFa84c+C4I7TN9UDC2uRQWJEZprf/ax
Q2zSxduYjcFbtLgdzcX3aC4OyHjxQjqLK7Jb/JGt5ZyaxTE5dtw6iSGe1eKmVIuvMkrGgD5VXqmZ
AkzC7XBP9sBdz9047eCW+LtucLNvoPOKawKYzeLfHFobK6deXJ2sMcYlaWOsnnWU1/c0ZWSbenGC
WosnVC3uUABN0bv9YRlFfKcTM+3uuQkzes9FRixsOSAtbtN48Z1KKW7BNNmbxYF5zBd3auZZ/sbo
FsfqIF9VrxnZSyN9yBdfq1ocri1H9F3zYXtlOVwssMiXa+bFxY4EADYI6qv2cnHNGj3+WdUME+D9
eDw6LY/IMZ2do0HdnPyDv/LfffLf7JMtJcxf7pM/fYWfVrTf+9v//Jk/98n0INuuBQ7WEhKzr7L+
Z3jvWr+xjmHbYaL/wZ7lSn+N79VvnHPZtRIRZZf8sb3+a3xv0p7sEzuzFS5Bodj5/gNk7XJY++4w
BzxJUQnu8gq5iG2L5c+/O8xRLdvNtIWpg+cBNAHiiiQWIil9d3b4D+fZHwFKgGsc+GjSWTA+HAis
JTPw/VWCju4IqwyDQ5cAkqXkl1ZXpDsKM1oKWXKHqpYM2KSm07OtXn597eX39f1b/Lg4FUhYCfnY
XD7sHy8eOVk2Wjz2DiH9JenO1c2w6UfJdZVI7xNplm94jSofqEVsbRiFxl9Hoy2KraMdC+SnxDvb
JfGexhDEx9ogLJmW0U3jJQU0dDz5rLu6oq8snK+6xg3uiW0Om/+PN+Fi8pDItIob6adPUNCEZOXt
7B/ASSytsFSS5QZTkNgdpqfaoiI6kKlLXWmOjrzEPF8GH+qNouWD1xf7460DQPW2bCj2FT1BUZ8t
/44C6+zI7idFRBvkYx537Q5hjVJPI4fe/ev38JNu8PF78FAMpPeRX/4ZjtxQ/N5N7uAfYnyzGy2Y
aI+9BpdLhu/XV1rUke9u6j+u5AnyzR4aCuX2P/7GFXxPuHBcqbdCcZgQyPat49Un3Vr1nVCMrH99
vZ++RB/XQ6TwbJNbHNTOcgd+9yUyZVMUucG0vA9jfceKQjCrC/3Lr6/yHz4/G9EFZiOJGM7cP/ls
fM1yweCFoKE5xLD0km/UU8FCarzHX1/o42z80+enwGSzMC3rwr8tCkkoTZ/hgHcwebYdZ5d2wMjn
npmYy26mnPzFSiKzMbpt0/upV96lymi0tikBvo9oOj/nStV3elrIME6PGFlJYpKrXoIqo7EsOJUZ
vbkx9+ZTH2LDXoMLZrwUJsNMLjXkImNlk0bwzJicm9M8D84cH379Jv/wJf3wLqFqScnHabpkhXy1
KAjf/dYCM2DUNOvxMCSWhEDLGNoNg+Zo1DrdlWmDvZ7E8Ij3cKNSmDfcvMkhy5lc9bJqd2ml9TU4
S/ThtrBIlRXiWSJtXiuqUF/dIc+fVe1sCYmbD9LPiQbpIZNMhIPs0RSpv4tmoAQtEjLSKm0KRRhP
+zSk0bsPX1nOkOdbpUhWmOrQx9AneLpQIlQFJtUwTnyAMjEx3I8pSAL4vYcb4T3qQCXHBG79pmAr
zjw2DN4jSZwmb9LwyOGgv6kyib8B9rN9IVKU7fvAAaWGJ3vt2FXHCd0pszUyOsFuXSJL0LOQ1exk
i3wybnBjTl8mnDN0OUbtNkxba68CG3h14kRUUKaVQ0PybN+pyBKP5FzzZzeM0m8Vme5xlQp/ohpJ
RwX4CqyUyPPR+Nn1inTj5qY+KN/PjslE8hVHh4PrM/U2rRcX/srK4+GmA737e5Fk6k3UzdbAL0mK
NP1qpIZ3hVIBYzyMw63h6hNxeF61I+ttavrHsTeK6zKoAmbExdCCcmYbZbgF/q2E0WvAWCSj8htZ
CkhkOdCukFsvKnKGlU2w6RimeX6xg2p6MrK0ResmfnUtO4MR/4TNBqwoZ2+8p9beLH3v2M229aYD
B0oAn1NxbAWQrNptrMfUhidWcUf0KOhdbVlvZU3dcBqZxsaqRlxupVnoJ/rsunWZjgO/Gjw7VGuE
nMW7XRRZd2aQd1vWtv7YZpj9AdYx3tGR+QXfGYgWR1Z3k86uYuh2awNM9aYPs25Dth+RiZjoWgtx
4ujPXCa07RV4hJBMRnjFUOU1wmN8iKCc3QdynrbMxQCjpW8m0+HNoJtkbSSO/6lVgbfDKiEvdKoM
dI2l/qoE80w1PSJUt/gy2LAyrAbiyxLVgf7Oi2RtE0I4G17o79NmLNaT4dENVUUTL2YMdggCJOJT
qyxXWmDpWvEwwrs1t3DZQ88hCTwsxS6hY+510xhnReHOpTUo3dGjmt5QQMRdFzdkaouJPC9+k6Qi
SwprcSUbWZ+nSdrHqBizg7RicSCOTckLgwqCyxiZ57TbmhCZsY1xiJhbaKajSIp3PMbhZ2YT3RfH
babPVq+HE46m/pgS9WUoWNkXLYxqX7d04ahA9McOwxADkJQBUTZNobUShHXkkU4LCPAbWTv5Nhdh
jl9gHp/sXhQ7S5jRUZDJ3jLLttfJRJMV1qF4L52aePRY4t0WObNbqjAuSdFR7LQk0k743FM6APFY
Gw7tI3Uj0l2Q9NO3vtVDeS1old8EFZuCucc9pksTpcKEbROHPDkkjSUrU1CHJXqYfLxjfXIdgv+D
ntKNGYnpPLeieZ7hXd2YfFEJiAmqZ9OgJVYvqrLHgKMH0lBixv+T6PfIHcOdU8bupyhuiwuhAPlo
CPYXUHWiG0Ja7E56tnw4fRDyQz/h1TH4W3q1BJsZ4aT3zOXrz0li0V0uZviWBvtCQ1XTHgaBdRzs
Ot1VDJU/lW2TwTtTzZeZ2dohS2zWHs2bBE42XzkZacfZxyc0TVZ1bUVzcHIbzZMLZwdt4KBNNkmJ
y9HXPe88BZCJ+WAgRmeZW0JS5hYKY3gzk8XAKm+DACRQkTXPoQMit9MWrySl/wWTactbguMZrlrL
nSEHpQn2RT9SN4RlMhroaROscJ4fROJka5jPwYm9isJ9hFTCPlKfeqrQVxIf/jf2wP2nuNes66VZ
nxKm7VRz4vil+imv90FhqHNLVdL9xAWijYFvYjUHLj2WaorU6xAoTa+LE7X3wiX7EnAav9fCrKH8
RfKz8NS5SSVdwUyA901iAvRlv2id1Sj2bc2iIHVnXfdWbe8qckbHPDXBR2RJhBsliLYlbYJgeM31
0LYxrTqD2rqxuKUQysewAUJ0r6t+ivZ8/G76rm2vji70D5AsSEC8rNqxoHcJjD7t9hbqNAaYHAe/
PU5NCHvetKPrcTBHQisfj/f/Hlj/5sC60K85Yf6/veZnQNtvP+ax//iRP8+rvv2boozbxcKobHaz
Em7Qn3lsvoy/cd40ARAxXrE/uHp/nVfZjP55PrXIX/uYl5n7Wg68Hdzq/+B8ylTox808nCIfTRpv
uaPY9jrOT9veOmi9LAlH55yblcf30XEl/adyAFew7hqjamuc1kSLhlWaW2VwXRYTUBSthIGUN7ec
Sx8y3IBGTgzaYbC7ZfXVdnDwAhgDDDKW/albZ3N1nUb46N1drskMDtetYHkYGam48Fqo08P6smPx
yZ1Lb9fNexoOdxROuYS2TMOlA8VxdxnuRMK/dchqO08PhjcDEWN9jat1jfmNSMdiG573JC0o7y1G
mal10oCZX3EojZtDRq1JfYtFPH3QdeC/NNlsIaOBQWHfqPukOjuFjpjwTP5nwyKSwiUmZ96OIAhZ
b5ivQWOdCqDpZezdpHXhvNTMTpgfl8Mr7g0YIIhMO54bGDVwOyxjKhODZmlFhodnkqdZOufswbAx
vjqNqj+bjcX8Rpax/87m5j0bp2tP6ITMZEpXMf8IrvrOsW5ixYMVnUFu28Ty1yODAv4by6/vOPFH
kMmmSWzagUrDFeE+n61OVwKpsANnWg1S9QfQnfltR8jqE6Q3sjp6Gvak5ac7vzGnE6iSZUQUmyNF
GyA0DlGWxF+4H9RdkmLx3vY0LtzgZCNIrhz4h+UombO0xWM0u0CRvK68BXrirntMGRCKvNa8slVv
PhsQi2lFQ524Ke1wqVcHYJS7JHv7WM5QXxUxpbizu6006SiHmIgxCQv/zho4y2R2Ql08EMH51Zjy
aufFmbHHjTEfbYh078yP3GPUyOphFlNw3Rl1eSmNsMv39mzg2O9mp5c4ynq7BRTHYfiPfyPE2310
ZajFcLKOBTEo+u563y70KamoLylOiO1DVm7cNqgTf4csiNKJ7R4PxACicN4CbJTi/b8r6v8qveOb
3i/TO5eSzeW/Dcv/+Km/huXeb6yEJhMmi/zMUlz1r0WV9VYsLgdO9YhkJmnRf4mAlvWbQAEkFeOB
ikNY4IT65yJr8hf6WNIhZxDIpPjlHy2y1k8ChuQYbKMoAKtjLO9CDvvxKBxPeujof9RHBZbf2ySJ
Ie9FVM/U9sXVrqwTjz1oBeGyMdzgEdw1bsS8CE6GjqFLMKiDEgfitRROsWfb1C+NGRkDBC81Hr0q
pxslqgjxl6L11xKd/kYW8JATzch9jMLsk22CEqoW7ioDx+CqFDb+M+pxe1qdAVfJUOgBTqsxH2hZ
cB66ohv/xm/y01OGT2BByP9f9s6kN25k7dJ/pdF7AhwjyAZ6k3OmlBqswbI2hGRLnOfgFL++H+rW
bdiq+9mor7e9K6Ps5BQMRrzvOc9hdWcjb8IYtfz/n4oBKVC0oRrgpdJqpVZGbuueRJZgbSu1XBfn
/dNH9z9URD8Vcz6Ox3dtqa7wTbE+V0RtgxpdlGX1cTSg5E5R/rpQphZ+9V9smu/T/4remLXyOarK
/1H2xU2Fpbz73//zkxBiOZJ0bAt6CqUwi2/yr1emwfRosktycH4kW9nwOlbBjOIVJ1Byh57S3c9x
Gn75x5cnwbqQhsZgos6yXP7Pt9O06UCSrXPsBWkPK2Np+HSmLb1NP3lYav750Tzqy9BgfERJn+t9
UeCPSVmkiOfN0cvOZVvoHfIhyGx9HvyhOGYt642fykbL/UTmyUGkAxKG6vyvlzahQ47xfCXHJp5y
kGYxSWWbpimqjb+UimMMX9d92/P9ATx7QCCu6i15390/vmYUYnClXVMuViT56bFCpJFz0ZOH0/QZ
pOupmzuSq8PwPhDABv5wsL+PIY9S2dKPIM/eZQX46zW3xIA5qhUp9m2tbyu/7TbK4A3GhJzFCJMT
8GSyJO73D8f9+1viUYS0LGLABIF/n7sTGRXBJBJ1eizHZgCFw9McnX4cyYlE8v+PBpFLvgNSs4Cy
J4/Xgrf/6zW6iTFaQxwkx4S0Mpqds0TEabbzRcTm8eH3x/o0334ciyo+txJ9n+tZnx5eWigSmEim
OepZj9amIgvllCfO8Ffb7r9891mr/zxW/3UcVuHBkp3AcLV/vaZe5F0rqinBO+ENKVktpCWt3LmE
NjY43l2cJBQXJoQUaFwR3pI/XUTx+ffX+mnsLOdAs4qJDlITARqfxw7RU1nSeIpzGDoWxqgHSVPT
BlUnZy5OVeR7G9bl8x/m849b+NNruhzWZgpC/rlUywFF/XrpQyTAfYQSZStIk68tEumTcNz5qmY9
um+dmnBuSkgTQIh5iuQ6HPt5OI6inH6gcG1I8oD2eSIqHoHBsncIMW2dQp0at7+/O//pPL2lM0Wq
ZYDS8fP2JvOccNTSMA5Q2MXrPPdui0MvD3hEuRgFC+O0BuiZGhKIUTVmZzTwaGMd8nCP9KHcC7z6
4RFNlXMVGKKTO2x1VYq1PpDD/vfn+vdRS0/Fp3tHxRiu/edTNQPyXrt8RCIcmHOGYs6fMpKZOrX9
/XE+vfU8OkSfPDIp0eIsDP1fH11i2NwUo0uA7wL/D5KFL15mlXfBWt27+/2xPk/nHweDFmZ/IMJh
63ya2ma/8zp3SpnOyabeRH44bIDw9WuUPNTU7IW2P+FBtPpJfqMpFu0JbFJ/uLF0bZc38dfh6jts
cwmtYVHA6Xy65rytDZs3IzzInjLcUeY2k6kKJqc+Rn2tb9numa/ekpuQYHNgL1THacR/Zy2OrALk
PjHP4Smgw3ajYH/2+E3Sul03+Ilxq2WFPudxB2QXqfgXnTvh+4Dk5dGfc32GsUtMctC04g5iYnai
UOhdDK3JhAvl0P5CprS4E3FtHhQyncsY2kK/wftsYAsc9e0chU6/yonTu6bKo17ycDZftcEyjs05
jPNgKsN3EPtefSqLBm5kCYX3gOTO7QiCjJdABknhEcAmWJdV2djuSwxI5TtLHudhdJy6WU3hUGA3
g4Hzng/KHTcFRs8YCXsan1GaFUSqM7VY7ZC89jGTd9VF3js6NN9GcMWykbApEyfymARRj8lHuPvR
pYewKeXU/fAlavgybeQ3vxlb/wtoT8Ybb3+U7bIq4PDIo4xb3+6YOyFgyG8aPdBmyoLoLJd/2xHj
hcjSw//UJCOEeMk28D6onPnMdyZ/bJp5vP64vaEgqMUuY/O2dpoYnLqWeXwECS6ckw3B6JzRiMZ3
RlhNvZUfsxUopYtWaWYo35qM57LKGJGVOYEoz3NLH/qk5t5R9iaznOp+fI/dyv3atyauYjsyy5uF
ebKwNPmdMU7iM2QVks8bmby2ZoBRO2zbOUIpTsTRioqPd4d2z3nwS+qRK8Pm3hakmLzmUWHvLNiq
L6nXENrOS0NHLEwKfeuNdCEogLbTjTk003Uys3vdSNdKnnOhmJroIYLPMsEwOcs4LBYind/DWl3P
sa+SjZ4sFjBWQUub2HjGkqTRfY7GGfd/yNaL8mE3EJziGcTiLoSiTR93IGFSLqBbEX4D+71jgG3R
dtUv8UjLt5p8Ri8R4BOFSkjShx736RXSIONexBk3jP7HfI6MPD1lfr4NNAJMikLTNYH0zQ5gkwWe
Dgt009Hdn42qhRUfJ0fTb8sLomHdNaDjZCPszjxbTqlPfWOKAyKO8D5Sclu5i1JTlNl55mhryCDy
utBynyWaQlAZTnA/Uuebj/h0hVkViPMMGzkj/dw0Jk2kom2vLSo9u2BC8gRcBocNd9V+DJLhOonK
+ZRatA9jIMRgpCvMmQ6wVwNNIWnywQrDfXqid9bSU8lyADcLUqBzCfX13G8tnagzatDrdmkdUTqZ
NsPsu+S/2c7Oa5IHEdKmmLvavsiR9Jp9RtFaleM+Cwpi1zW5SLE2BYUSV6+SIP7SxfMrjJaXuje6
bWoURLgLWL02+uqjYfpPzaK3ohRU5+t5ojkT9rX9XDjuSYOEBG6YXMUiQf/livthCC+qUkZPivLZ
Nnbn6RTnBROwu6yRCnu+EonjnJH1NbdWkncnY6Cer7W4zGQz+1SVCxouAdbWxo66N3jM9WG2Kjz4
ZTiEwMwiJz1ZlVtZq9CI5GXv5ZxQlQPdWA2zrR88ene7acxxcqoB17yyrOaahZIbb0bCWjaZJN+B
jI/oAR3zeDdXHuuHqoNysCIQfj5nkAMWKo7cuRmkiLRI2uOUC5yDTVBwUFbR5zYyv/jeOH5BuDFv
Hd3T0OP7A0O4qjHFJ3VT3HQKVankTcuPBDKzFLAzCGHtzFok8ye+haXo1gKzP1NROYINDvkiyCiQ
hzpl60O5KtsULPN2AX31fT8OBFa2NICuO1M9SpQ2G2vEseE2GjpehBo83SiCQNKdl9rQi+su25Vp
5t2YMIx2QvbRV5VG44XTTxuVhOMpxdWOQBYL87OTTpjSvBJ61HpgnjyW9HdPoHORxNojGCg9FAzM
lLUDW4TcuM3nVm6LucVjBX6D5tbwrXdL/125EwBqUVp43wtPfp1GHei96SUG4s4REnjVsx6DLXKo
tQ6uJqMREA3J4aVtWK8N1UhskUg+gsmyFYKDvn2rbd/f1mM6E2PknGXhmucgpAm/dgPrkpTMkiVM
KZGl5sFtHjbkFoVO6LD5T2OXMkVLEyvBMW6pPDjxUJH3esDC+AiDMocs4X6ftNndSiTgx6kpu41f
4cPyBUMASDUC3zDy9iO0yZ2AXgvjKHEfMuTsN4RTOOhlrfQYpo29JNEkGwcSUjOE1n7wPAZ2UJ4F
5YN1WAT2TdTkBI410rkMIhTabQ02JfQaa1P4Y7WnC1fvct35L/1CbWKiadZDR4Tx2ldVi/caC+Q+
HkqbHv5I8G3UhRCTzMm56k2/ujY1Bk2K8JVY1QR3lNs5MyoX3f6Q03sr5TcvExRxqia6AIHsV7jd
3Pw4G8H8ptiOX4Lz6imEG3gpSaAhMByBPd90NxjbJXfRu2LHTlmZmiobAKs65dZMnMeg6vOYFvlN
LTx17XfTdHCaLibgKfAPxaTb4+jDBiBG3b+ogN+d057arhsNxWtWkg27hdbSfHUjr9kJkWbvgVfg
LqwlgdPoYqklAe54lF39XPDT27apCEcNPI17tAv18GISuIqs2+jg1dQYufm4mmrdxCV+sxRbAPbn
ZG1WZI17fbLNCvv7aAT0XvG1AcQPnG5bRtF8lkFfvUqrHE56SslyDfgGEi+p97MHAp3IMnVjmUP3
mrYZczbZHQVYgKDNIrUeXOy73gPqgFJ234XLXnFluuUUv8cGknCVdHnMi61KtknKeG9EXJ4nr7av
ktHrH8BJDq9um/jfoj4APrZ4DwCH4fent+YRpyCJQiuL8mDglTjZdgrqtRADHX1Q1WZWQJXwBxwT
abPkMo+ZtWYVRZy7PcuNyhuqGnYTwrhDOMdZqenglql5dsckhwk/8s3AYzIX67zvBahW1HDkn6TN
dLDChfrf4pbYKNeumM5mXJq+k9rASUj6OnrBxGfEojrEuCRzdB112rhPiC3ZBRmutZqPwt4xa3Wq
ddJ/r9kbLdmvOSSXgrvQ+slzaC9DmYqSeY5lbUOJsdHwCNMJH2fPdl4MuzbebdGPl6GPftkrdQpe
iJ+d3Cl4sMpkWNm91z6HtZuwnDRRZ3TJAwvjcKtCYUJNb74I5xE1H2A1zfQa5iGDqng0vdLEj298
kQPZNaks9Zq+1Y5aPu7GEugnXHma+yxOAPzEGPZK+rI+e2yI1m61DqbkNcvtuFwb7JPByaqKT2WE
Q9qwd70Y3+AuBnv28u66ae1gl5ESss4KcbK7AkBSMqBR8vodIopojcrB2MiQ4Wymk3UxewWGVotA
CX44rnp/b89NtiqKOd9jzZnuGgGVw+796JyWw7tRo71pNIAdMQz2KaGwu+2oZp2Sds4PgUl5wJ4G
whXqtt/X5Me9Zgq+PHt8vjoshE4YLVwMTUmzK0ZFfIGa0svMmvYZBIIVTeNpzaZa0O+ZrkeEr0Ap
J3HwWozpZjH4bE2IkwN7wQeiCm8mqyOBGgXOzlfdm2qNalsblUYCkSzOoeC5nY1i1861uFA1tQMd
mUckH6CTjZdEuLuKVD7WKcEV3opTYTTfxkJf9wRaQRZ/IFTwzJRLwQge+oVo9XvaRI8oYr9Iu9zX
rKZB2oI/MhPaTdD7VlLBpvLMbq3bpR1kWN5DtTCPzMp+nQKLhRVBnRs/to85pvpNYJu7tK/JV5fj
CoXK92IAv2AXVLURpbMjiMa+/6od/X3CWisw3u4aYpnG9RzM0VeTbg5W3tbPTi5ddGI7ZkIOEgeJ
xnZokqdpmOAoqvjSg3TlD/194zfBNu6SO+lE8QEtZUYc2dA/GXbrbye8w4eBPcxl37dg5WDE8JrP
5slzEvkkOkKdkqIRcEtiYs2SRlAeHdNlOyEDYueq0WIJnbTZkpkk9KUaPKPdxcX0hYi34AfhFEAf
jTqnoLPKgs439/Zgj86F8gs4R2jmUWzkdrv8nt1k6QsZKkioZjSB6hhB9Q8IF0czt6Kq6eKqN4Fq
7yAEwDnKWA8dpNNL40r1CoRRZ1QpdNSAoqnoRrackL3WbW+H3/woC9+7UPACclRaDOiR2IjYPhsp
skortkURw77fVEwv1JmWngYZI+G3PmKDEBoNe4zK9nCEaPLs+MY9+k04nw3oMcRE4j5WcyPMq9Tw
kmGrliClopdMS2OXOmsAWOxOQHENb6kmNDMVM4w9K9M7K2rJtsvIsIoKgyJ3BN/ti9V5aiu8lp0I
+dLmK+oX4Z1VPCxb3kBV8zr26g7i98DSITeEua8tpz2ytuenYVkYmJnYoKPyiAhotST7q1GoZ5EX
9iZpWf6t3Li+8VochgSAHOGepmvNJ/9oZx0f0s4JT07sURSgjXwGaEKNYOnUfBxvqF1jO1eiPYaC
5Eb2CWTJEPP19PFXwCJhhRFs+z9CNKXn6QOQw/qlKxR7sKm1qRL4zng9InTZGGw26fXoUtwFGTeT
zrIH1Es1u49CMdwt2ihT5W/6jLpxXiQ1jt4kDrDrc4pFTMYWHOZyLwqv+1oligtIUn6ReUTfdhRe
brwkt56K3uSplxmpp+E4tcfWK6ebDOXI7kMJhIyL0NN6nhXyLa7LBbp+X3ts+5ohrkntmtNmz1KN
vX3f57LdDFk4ZvAmqIpQvGQy6C12JyaigcodvOaYhWZRMP5NbVwGVVS/UPxL9maWUlH09UXQtihE
rTwgEpBvB36nMtLVTmXj6F7mjTKvPGv0LqoUCVKnPYpXoc5OH+POIDZvN6Q8AUdjNQJArm9j1ZHT
MUCm4PxiYooMorGXFGBX3+b9ck/yni6bxR95VtNVJYljExQp1wtO6GyXVrnHkaK2HfrbswSufE3G
jb+pqkTvhMsIUK7JbwfD8oN5Ku4iOzAgqA8+oCGMdErW/mYqpflEvp2G9ua2R1ku/7dS3C1LTAxY
y5HzeeCHtrNuAw+Gh2E+ITB18ZkrkHGI8KwvscHymjg0+JkfhScoEeG7tlyKSimRrI7mRyFyVy+U
EhHO8jkfHpRNwz6wxvA0xGH1EsZE3c5hzKtjxLzCSMfpTY4qPIW1Vb1kslPHoJkMZzV3Q460uM1D
6wubA66wtAXlrzCKMlbAJLPvgzKxL9m3tF8JXeYvFBArTn3FbRo6wknHDLn7xwtrd1n8o9BF/QKU
lkNPfTec4FmER0XJFWS4b3QvGupqZFKRQzuVAlSCLsLk+9p73UCkacLWQ9XfS9MPSEMiOrgb2vBk
Kp6OUiEv+8QbGPZzQMWiDPaqHVDRVmI+O5TAz3VBVmM7esgztNDWRR7Z1nXpiPDk5Q5nrtj5eJuS
6XCP+J3iB21RNP7LKBjRxlx6tUdJAVkPDCofzdUKDwCjRGrzNTJTsjlBEMK9jusA0X3rhZuK3SnO
YObHwOVO4esy7jUbgncZ1lxwoJYx2JpYCiCVhKcksons9PFSHQy5ZOr6km2fL+LhzRfskwGoWNNT
B8bkeRr8JaSPBXlLKbWOtjHLCr6MQHAvrW4or+JR9feJOfo/6sEN35NqCk6DB9saYB5fJjcZm93s
SUAmWFlB+gdN+C0VS5xnhw0x3MiKAvcmr5N/Z7f+f+nYn6RjS970T9Xzv8W4n1+S8u1np9NiQuJf
/CVyEAi/iHV3hWMvoR1eQP/gL+UYJij8N7RjPAzLrFup+P9bOEb8h+dT6Cfam0+GDYz03xoHF/mD
twjRaCMHNASQP/wDIdnnpgLdBDbM/M7iQYJS8qkfNBMU6oCSQ0EQbudg681nuFA/3Y3/0Gn/+yEQ
eSymLJo5uLesT4eghbQsDgN9GEIH0LK/gj9C5CO39P/K9f4bR1nO4qfWOgla0+RhxzjI8rkznqvp
TXn/TJxAU/LXC/nUnpRJ5bJ15xCkW0rzlsD4Rr/+/iqWfsbP/Q5QEvhk6CUtXWxwEJ86k5NVKXDP
iP6Vaqy9HGNsFJF0wqvcRlWsZ8LDhp5oqqot2t3vD/25IfmvQyNMWILkA2sZwT/fwMBzJyuynfaQ
jtnMjhMaAE5SoOHSMJdkiYjlyxyDVP79YZeb9rcrBpYB9YLLRevz62GdLhCVTDisbMiShfb6QJwW
fhihCfCS6fxPn+Fyg/Fa0che1JqfPUlR25gWq38O1ynvHl73XobhBCFamn/sXv2nKwsQetDK9gUP
9NcrC7T+61kK3Y/fu9nC6jGH/Q9yvqaVAZmB7girW+Fr8yWGUH1QAD1Xv7+7n3uTHw818CHSuA6K
k8/+OKxvSlP5b6nCR+6tB8/gXEd+84ej/O0N56byCC2La2Wa+6ylcelA9W5htYeZVA44Sgu3kLgI
IGwYSP75BbksEzB/eg4TyqfXPJv6cpjzsT2AOQZgOVbPwq+e/9+O8ek9hxtui2ZgjFAyBXvS7l2/
+FN/e3n4n4c9448UeoaiB+Hl0+AIUn9sbdUeahYH56g37ZONRBdnwpg8xYbBkCyHhebgDBtSj8wj
7frpD4/NMj+ezK+nAdbO5cWz+Qwtz+/X0+hyAyTJ0GAyMsr2e4XWZNyy+rC3bKL1wQthsqBZZamW
I9V3OrPfTZ0zbYkGtPbzNIz7BLvXox1rx4Lk1aWbVslbQkYGb8PGF65jKxJKEcjcHTUNxNeE4V1C
uE1MN6tP7+elbi9TmV50YqCXV1GZ9GtoFn4HjcUaMMa2awL1YnJdEMNsMkPGZ6jAMzyPvlqJpK2o
XvTsPcxcXpi+FjSjiXEkR2iOz2ZjCBaLOXfVpAsTGx7wg6joeQ8nUkhA/veXPcEQD4nij3GNVSuV
zXdBaDDChgLem9EMm05qlKl2d+lmtnqYytm9HdFI7w0K5NsKhxF7KiwzeW+5O9CnyK6n2jr7lBO3
sB8nKN/T8MWRih9h9XkpdTpvK+3bM82VzjqHgHgOFZXIdVT18S12lfF7oEBNDNqBCShCQhrlkHK8
RL+NpQif4hrZ2AaAqX5ACeE5kB+st7adjHxNz169Gw0GLRJxcvUIghrW8CSUezsMJj+03GAkY+eK
miC+ZrXAZ2ZPbPB7KXI5KKqS/wmWJyQWjkhUsHbUh5Vc93lqXKWR+6Y65qhxVv2PdHHraPstIAjk
22STjej2RvKkMuJCzZkuEw4svmHl6L4t2+9gFY+NPqSNOYH7rXkIXqjJxDH5vWLiPNJJZqci8LrH
ZPnqYISRF4XfM2EVY7h1vNba990Yk6cISTEqeS+Ctm6hNVJyqWz8SitPiGgdAB3c+ri22PXnfnTy
6BAeqNxwAFuLddOkak9qWHZIvXS4yyrd3ymyASlsBeCGM9gQt3k0k5uah9kJDQ1YBqPqtwMylWs/
4HZiE7HCTUHjaGOzULtSI6TkY0pPmHB6VM7EgCRkWvUtWy+3DyOUAIl5t7iUphXQD+/azrGdxFFk
7i23DV9D4tXIDrGN8MoeAxpaWUz/fOVaJSE1dBWu5xhi5cy3Yg1W2j3NddtcNsZSSSn0cBRBLW5C
wzH2XR07N9IqosvR9eD0NWzGZNwRjuQNJq1eqp3HplXQN/qJcEdk/OGrQu6wCuqxUivH6I19Re/5
3U0z/51aulp30C8uWuKaX+PAtLZR37gQd2DbgcVQAc2nYLkfIWGaG0tPP3Iaw+m6G6Z8G0cII7CZ
zYeCELtLIifcewoVehvOmOs5mGftfVm2e290xyffDofnEnveLdYeE1+nnYuN20/UEEDx0hWipfLd
ykiybcB/XvXONL5gOyrPJX7ia6LdnXsqDjSwu456Fol03sVoR/ONM1CFiurWvyG8onzBFzTetvM8
3UxprK4muMiX1sTevWsC7yKrKflYjTesASyJu5qIpY1CiQbWhrbAGiQCB2isZfLKbeJAWm3KcgUC
J5OrEifUBrFRtRvC0Xx3E6GKVZxXMVlJQ/rD06I7EMjSbYGPd3uGBkoJqAignOpur6oRhE9XJx2Z
brG77U23ucgx96ZUrZv4XrO9jFZwbvlNL4zFJg3wV6Bf0CfONrq3SV0/zdncXNConNe5FybNOsV4
C02kSIOjz/ZkVxF/i/wgCo4emQE7ReFiSxKUsW/jLCEdV8CcXNOSoKYWmGoL8aU9/quEFTf+vAtJ
Jt3KsA/brQ29ck2sDvdhqlil2ZRkbsq8bV5JylRMY0N2i22P7loKbl8xCzxDNNQgbqU8AP0Y3jBk
6J2NxO3io0AzVkkO+ABF10uXVdarkiXqhpxCwXsXIMeZO9AsKBSpri31HLsU3h2ZU5QwJ/QXK+3J
peSGfJq8HrXFvM/elzH8AcryN64VLW3g5ZAIDSjjUvId1v1sUyhw8qWKn6nuK8kK3YaNNn/VbR1j
mxDCfP6oHdpdZH+hBcU+242rxyEpir0K+nJP+S/cJtoyWSYv8bANPRNzWioLVf/iB446Yvv3s1XU
g0/1w8xcVtYZk2c7XAV0uCiNxcS7tlaQnEU2DWfLALq5ojU/HSoaiTbwc0x+LTwcnKn+UJzSzqLw
IMHN9ktDjhVjWXPC5iT0ATyruLOmznz6kIUk7lIG/tCOe7VfspVYXOe67jksWaDhadI4JPG4DdS5
G+OeaC30o8bEo/cd7DmVpOba507846P8lC2lsQJs90VIwDMVESildhPBbCZowt+z9W2PTm1kj2OQ
BPuybCh6NsLYeuCfaLhSxow+itXLx64LaLcaKYXbUVBadizqNFVA7zemgH3jEJr2YuEL35Y1Axzo
XHbSjOg1ilFydV2zfEv5hh8RmXT3XSb0IwMpuhGxEV2rtA9w7tIzFi5K9aSty73fOuJJsftVIO5s
QizGMpr/VWayQ2O6USrTt9owh7ehDI2HYsmb0kql1sY3xF/PKVNT+D6bnOzkOuPOdGvriuKrcR8R
vXoD1Ic2Zm7jg/Gm5FvZd/5tUA0E1Zm999XpZ/fr0Bru1xTf5hVfKrGLm9jYzHCuNxQyaVgQhHjW
kdF+Ifmn3NotViXoddPVx11XHjKgBVBxbS+gprKs+PB16QU4b4sgP3w7ZQ9hrGIg7iboQReShu22
DMByF7NytjUoMWrTJvmLoQzmU0/R7jr0reiIvoge78dY1r6FpNBwfdYVvnuhQedcya4Mt/RMIzg7
aoAm5JXZtdmkxZFIMfEUhOGwVyGrW4BKfAxN7fL4Ne6IrKv0eYHQraMxcMATzxQQPW0tNVD0Vdk8
XTEpzEebOIRr2WoNe9YD04O8Zn40ERISj6lJNdck5lLhz8iWInkcupxMrwEoGTtsqbSG+oKGxain
G0uONDHaerrGUM6nm+QoIsabijropAuJeZdIEZKfLGKy+DYNx6BFE7EK3Y5uu4KXvC5lWd33yF53
PRMOayC6zxeWa6vrhh4FPRYxYMGgWjyPhAg1CNZ2eAugJYP4Nu4706ScB/GPFbPrkMwx0HIwo45X
U3lwe/WHENwf4Mc09UDJ0yrzR5O+zraoKYM7QWK9fiiv3AI1jTuO5isgLKq1U1I5K8NdBIpIVLYJ
UnRa6ogL20zKkxjdeesDWQFDBm0Zi9uAKq8IxDDhNkc2uCpJdLs1Bb1XYhFxxq9D/nDvwq9XhLLF
w2WvDAK7+as3sB6IFqx0Ex46wHD7xHT0MfVDoijAhCxXdC3jCZZB4MVXlk7sbt0nxZ09Ze0WoUy5
1XVs7JVXERbjeLP9PJezD36+bO6IX0aZmyXGBe35m76e5QqaU7weU+PNbzDeWW755PT03fN0Di+5
jGyTmxUzpxd17c7323FbUfPdhyFNaoLU1AVKwxYtamPKLSvEmK44mH4Vzzc2hc81NPHiuyyN7zQY
rie8ejt7Gotl3dYc/RiQldTJ/VjFet36RnRgttpzIxY+DNjzCNEQTXf/ySix2GDbw36fdE248UfS
5DKH7qbpKwQ9Xg0xUtZcb1l7LqsqShzM2OgRanCzZRytMzByW5HkyMgrZ+gx7qXxc9QP3iHD47jg
c8AwE6hQ3dWYcDQsPtSXq8KOL+JU1DdlmdVPRpSVK77qxTdko3T+B4kc1UKTt8n9Ojv2w6xB5AfZ
HoxdfzDizEOFEDXujeu3+iaNRHtXw7TeIjeSiA2mttgILcR2kqTshC1k/BzY4m5oMup/Zp6cotSa
6eYpMnFbXVxACXYOOsu9oN2MVeSM9KP7KcsuuvKV5b31bRKlf7aCXoEdsIkUGZoU46Zd9eNNqOfq
qGZaWqkRdzvlo7+yC0IyaJQadILblqe4mULv1Y3dZlwPsZ6vXUult6Wnql2P/+qbaFlfrSYrtq9m
P1DfsjyWJ8jM5ddwlhAVmrJ3Hs3lCymsoqa/5seHqSz7izjx3XNcdOprqRzvQDr5eMq9aLiA0Z99
V26Krim2eLhVr8KbQdbFj6KT5noQlvtC57ayeUVqebKwHV62iuKXwJxEZ2UoXfa6Hd7H2VDug1PK
YouYyKJpNgzxVWXMb9kg/Se7kiUKIk3ibZTrHcrQdJ0Oxbxijafp28YkKKx6qHMbMbfMZGmeHtIa
j3stpMnj5Wt7mtlVoFl3NG5Qn9zkWm+6pLg3cprgpSJ/k1l+RZXYB2ZNkzyz6q+tkzoEtNFEQqIi
4RN4rIz3VSCK+yorAETo3D62LXIR1vMFYiwHgUbt95C8u9EoDmyXhPE2K2DVq7H1jlYv/EdlAN1k
3+nv2cWMK9tIwgdaL+qSj2J+w1IxfZksp3pIm6x5qvt6kvva8OiIJ2GTZPuhWhBwYBtJKAAhdeuC
cC7XHw2RrBUAnPt2TE+D3b9Fo49ggFry5RT45YXDyvZ7WYN6m0MCXoWRXelqyOGfO0a+V+gb17Sg
q8tsIHIUrXatrpAMRVcpi6FV6uZpR1yP16AuFIhh29T+wvv/Q5EOuur5pgWrXhL54YSKMIWq628y
nFvwUvL4cWo7hw8Xzl2rLMLbrnaqV8eon4G6jM9IMO90j3h0J2nybAxKOPu00czsteGsedUI+gzk
qNaIUdsvnpkTHwP6hGCk3tzpYSCEgRF/MPzK3cc4pAn5heK5AnCOMRbo3QEAZPRKvwvOBTPhynOM
CIXLJO/Z6vA9QQ79vHDYN7AfvroTURZmDSWdX7Fx6DTqzk3cHzL32+uBejIWupDoowylHfdtTs8B
oaN74oi4Y5Xv75sohdJvBNwUJ5Rf5RC798lAGFLaJ7ywbRCvxpI11RyT4+wRKqmc2L5hD/LIhJxd
T7UWpwY9K7HUSmzrvAxfqiDT65wu3MFonPRKwHstEX6wi7EBsB8mPNTraBjLL6XuCPa0jduiKNRR
+XNxGyaGuJGNGW1EKuwr0nOcdysijKNKx3rb9gmodIJgrktvii9zL/Pu3BodJbJpHRr9N+hjtMiz
bl8w3W5JDCdARk3mbRj24pCPWBigM1X7eXDyO8WMu+oJ9tkGwWDu27y/j3rwjZM0xcmJqnmvxvY5
Dkp5SAkRWdMTnYgslcYBGvxwyVJOnkYXhVgXNRnr36p871U6JJtc1a8OToNvna8IHYWjH2evlZmm
JhlWfXjhj2G6oVoyMtg6+763jWlegzP3gqskJzF8XZXN/2HvvJrjRrIs/IvQAW9ey4JFikaiSIkv
CKolwSUS3v76/cDe2SVRFVWh3teNiZnpmJ5WFkwmMu895ztEEhgV8Ti7Ug6QZNyoQssDxuZRZh65
mtbo7aN4tg5RwnpEc/1rGFA0q5inEb8Y1QFeyN+OxanBEnoGEcnikERVExULvfos9rQtxwlfQQV3
YP5b35zMfsqQ763NALQOu0Kxodzxd63HyEYwaqOp4vs69r3fDvarwxFkIDvXqtQH9lA2lTPKRErr
an+bnuivzdwytnZpUEhJZXUXBprfeUrwOwI2cg+EQH+oB+93OZjKU8jU+6rrThVtrDonqAy9YLCp
XW0mLVv5XvUGUDQx0W6wBqB34oC44Io61YNQHcvGOkxrQF+aBu1B6HDhXYrKcDpWnUIxLi5y3sly
z3k8u9AYOFUtx52o0eXB8mwvHXXOYA3skxyq5TnVchVTxirOnGErwkJszleyTw2FtxUQrKVbmHgX
9hm1tolAGSjME68cPg6JyScj6bRPakPo9/mhTrWPSCfELo1bkBEXRXPyL9QRNH/ly0q2N6lo5hwN
2jcBLy/ArSHb5ySGXOgGnLo+XTM0gzqchVlsMagVB1AmYBr/03ggFYKvdEXJjjPppU7K0jM4d1KY
0DSpHJoc5lEnhcV/Kgql8skaJnZIBKQnKKWbXKU6FU3Yp+V98dbiEVP0qRW0eM7f31OdHN0ARont
fW4ILyr1Y2gWEUik2nczmgNsumY+Q//1/CDHE4HISuj1aBZVj9PEYhDTKpAP5l7phxowuyZv7HWv
pSXZvgnKn8KTF97P44tiPGj4xCVA1nOW3biSnY47YvrxM0myhGmPD7B5nAuz+/glgRflwuKl2qIj
lNU/9ji8UGvA/IrSjxuAvHVBThmeAgKNKC+ev30nRuIiiKcwbQ1f03Id8eo4nsbRzX2anaiWlPoa
YPxjUSVP58c58Zg0xyRqgmfFgvUG+X/X6ybOLDW8ysn9KVa3lXhVIHAmqZwFV4fzI+nHr73xYajF
CsKx0Z6dG1iFIFWROmIStt07/8DBsWR1cvo6WiyRxBsE1aY0G3ejAmn5brOL3EKOarYJDZm9XnOy
zci1gQ9tIviy3KQ4NAY5BGEfTZ8CwdaMzD0DsSgFXLY6zVbo0OoPTieG2z5vKSqN+HbXnHyTVW/H
04ULBb+zbMgxqSi1q0wA6IfL9rcQk2J4suWe1lHz7JEgf6t17meCVOLXbGqdQyvg0yGo+l7hdd85
gOtpIxFvii8otmiWaGWRIib+mpFFt25swgXz7HPRu5+mgLNelqfltkYkvipjEuCDKjHQYfY5Gq1O
dw5KorTrwcxNn3ZTv2kaPHqMk2w4VTs3qYmWISGLDb5zHm28sF9PTjhsIMeTBeiGusJWbqrVH84s
7Dr/Bpx412juaig46GLzFZ7X/XfvWpB1JXqEkfuSKPVNp3nGFU998ENSd8jqDIzePz/gsQTCMLAo
mxYOHggeSwkEnoSuI8mO/FS3MXHw5tm2BGp/QzpZsw9cEgojqiGPJq7F6/Mjn5i+LLCqTZQUUo+j
bUBF9rYStbbEPTiO3zro4i8lJdhHjOrJr/NDnbhIeq6sRhw/+PdyNadVwRZwbKWfdRWFSgwd5McC
htxgNamu7DqN3XVNzwsMkE4d7fzgJ64TpYVBVs0bymppPScyDjZCLqVfE0K4L3v5GM5ebzcZqwsf
reORQLMynzDwsuM5yuvhWFaHGEeFj+XoeRxlv9HdoWUWGcYfv6YIEBBMIYxiQ3DkFy/mxMqwawWt
vrbfTDa1ECO563vL3nEW/PmnN9BU4VajeDAhMFjLz1YYi0KaouSyrMzwsfPKnLI+ZdZazJnn5wc7
noAMhtgBsYBFj2n5+Spp10Z2m3FlivkYGcoz9rSfyWA8Igi8oEo43sMxFDtFm0vj8/Lmxn431zMj
ionUozeKLXFrUL7wcou4BNFNZH3h5hH6pV3V6RHh/yBjmyfd8vNiFo6LITn1S607pF7xmo/aozEn
ixJYJVZRq/8pLRhpHlKcGZ0G1IIGzMflzIK2gvvWSX2lbQ8gBX3TTO9iW70wzPHGZh6G3ZoxAyb0
5R6/c9Uhjvmj/U7RZ0O4NK+KgS/i+VfjeBVhFE1lswHKgaDxhYgEh8wgk0RL/crgkMnhC01p+9uR
9kNSQmJsSdkhSubCKjlz8xbSFUZll4++Her2Ee8gyCYcABH7e8/Cx94L6ItrWaTIzD0aZ5Okr1SP
oNdWGOaIOyBLraASrTr7ZijDK0FrZ9ezLZpGq/yMEBe6QFGwOZi3BYTxWdcoVeyvng7kAUegdeHX
n3wwgD944zQ8Q8sHQ5cwEhQbhU/BSG6T0UsOykDp4fyDObXu4XebT3mejmpwseXMzJLPSJgLXzaO
gO/Z+WqqPbpOc2nXcupRkN2AqhLwBKq2xdvsCEMWYIhxSxUGveUguhpsddidv5pTKxC8Qk7GgAY5
f8z39N2yMCWqPoStktLPx9HSOXymMACiqa/FD/T6f76L5oCFTJRPxsxIWp608L7bHRqIlENd8HO+
d1VsP2RV8Hz+qk5NHmCMtoMkl4PBEtsx1CS3TzmTR8SWe5+OGlXvwPpJ/TPfVaHl/t0LCDsc4OsL
n6pTa94bAJKz3IlDD9UMNTLMLvXDUL9rpIKDItwVyVORTF+YiBdGO/XCc+zRednRmh2dW4EhoOrC
uuwXIYnBmW05D72OK/P8zTzitcA/UrmJjs7nyEDmvFhXvVYfWosqmO+2vfoUR2q+U1Acr4LE6ATl
cqf/mmhuvm7zprsrR5neWsIx9pGLzGrCxEavJymAAeMxx59Bi7Rtk0tHaO3knXfQ3DEzYZktNz4V
QawWAHK+NoNJ5a4pX7VmjpE13JrEAPe5HdArOkVEXVEa8VPad/VV4OUvEU3WyZ7dl31mXqEr9Vb2
qBCIGHEd52/kiblGm4ktKNkTsAWWH0Th8Bvige12L6efxaQ1O7VA3xQIWsrj6/mxTtwO7U32Z821
E3bdH+e1Dn1ChfnI1j7QfqpIEDdEP7zWo5C+Q9YWJi27ubDDODHpyHch1oPRVC5y8Zp0lRiHKsy5
vMT6FsUhNA4a6ZQWq2ll4M78WlZ9uaFB2vl/fq0wyrxZ48gGcblSmqAy48qtc5+z2i0eP+LSKvFA
gSzE2Ro+jaQ5/fm+jQHnMoBOOgVL2eLu2jQAarPMfUUNyzWpYTQKpdE89EAP/MzmIH3+Ck98cxiP
PdQc8MdmcXFrs6AyI3j4uT90IcVEExS1WublxkCk9m+G8nC/uzYbRnBdHy+tIIqpySRHNM3L5b0l
StyaTmNfx62mXVi+Tr2jBhNq9iHMxbfFO9qhUpETlQG/ztpHqB6/iFB4BOZZreKwfHAxtf/x4YgF
DNOFDoiMXJHlBNQGyt96PUl/0idkN07/uSLZuqAOcGGgEwszInvVgm/ENoTEmcVNnHDrqQFHQBFa
z+Ew7N2pfLzwShj8GR/lvZD43o2xeCdIeE0T02QMNLbayozj4gCixvqstzYQGQHUPw5VrFF9VUAb
S8KveV859O9pn7QucfU9QP9tJWOaL+aAKMXQNIANuKFjo6kOk2lGD7oXDms54tAKClXusxq9BKfb
cY0yLbiKLBfbgjpgVtRmmlFCR+3z5GXoH6QGTyPP6mqvdlB934Bjd4mYA7jz2RyextVdNDjRHirw
eCUwjELjjrJPHWHqvpt6jzFhFGuuPt1l1IpmlL9T+OiFoOj2U7EN2shCv5f2N4R3x1COSKg4f3tP
vZum5jga74kxU0o/PkHQJ2Uz2rybKPdey6F5daPizjSUnZHlmGr7/F9MO/bcbPYQ9GMRWYxnRaMk
xXCUflNGc83pljysq76RFzavxyW/mXhKrZlaJmU6bzEMwJEIHrQnfXSdD0URV8h43L/L9Ct9oU/0
iNetpb+ElbxwZDJOj0uVljvK4Xq5IfMKMFhFb1ETycfpWzRAbXYrU3lAe66KLW1szjillcEjSLty
I0hMot8kWchLvbuyEN5aSa9cGWqr7LTGlOsArRYvXLGnBUFTyUt+WFrHQX1AnQOSJtwQi032aOdM
m1ALvpC2UK/dySpXOB/NFFch9ryE3wP6ofiFDFu7T9w5B3DAgoeji/89m6x1VDfJ1oFd8FQa1qVH
cWpNtwHQQrmlzGDM0PH3O+9Yra1Mpp30AYiNdChWY6/uU63pLrxZp9aid+MsN0Zd0WUiB3vlu5ZQ
15J6w5rMq+356TIvNsvFyIbWR18BBw5U0o8Xo5Z6kZdgm3xsKO56nC2Lqv6cpxEy13q8YDo7ORj1
Ss4sYNePtr12xWIkBXNFieyMk+i0h/azQ5SFvBFg//krO7UQ2JT9+Vpg2Tva/JJqYdgJwga/SqoH
gGgk0wXjcy6qX01MGzGyL9xJ7dR7MbehOMDS1XOWfZqpJljINdmnJYOAJjLp2sGdqv5Kpxa/yQ0l
8s2ixPFdeMbnWA0ifwzRGYegcj+5oZvuvNwcvzqo9FFMByHIqvP34+TPY0GkjET9FkPbxydNvGut
pBHbnL4sfhle+BTp3Rdh0Nr9F+OQL4X2nD7q0eagJrY8KpDI+JxEC6o5zasclX6Tt9WFD+mpbeuM
tqXEMv+Hs5iHRu8hqkYO5TfIuKMa1VkvH6rcOiSudgdG/zET3oVCxakX+N2Qyw1rMpkC2Yya+Uo/
7MM2/+WZAr2pfajyS6Hixqn3dwZxU4sGt00t6ePzanqXDKTByVhm9PGliYrfMAHntAvNXVO+Ddcz
H2CdsSJv43KW/yraLJaq0OGANnoG9x49ByVUq1ZHRIzRBOl/1FRfwskD/ysJAoLM7u4Gp3efXItV
E6BVjYZBqYfNlM6lzVz/rfY6CnN4CEOhviR5e0t3vNg2bPligm9W2WjEWyJY9S8FOkg+9rp14W06
dRe82alLiYP3dmnJEqKoa4lk2J+K6WpqJm3VqOYz5vFraqbPTTz2FwY89YhnswS9a4di6/K2F4kW
jiWbIT8uYQ50RVsVuzc6gREC11nVs0z0/IQ5cYl812e3MRx2du6LM4lnjy7IEUP4UBrNbUQU2ScZ
sUMbk7x+TuA0+6iCfpwf883BuVj3aZzr3FSmKEfbxdsVkhRNZ1Zkvp1N3jrqW/uLGWndWhqjdR3l
Qjy9hfAkJgKqN9WwG4F/yNoJIBbKnr3Sg/O7cOu1E0VMfIpUfeZV2zk6+4aDNRXkF7N0TAHqMiM0
d2jEjF0dVPUe5rKx4k1BzGSBQQyriNjaOkUMbV5CERsn1srZF45BE2Y2jTb949xTMUvaWRNn+JYT
MCpvUuPYAH2B3FFa1zwu56pJEAjieoBSJigiawq5sSt4It19b/TqbhwDcBNvfPlmUr+xLZb7qOeV
wsSQ7tDZWHtUsr+IYlixZHdb006iLfI9c1MpsvEju3S2Q9Q6Gze81vPU+JIacrhj2uILIT93eo7c
1jsI1fmuAgW7cDA/df10wPCgO3OHflk4otyWiLoxuH6RDl/AlCIPs4f4OdaUaHf+TTw1FFpItAa4
0flsLDYgNJ3gkc+fJSCk0aYo3dlgMxTpwYtE+Hx+rLfntnzr5+ovSYFUGVEWfXyuUrFF22cxh4MO
GM+qoWGM/2IiYysgKgrGqtCuNcK47ptB7291XQkf9EaBW2KIYl9IcC5vP+j/8Q0X8A1zk5Nj8f+g
BE7gG+r69e+oBaLV1O8xDv/9T/4H4+D9xZoJdJ22h8EB5T3GwfjLwvdMFc21kHO9Zdn+h+Og/8W2
gVeAf4xaGrvR/+U4aH9R32NzSsWG9E92c/8njgMjMIVY20n35NctlhHPIFUyLZTCJ2zld5QTKYe6
NFjFLsf7d3fn/p9X+H1wwvEs0hydwiA1VLzeR6deIRGBwKZlJB0TBWrul0KSYtgHUXuhQnJqJMag
WksNDb/+/Pff9R3CRgnAr0MrbYgXAw+j3tVdlnDemy58Fk8MhOYJ8/q8AKlH2+mOuejl1QQWtU5/
pyL9TZbO74T//uM7xzAWcQwcrCmfLZ4RmhC0JdZQ+NQGvK3nluVqTqBYp0P8L24d7yqrDl13+k/L
YiDmy8zE4FDA3MiqmwFeLWZN3b2p5B+HyhKgYVMp40xngA9ZnuqcDsRw4/WFH/Vwo+x2/DyGwxPe
mKeig2h0/g7Oi+bHRZXBDFpdyDPmbFL74xsBdi5nbuaF75U1nB0cNn4CqWyVK/ErKGvojpj3VtqI
dfX8wKfeEHqGOHHftjDLR2dXeauLSBZ+Ucb5lxaBLbxL7G7o4i6FQs9foaNrpP7CqsAelFn98Rqn
NmlHRC8FHWp8+VBiSZ3U1eDLv7igd6PM+6N3c8tlK9IprWAUb8CGWQ1PXUaCkqz+3a17N9Lire+J
4cg7yUiRaMeNPSSvEzhpEqIvTS9tvjMf7hznQKB7RFUgyoCWv/jkhi2qalOh1dVQykRuXucrEIwA
zg3zWwnFDkkINEE3ifSdBaZrjaroQj/Wektw+fAbZjSF6/JyOp6JXGrxhubE+LlZXmR89vV8U6id
Aoa8aIb7yczGrReo+UbzKm2H4djy1WrIN4kwvK1RmvLQlXQb132OFtil4bqucomEO4ozoMeBcTXT
dXatk/4egWNchZPWfSocKMOAb2t7pXt5ucoL/i9jFGRbNe31dctHy3eGMiP+1NOfU0fPr6wgCV66
rBs3fTZYfuBgnM9HoFt9wpRKnQEPfT22SraCKuxuujI0r5qGXnmbCrllNyq/YBozDzhb+r/LgA+N
1tj8duw3D2Ni5tfQjTsiaB03yrejKdQfCZY9OoD8HoV90msWcNEppNtd7oXFXahP+aZBfMZ50wiC
ZKURToNi2GigfmLq25UqfJakhKulkAZAoipXN2WsnVCtm7XTSH0dOKxvURjjtsJigZtv0HacYnN4
slRuD2bWxXs6TPm1pkIXdTMcba4H/94RFKDCqLOuh1BLXkI3F092n6KJqo3ie2ln+nPAtRcrB9vf
9yIz24nf1BGgCmLVa9aGMbLcDLaJtVYxK/FU93iawaFlDxDVmpeAW4OXqyzu7Db5rWo80xZPwzOJ
Tr+Hug++NPaUX/Xz6hzVdX49Crbfu0qg82V58USEbd0ePiNUNa/4qDTEhWbxnvBaY8VOJJ596K0E
P4aed2W2YXwbGoUHfzGUv214GbdAvrmJraCGqSu9667eZp6ooQhgW3dvQIzLbQqP45liOQgEE2Ro
RmLoozth8QE8FKcvHoZDeKM9hGMrIk1XYC2ccJtWttjHUleLT1rbFd7GjoLuWxQUirfVta52kT8C
dl/ZqqxukGhPzy5i/sdBptlv3YHOzjWOWzxMwUy+LH1Csr2nnMn9aMBYStb4CmBPVqaFUB2BSYcd
bMi8mwqdA6VcMqpXTTCk4MGJoshXuOQUmogk8dZkB28KEzrhujP5yk44KTGsFLPnBvdH9ETDnXDO
1pXJK2Heyg6MWvcJgSuZpbEH3LkmXvhzX3ndt6ma0j2K6IaOhFLp8S4BijRtp8RNy1VF4Fy7Arip
/UDfUv/UJ+aWqQSjthG9VX/tyDf6HibQ/ZxRsIwPOT+2ahXjQNxOPOLyhOCtpTwJKwrTlzLU5WEI
8AtWQ62vQa7+1t3Iuwk0MhD4ITBBMWttlLEm3zTK7OgWP/WwbUMxm+t4Qq3B1xfxtlhHbgX8jqyI
L0lX4biLiiH6JQvP8mVqA1O1IyimptZ+K+qx29OqwKbqtbwIE2xp7CwxINE5WU/B0VdrYo9Z9lfT
Vs4mqocvIOT9Ju9+tNEYHzJp69s2gEDL19h5iFompSb5Waomuk9dU3lzFHaxo8dMyHThpM8uUMZr
/Bw7cNxiHU5D0ayzPq1T7KGkJxqN4KVmVRzuI1GMG9km3p3BvnZXKsz6lPzgTUdMxsqogahMFasb
pN1ur82f/sLkuvUseY1rxb1zaTC/igErttE1GrWkXntMzMA4DC1vFCLi4KX1iKRVxZhvOjpcW6ue
mEaEf3uIMmZgk1KBUMVzp6wjyC0Pml2VK1MVr5bFQllVrB+Yzp2HKcaTrxMXsSF8lghvy2jdBzy1
1Y3Wg+rCi8BrCI66BEmetRuCvFnE9Dbf2D1DV3le+TE2oTV4pf7viBZCIYXE2VfjRUTzuK1icYf0
Nd9FPUCKiJjru7qct/a5nl8LreBl6suoBeComfQ1uDtx4JEFYrcaAVusuuRbfG9SV/ul9qxW3fyO
WOqk3RJcHN8mFhnFBNWC+O3ZzKwUpbEAvVi7GsDAGheYvrYMMu7LJh/W3WTnX+OBOzQ5gQSs7VRr
Prg9SrOGlVuoVYVmy5aPXREGABClJBuozR7qlrVHCVk9eo9Jn3akgnVe3u4MYP6rUHbxrRHo6g9P
a5vrTiFgIc3bOzethV/bardPIoqOmRcqn5oqvjNIhPqmJEl9Nw5R8ylIpmfcyv2zm47uxh2RtJqT
ZvkTCTlbGZXZHa6N4F6k350S92tsRL/zcCZUNfFX5vNT1anQplEhwizJQIyrBk28sQamnZMAwuL+
Q7FyoiIcPnpz2exKiSPSSyQrbyVZcdTM1SA2asBUJx5p8c8iC4CAYh7PYMfxD6q3DcaH77ZcQ68a
Wp/qpVntZeStdC0q+lVTewlcbSFYzBLOmSWvSOJlc8RfOqd8qXCmC2fuigJ+I7uinIgJLQwKNEYI
VBUsSF/OuAf9a53p2aEvDTKknEYt1rnblgdD1OSda1RPiZguBxRB12P/Fi/cq6Ji/cucPvhc6j2O
NFCuOLnNuMuiQ594Bm5y+COdezA76KAkKreGY6w5DlCqWk3YEH7XYxLB7yD29FdhIajQ4tC5Glyn
0ABewypgd2OphIYMrOujOxdCoII0zb20HUzAiYnnfl27YUK5L6rMDdwjrctYe+oXN1XTZg2O80uf
GAPWWM0O2SGMgRmvCmfsDlIk6QZy7g/TbUl5SBLggka2Mi2KR7rN/GLh6B4sK1HmRBKFQAcnA75m
6uOeeaobqzwBNdIKt/H1EknbUAavaWSl8K/0FNIJ5WjwGFB2IbHetnyjtdUQQrOSpt4qa4Irplum
a/h3KBz0Y6lWKyvhAPZNhKJcxYOlujsnzFjfTJvl2wzZnXBgM/tVj0vO2hRcsJ9SJ8rW7mhdCqY6
ri3OG2L8XxYtVVSiy1NggXgeI1Sb+lGWmYe2q7PfuYHdc9U3hMNnc0IGShGwt9TBEq257Wx2FlpK
F7vQ2FbFVfbKh0seXL10N6POUaeOCwngfmytaxPb+Y2k43WT2rVHdkEZF6umDSw/nGXlBhikfGs6
WfAFs5H5atgUKFdkkHd7QlmdhzHQWG6DcUAKEMfJy9saKCVwwnU/peTOnz/vHNfjyAOlFKOqREnp
BsLtjweeeoKd1Naq8CFys/bqffcJOxC0aLdizwQoKb4daZxBX5/YY6UeZDEWPyLGjSyM8VhfOjcf
leLn30PBBnfNHOC8LEY6IXwiNHXCrzINChZxRinfl94hUVW0n4ORT/75OzCfPD6cTHgZkFwxksbZ
hDro4gaYnZWFfSFgobMhlaB8+FizNZEyyq8VE6v++fGOm5TzgI41dzgQlx1JrmTFZs+001n8D0Fp
durnm7gm5mqT8GKRMudtU6KJ7mzL7e/fPsHkmtGRj/Re20UaSU3g56xXmBTdfgABdOGNODpnw4Gk
14WEmRnCfVncD5QbvU0rKfY9ztt7Swnz68LsL83Bo4oFo1CowG6BYQthw+I82MZtF9gyj7GEsXO1
kdGilbYJ1dA9Nvl2CuBjTNi5Ay/uvp1/APrxeZj9gTHXf5C9HdvRSBg0Edz1NIPrPgyIZc69GyUI
vJesZV8K/t8a7zzF8p6ILntKvbEkAsHqt83YAXNrchnF82JHHHZJLIGxDZuCvZyZVj6bX+8myWX9
swxmjr0SoKP7p+Ly//XqS/VqRIq8JGfq1fHfCCNf5YdS9T//0H9ilfW/6CMxyTXebudjrLL6Fzpd
DZgrxTMq4zad7P+Uqt2/EA7SqiBBB30mivL3pWpgZNgZ5tIlkwbq5h8gh5cyXCpbGHZNlCB0Rgj6
XbZ8yoFktFLU2rUszK4hlofgrcGvLE7pEM4leo08GkFVJKmm9Ow3MU9AsI8ISai9wnqFCCd1bQPh
b96bWIk94VvCj2Mm16E+p7B5gWRuET1EK+/dnb7/Z7V8X/terKGkzczc2Lk5zMKBjGUxm926JQWr
mqpriJzDZy2Sytpij3Qzdo56C1iEY+n5AfkSfFy25zBUlaaDiX2bqhL37OOyrcQCrlabh9e27d3A
nAfYIzo+9XuEfWGpAsJUSl+r1OK7h7K0HNat2Tmm79ksPDsrBHFyRdznzP7qMH6tAEhSxNAbSFuu
jB1jmxMafY8eXXsUOkbZvRnI/BoyAIY0Cip8srU0qOxVWZFRuLbAr6Y7ota514rdDZ8JzeLQpU3W
KyiyvCY5x2Uoj1pAuK2cYN7xW3i0cWwqlARsngg726Zu2x0SkZEguFh/rDSDl6A3WOsrg2/viFgX
N1wDZKtyKSKsnTAewy2ShD7cUlEZ7tXIFJhNo1B/1DS4mKvYqbk2AB/ldyUC7xfaPT9jgH45QI7U
i+9610OksIngiO6GKOMXEfZsXPGVjYavVTkTWTjx6tqjnkRaTReUjsQt2kFH2RHwYRffdKOV0aGp
at6/kOQIalnAFT5PldQfMcnqwzOkeZIIDb3hzsU1HtHVyJkpv6oKl+1dhwN5AgKiMLQoOv5u0QI/
3YLDY0M1TCW0fgVARHRPHBTlvBwIWESVwOD6sfZarwQDBk/tyIGja4lKWnk9gUKbEmsEai3+aLUu
uUnk4fEUbJNW17eo51vrmxN5DVvuo9GurXjG5ceE+fU4OJpy+jJOOY+1m93Z16g1RHSY5kfizDfH
A93C84N8cu2VCoWNWDSKs4Zf0n+KyAF8UFw1AuY5MHnpnwOoKSFfYgshmUaA76O6sapQQTubnDzt
rRk44UaQzwUVqh/GR7vRm1u+PhyMsgQWFxy/Nn8Nk8b6NI6h/aR0jnbbd4W4B7AWvupUJnwKx6a7
jnXpvMow7Z4Lg6CfnTbxykY92Qhd3zXuOkrmDXUGwJOQp8G2hi24Be9JQbDZPOjkptobq3N4bbrK
4fb2cWZXd2ozWLT/rVCRyFXa0iC0ejRdyLYc2U2FqKts4NnFBpuE32MytsV3/jJLfqMHHD7HmUp9
waZlvs5D3pGa+IZ2zbFVexz1+cmLlGS2lRL0PNu0nwQ1TGCs37kzTC5CIZiUaZH3wa5WCZr7RsDi
8JntIxNBmRxucKwjdNqn0GCuLX2iJBkMNYftLqFgmAT6cE/zovRbCErDjQFrNAQT2DIKFapkwthS
U5cbhoT7Ag+etIIWfNw1kQl69ZhOk6I8gbOdyptGr5Tqfhw8folgP9x/nTLOcF9jU83Sz0GXVP6Q
KVVJJdIwriZSM7rVNGbcSw503MtB7TkFeF7IjaAHVfmBcMXArgFky6EoUZ2u317kdFB4cFAOmcd2
N0+KpjL5U4beYA2VZq4/xq2iEVWhuZH9bRBuq98lgcdC4YZamv/tGL1GRKJLoR9pCWMqpGIPoPTC
KnmptKoPSfxqw+anEbhN+lyxQmhAcYPJqu7yTErbZW+jBN7WEYD3tnqKzGmFbTA51CVxhWg+K+02
IXtqeHbboEx/WY7UdQpAYxlCxVM7Xb/L+P5M5UpvwWxdBVInHgavl62qV5FucEDHF0txXUFi/RIP
E1rrOHRvJUqIb1bXBjOx74uDVr9fE/LZfh3zUdmCoiQkNC/qtdGG0ZUhvGBDVTwm1ydGBKUZ2ghZ
2cksn7KLPUubE8I9qGFzttmZnL5lQhNgJFpSkPlWFK76VBOPtjYy9UWhzrJqSM1cpaOEcRf1g+uD
twp/iDpwfg0hWAsyJeQdOJebtq/KcZuSgfsAnz18sYxObjM+Uhu2fcZnmm7yRTOjbKdLlVoPjGRQ
JiSi3HshTEGnSDkswuQVn+IiFF/1pHZWnlo3u0lpOH93A5pxIHxgyfrirhNTdmNRXti2vSMeWNaL
l8Rroy+dKe57Rx2SfVUCWypHmDgq+859RxzUl7C2xVcMOXW4qxopb7AcUnxNy4kwKi/dwbggrxZ3
M0A+h9IJHNn8kY9O8U1aWRFtkqmWOzdW8+fItudbCxOHWAKrlWvbIR+nsAeDpKQuAwnn1L/jirgX
0Zqmr89+LSjE+i18OsfcRCSgQfUa2Q5s5pwgqqFZvndFOc5dLiO/msF5u9DSHpIgL/YqUpsNjJ/i
W5JWlH6IPrGvJMfhbjtmTntbNmbwxSsie6/UUwpwCSUeeIDJRedj27dK1JTXLNijj8B1vOoVzUOs
lvaEk1bw6nSzXZftmPiRrO3HLu6mn6oqkmvP9abrSlbeJcTM4hzL/gSnEv96O1TiMFsco8o8M1x4
zgBFm4Jahpxrqr3BR8hUqMcmapdfE/BZ+ef3RYvD29uos4oHPyLQGXx0H3dFZjBFTtRb3qEUrKIx
fpRyXTQ6e4zz4yz6vm/jYGrD9chub1Y9fByHzHC7rb0wOJgUqVlT1Yo1Ww7Fd2sIWDD+fLC55cvt
xKF0JBnSmMNKyCbw4ApKxnkemVdv+gAlbr3t+aGON7IcyhHOshdX0b8tG+kloagFsFcoV4R13cqW
rbeFyJUyXJNf17MK84/HIx0dtyMwOhuQxKKpjfOPaSsyC3xlFDz98wki8JkvhiXnlkYdEx1w4XYu
jt48Oy5uFuzCJOLhLTfrYxaajVc15qEChdytiLFg88OCyhdYDnNizxzZYqyVrOOvVQrKwx+/pHTh
LO6zOgP2cZ1/fHlyaQI7F6l9aNsYBFOvGFeD1l/yYx9PBUZBO+dhALZ0TiYfRxGB3ssgru0DEYQw
pWIZ7x33olb11CgcKF0YDpQzjnrrdkP0paVwLW/KCzumfYPn+F+8JuTjEPXuctrhuLm4Y2lJaxaC
p3XQgyqG34s1D0p+T0McSYd22xRDN1040h2vX6zprGFcFg4zhv14+8i9DMZe2OZByQP7m9aCjJ/U
jq1IiyNiKwkK1CFGT7wi52fE8cqCEBHJDLAKjJ5HMwJ/e0xCLUDXtGV2BznrZGMjmJkS273grDlx
ibwcSJvYgyPAXS6WDnEZDJXphwHo5BpORX491bQnhTlXn+cT3DC/NX9+fXgQXIRt1glGRqcSYhaR
OHQQNjIWmSFZEKob7TnoXJzpb1W0d7VNprpHdQLltul4jns80+aep8p6Qqu09txVomUWrjZHFZ8J
oK5u8wTtDrVmtslDz76OxttY33ZlNwQ7+lcmh4ucbmGo1z9R9xvsOidJ891N7eKSHft44cWNYmCK
YEVC9bd0bsjY6uNRCXjDM2qm6ziIi+9z6ltNbArVPBKh2daffxLa8dydrfTsKylFIkBbalJCQb0k
4Bt3UFyFve7gGpwfCKFpfrqVxieTXL35fU9i7bZsRfm964A1b4zYGz6XtV4KCJHtNCcK9/G+GTUi
Jc//wFP3ZFZOolMzeHZvdcx3WiS1rKOJXDTrkE0um27VSl60kE45NBUZr2h+XSrjHM09RIXzbKCU
wysK6eTjnC9JEWbTDzmXiDVgr2pCS2QsJa/pMLc3zl/dqcGoG8GkgdBxHAOElMLDAAx4e8DkeZ9I
cNZq7XLKsdSCU9L5wY4eNVeGmtrUZoM1y9liX5Sl/8XeeSxJbmTb9leu9Rw0ODQGPQFCZ0akrBSc
wLIUtHCHxte/hSTZt8R9LOO8zUiz6i5mICMCcD9+zt5ra6JpI32Gm25zsIzTjjuLB5FT4t9f6EcK
CFJYlsu1eEDPyJb+Y2UEGT6dnMYdqSBU0t7qnOH6UPPaDp8gdqv2qskGOiFWbKEzGROmbkUDU55e
8roN1nK6T9KcPoE2clhi2Lc0r4vL/FjXHFpZdL3MnQ5Nh+O5JMJy/x7n0FW1X5f/dCF+Z00wJmNf
Q/z5YymUwqluXFJTT8bC/HhkSnFVMjLfxzp5aH//of10o3Mp7gGLUQAtvZ8mIl2sG90wJeqkkBMf
PTAMBQR3smsBudRXa8bAr/qH6+71zcJosa0hlVzF9R7xvD99S9VSAr1WtnVyQB58ATswnJQV+U/v
DRHHbenqyKUgzHeajF9sAMaPt4i1ijQRa5pceZ1B2ub3j5lVIDBA55KdhKCTtGz0zHNwFs/kYZnI
EqbI++iIPLc2Q82w9+LHSCGAbsfpwehmlBSgSed7vS/pIi752q+RMO84WPSKPy8u95EqnTbb97z+
rUuKXcUrkbBy8NEDMSbOyeO4s7OWGf96e5F1RPUwdwqE+0BwchsYTosxeZxojbURw9urnMYR+gk5
xKsZghHwGVRprjak2ZZ3I92Gi3I6jcjs1LmFVKQteyDPDHeHrlrwiktDh4ic6bCNXbsn8Yb44usu
J/UWqVkD163G78MBeklPwHhFaA2FTf5KLxIJ0rWXJE/R+9aHsX4zl2xVVRMVQ/Oob0QhPo8EItMU
1zKeF39q1mboHOfJ7TBP/NklxLc+OvDX8a8o6O4HKCqciiq58LeLdP8sPsl3pfPiF2tdIxuetaQq
7Pkr3XLil3MSezm4z2ry82PsadN9A0E/uUUlVEBZjuXQ3bWIb8oNch6e7lqUTX5fL8hJNqrvhNwx
gpzuc1Bd17Hj1Pk9IoD2M6kUvIsRtcfyxXSq3jorKdZW1AgsOJj0lB/krdtv9siv+9AgbGY2aGTW
9cCnOdDR6OnNpWSpTjunmbk8fRA6V92S0Aj3ytkxt4gHecUeGRqKrNGsjnLKeu1hIltkCWW+sGsR
4W3RwkkKszVuqnGwu3uRQibf5NwuyS3nVTD+YnbHJkS+Zx2HQbWkB/TdoIVLUzWQuo3Vyb7E3EEV
+cSoLt0xda+tIRLjMSGBKWJfFchZalXQ0/Igui37CdeQETAtp8vIxHlSj6KyVbEnaogbDP8VlGMt
VewN73UAPXvuviV2aDUkDlO4k3Bcc74ioW6CTgtTffrqd0t06y1ES//RgrOLnl/GTCbxaGWG/ZZG
SRJtW/KSkEq/P1bOKpkjwcI8jq6ZeW8V2A2I7ja4LTGJhCkou6IMjQ5hQ6gcm7tIes4qNitsPlej
XXvmZtb2HxEnj8NuQph4+8doBkDlW2SbayERW9R2Xu2i8hTZ2olVtOeDBvTGYSK/ZQnftz/X6Wky
JvSu3GubTJklyPV0yshFzvX2Cp0Pj2nZaEwaitnig7WiwTJ3mW/E6V1bSX4RodM72TWF0UKQFnL6
vZ9cUxto9Nh5fu/VMHbO9lSIRyfLKiskiymdv3gak4wtenHDuptFQxc4mamNYU6K0S3ZjxkDELud
0K7gXrGY5iDLtDrTfaYwz0lDtFVXM8QtCMHVsiCKEAqELOE26eeqpVs/FzQld3TQFo+WBGqzU6nr
cNrJcZg6jwbZ0g/Z+MeO/9856S/npOwq32y/P/t60rZd/4FQ8P2o9P3n/hqVMvTUKQRXkczqnXF4
yT/DWX3xG48YZh6Diu7PGanJH1sCAZJ//8vUf2MWSj/DN2ijOK7t/ZOZ6I/7NKIfDoNMV3Ej0rH4
EXPS6x2mxyGJWbUIYKZxPu9NaAZpYBF9IjZ6nKhPKBflp4Yok1+I1h3vh7qE5hZqYtgxFHSmz3nt
h6qRjC1p5zCijmVGcosbE52kGS0LAaHPaEm7RAc5YaOQZUK46q/kTLjIUBsV/ed6/rBEq/KTuYcR
B3UOVyfwxcxSmq9zCZVa+caFlvRK+JJajKDN0n65ilJ37rdV2xgEAHXL2Xdj/bBqniNCRkFQXIak
Iigq89ibJVjdnUpMApsyitJ7hlFuqLIIZMo4sgS6a9STmcx7l3r+VNsTn5tTTdU1vyaUAZiozRts
12VHTyxHVMoiONMiFYGTWBqejmJu4l49CLSK2smbklEEs8a39HmIzdjZjb6rGU/6EMXptuzjSWUB
inb7NdF9xIYM4vwuuao7k3IjGJFPj7fScHGsujGRIZfF1xJvV8MXi+/HWHeoavNSWoBXSsRhRjt0
+kZLmMcfhbX+lzEpNe7LpHKyixypU8NreYphmhS4PIxEyxBNjN5ieqiHHQGKMiidCKsW8+74Y0kM
983gzvW21pcC3L87yyYQsfReln7qtG0lxmnLJuvue2fZdPyvtd5Qn+xMDhfXy/Q2zPXYPBRUdShb
sTCMxPy8gEqigVzsS1XqZ46MbF7+rlGDl2ESd+SVKsedtGRzC+fe4IZpXB0pGFEs2uxHdwN5QR/y
xs5fdAKH4ElWSWgy7Au7NLe/aNWU3XNuQPPvT5IgC83fJZVISQPwzdfMRjw3si5vUldVx9SvupMV
oSkSorhPUP/dDRPNf7p7EEwRSu41MTqntq6Okz8/EjAHdknz/fajXYvovoQrt5lMMz3muG63+tiV
V3QJ2m3LKC9kCFx8qAcC56Umkn081f4nJ85lESh4vbcDA8S3eEBxB1hh1i/+7C1JQFKUdoKYwU/N
eqXfqbaZyczBo2YaxWOmNcYrsYRNHBpW/ilF4P7keDxUTHatHS5v6xjn5YCnbSqPyhy/RBjl3xZk
5Vu/gbofsCZ0b2ppt9nCJiqS0QryZrwarMS+KRDI7kxyIkuERVF9UGy/R0aOzjmqXZJZjN67CLca
qaRHguGzvDii9PFRCNTtY4um4MYc7fqQm6V5NTI2vzCrWw5l3NhgXxJxQdefvcgqyV75Rov9NPXm
VV8vxaGvquaSQyj41CD3XXNkYveUKnO5lXY3XJcdLSVmcmIIosZz7+esY3vVNJNlxZzSM/G75p2/
6A5CRB6JQzGpSAsaL01PlRObN73XQxpWZvpM4TgRFgj15NzkQ3ruklw+Ets5PmBtbk7MhautNqX+
KzyLDCWv012B1sf5PPVuRgKCuxg7USYliQN+dIRxMO5xSMecRHxvp+Rgf7UHhNkco+bnKTNAUfok
++RNeezs6MywtdrgjNCD0WeILKr4aPjN1WwTaxf5ZkCYXP+5r0YKoxwGo875PiAWCIcPUe57RYjU
zkiIclkmR35sIru/0uWY7goLAaxTWeNdVtsS5Zc3H2rVm3c0IueXHq/EJzQTwx0fSHQzUfs+L+4s
VjtDueE56TZ1OWWHEb3LvrEyByNMX+cf4PQUnEYET4u2AmrcvPlsak63X7xyagE16+Z2ciYrkKXq
iImkJxQOVM7EYpLi5rW28XUxEl8LdBQi3MpoZ6EXPjZTPpwxFN02Q+dfjNqIXyCgFPuFVNbdZM4U
Xfqc6mcnzfWz3+X+RatL445s2J6NAg7odV2vJoJiuilk3xSB4EGlIR6j87V8Ksto7KZjysHj1NQZ
8Uueg+2jJ9qxl4RUuSZLDXp41CaUWYa0xIMzl7YR6phDw1Y68yem/cSXENGo0qBvs+zQYpL4mDt4
2qkST+wltFdlbfyeMeU4Fq1NPwsS1qNQWXsfk1px4bTJTLLnIBzgb5cf2qr3L5PtLucB9f9bU/c6
O5oY74u0lnHA0+NeV+M4f561moQDjkV4Kyp7PGlxOeyjVgwXzA/mySBWggmjlE8jnoHbyZ6jzWxR
3JrplNyxszWvjt/XH72ucr/OHG+KwOlapB1+/HkkRnXLRByCIg6KERX31UxsygZnchcSSMqQ1dda
7eiR5jESIlEMb4T9iQItB0qa0Fk0qlJAp08Qxrpt7TINhryRRqHtZPlXIozkDnaHfPZioiu3Vh2X
H8049vaVnKJzLyLvavBIUimmRR0T30MkmaOInw32t6CwuuLSWTpWI69sz7kgdbGHrQe+VUOP31FZ
A1CyL2PhImoZqv4ZAgZnpQZYSNha2uQFrTn2d03cetcLSYdfdOK/+tWFwnaNjy0m/bLTHpPEdl5R
EbP05LBkg7qFjr0u2uAilyUCBKV79Y2bV+YFyA3YbqKhN7lXzILgVNvbu8TOrvfEmKJX9zWURwKQ
I+p37y2nIb7TU/ONmVt91uLKfvDimEBEfTKvx863WAZn45bjuh7GUXVev0BmjabYL12Phr9KN34m
jTPGB8JoDVScKqnq2zo2zA+u1w3ka2nFTsra3mtOViGJ4IhK98NgQE3Mp1abDeIjvb1z7dj61CWK
0DnREe/Uj4P/IOys2VX0Xnc6J6hHLHuJFZZkBd7mkSS3yhgmn5Tayt3TqKrDUTevvUiNfO3kI56l
Ls6d5UwnvzO8LSdc+QV7CHG/2jz6h6iT7gEVWQOsup3DKprb22YpGgiojTzgjTQOEyCrcLExKI3j
4i/7SCj3mVrAeJxMP0Muj0H+KzEU/WtZe/YuIqbMloW71TL/zjTIJuT96R11B1ZAZPVjSpB8l+Em
aJR2dCqjRdJlOSpi05bLp7RRJUboNBpPRj9t7JrtDYBczK1ptbsyy+3biNp0J2AOXvVObmW70VNu
tjEBYWfhxCJ8MeNebrB+PcFNKG9QAVlNGC26tWe/q3YDEnh8a9q801LhHoy68G5c4XKS1930lQLN
aZmwk0Qt5+jQN1lE1l/uExMnlMiPdhGLkDsbKQKxEUmorCmzmQQTCkwLAI2Elo/3jlKkJC3meHT0
GQVFLkeeE1qj3By++5nCN9kinTX2uc6ywsiSYpqgw6kKOkMfHwa9iD/oeV18sAxqQEKBFiu0Iylv
mrzzr5Z8TRmI7eiou02Pbh/pI8q/mh0M20V0RGSslg0CjuyUdb4v0TqItKfE9OtDKY24/WJilmx9
lB/07z0wINK7jgY733AuVQQEJfIOgZ55tiw1X3ypxMbPUzTAsZxOSTUu25jC/2VxvKvMch5jB5tI
b6QXphmE9pnWqcxd8XtK2zNQeFhCAhLpZ7kl87RlMI4z/OtgGBNzI3sicBtzeVPJ/BFH7p3XAJ/y
k8HZFEjxglamOvlM1bjXwZOEOU6giSPCVVqIclvAJ+RrMXc9wvnQJxp2YxYUN6Sh3QxWap5b23oV
rUVHaSAJKc7zYpPnngqbsuCDKUc/KEr8OZ5pNgE9iuoUJ9LcVb23S+JqPnnpcJPMlvFkKkQyoTfV
RFc6ldoJprvhok3o9/Le3Cz13JFgWDJmRZS+pJn5OtPA3WfEy4bEZ+79yHZvJifJw8ap6PBw+71p
QKNQDEaPqB+dQ4NR8GQbrU5CXZFuhni0wsVTbHNtkh5ToOi7ue2WkF6+Hc5WPwaYWeNLhXKPbMJs
vrF13hw4OvJnu5JzQqO6kG78r9jzPx9LHQPuHK5+1Lo/g82SyJqLtPfSYwankRJucqOTWjxWabsn
bpYwVk6k1FIVW7ae/2Is9MPgZFUow+cBi8Q0GLziqor+1qK+pJVy5qVJj2Kq1aclgzjYpEWCL8zP
77/pDPwfut4fxibrpaCm8u96+v1ZDpHKNHOQhXKpxpDVlmeExMpqjusvf3+dn1wo64Vo/6+cH2TY
zo9s67yeZ4sIk/jYN9G8Y2xpHZ1+MrZFlXa3UuUMhwY/0VO+9PKtWU0irCpxcgPZez1cRwm/3fuv
9N/+0a/6R0ywEL///3X2ly8fFXnTb981j/74oT+bR779G0aiFcHH1/qnmP7P5hFNpd+giaz0cvDi
jKb/00KyzN+IH4D8gidrnVV/K7PX/0kLCbTh98OelSOmw02HUYGmfh2Gf//AFGavkdNGrKsJaGtI
zkuuAHORb2jJbK6ukbxaM0cbFA8JFYFGMzknCvrR9pRzbJcueihKL1qCil//rETm3LCXO9cTjVcr
6Jie0AUukiEwTKXtmGH0L1Zblmi0XZltBsPvd37npReD+TIrtyJjlnmLsW0YqYc2guJLF5c2Xn1d
7vTBK2/zXK9uO+Be9z5G4ixA5J0/KQLmTqt0jPRbdDsvnJiQPeuJxrSCvu59ATH8Xhkdp+h8ObZo
rvds5fGtI+3lXheFul91jDvqFOdmibppq41mR8Cdv4RoS/MQTsG0JXyRpTLlZP/Yp9n05rol6VBt
TT6htdDXxiDV3iKoSJ5lmfdzqNewyc14MHZ+4iLatGVyb08O8YK6RfKoplfTtWJcdO3J9gMLOr1i
ONQuUeIDgy4Mpctj1fV5qIvpYz4RLRkQTN8y6hzSa5lWWb5GyLa/I7cnxVLyHX4o8qy8eOOQ7LQu
WU6qXEcICZiyTTF47tpGx1Gbgam5JcacILIivhnzLNu52ZRvlsTOwhbBy0Ef6/F6SghkqzSByUiU
6F47FL0Pcyf7Xc6Yh6ii3LjxsJ0fZta+syv18dpqq/nA+mW+0XCrT5kvuge8VCTEM2HOt5XRdGQh
JYZ3LBurP9OC13dSuNoG+V91h3PcfOhmq3tF+VJ8ndnnHo2hTzeknFc3ZWtrFzN1UUTq3QufVTOH
dD39W9l65Yup0mFHiVJtKiojWlU5s1+dmHQNJu1nObbtDXUyY7Cpm0LMqTjVM24cDk10eT6ZZtar
kPpFJoG2mCi54WPmW8upkruqHXQANb7sEBOVJDLp9bDzkB4ESPHeBmPwrt51cAipm4ulRBz2FbHu
mrEg5G7jaTcJWClb0gGz6wb0MdzmxjvoeCa/ZFWc3erEo3FPxctNTvneYOONtE9ebXplEMWt8AM5
OsUUsPv0V1XquKxfJBenOfsqguxss04SXlJR6s9qyqZrx8/1bWK1/Tl1G5s2XSOHO6XFy6ssGtiH
WtFMV42dxo8+Z60bj5ai8pp4PwxudZsitb3nXG9sc9vsqNgHMIvck5Ub2LVk4JKgdt84LVSyoB0r
bQQU5URHM8siWhxCHe05a4vAk4LyLJokmT3U6+UTy0hzO1d0iapY6tuBCO5tqjX6mdg2ijYaRvDz
Zeptqe/kTRmX8Y1KLGPjSMf8vUgLKlCe7em5jRKsv5PXzw+Ok5txiImW6JBMJAebvLFTvwz09EoN
V3I4aNIedhUdNwTg6KlCjRzy8qJxRHhyRcV51HXqqAktKSNWkpRD1FLWnwswMV7QO+V0NheX2F16
jcSZZmQ8PcVDi2M1Q1MXhYVGkJaZigz7dgbeYDdNcsFK7TXTnVHo4lm1UdWHcWOoRu4KBybndBYI
5CZaryZJ9Gh7FX73ck07nx0vpu2Az/Qhamdjdj7Ebtl09ySm9sOhXuVt1WlpjFZbws7LyqnZWIOR
jw8qm2LvkxXnUVLBTin00f5QMiyCzOc16O52xNV02efZbRqR03wVSrFxsbn9tw74VR1g0lv/+zpg
ePv8fRXwx4/8WQUIwVZvWmy75Hn+wXH7a4REkfe/+77Bvo9O2gWDaaP+WFnOf42SbP4KBiQ3JMig
95Lgn9jrjFVX8Y3oA6c3IZU4WnHdAt38SdGSdNY0ADI1z27Uuk/zaNnH2RQahoSl0DdzAjxnMzX1
iZpbiqAWctjqC2RkBA7FvjdaeW1Hem+84IrKL7VbqORKToNphUYjWTZ6hV3UHKzhpcuBEXTxzHrS
IK4L/cFjO2zI7dtw/KnArIyzuO/Ntn6thmi4WdAlkGRLXjJe+UW5KDpoW+zSkqAkV2WM71UOqMVt
5m7vIHGogyZhQyNAm1nxBmc/Npd5dkkHmRitHKiyF1Jo8wzGUE8zIyjmPP8s6SrcpDHJt3SXy+km
imp6arg2eO9lUzKAwLGUu8d6VtayIy5savY8q/ytuVolTihAZ+YYtpyPeIHsbFOW88RciF8QjU60
QEbiQS7NO8MjI9a3svh+yXJCTQpOaZlbdBvUTl4cRm0NuWJU7qH0i0qGsJGW+MAkmJkYSejVBmIQ
mvmzmRsfcNZ27tIwbNHrTh4iYaf9voyM2HT3nLbWvEGFXFTf4OBRlR7mlTddTEwXMNCx62pHqxU1
FKEmlgkdXaR2hMdvU6/QChbbprCwbAw5ShXFQYsTMMGpw3TJ5WD5mFmKVPkcMGNV7lj2vDjocW9i
6AWikEU3kZi13RDVAs6HDamTc4jswdtc41Qakg37wBoPqbejiOCIJUVECmQ7rDeOC/qfXgld/ymD
TpOXzlgMp67r+4ZwxbnMOlMFqm2HkQUXXtXYipeYg46xvLK4zpX63I2yK8vAxqJURHf/XfCqLu3m
Xy94Pgrhvzv4jP9zeCsbWg2K8+2X9xc9fv73v951ZPwfb233739prv4bSAmKQAuqACvonycf1/jN
ZphtMMZeFdzI/f93CeS8tIaVwUZbz022Kf6zBFrGbziM+c8JYGTz5Mz/T45CPx7nGaDzQqv6mCXV
4wz2/UHI0pyJkSe3H8ZJRo0LYReGEz9986H8Hz0D3uK3qyxoRS6Cmo/hOe/zJ1V1Vw9ag952OdAZ
l8HktgvGrMENmQp127+/FFvDT5cik4HS0IKdDb/i+/dTg0yTWWwuRLukGLeKNL8yDNxakBDLoEDk
eSiFQpa22FbgQ8D5xeV/+jg9NBDAid33PBtEEt9f3ijo+IyOQXe4Gh+N0n32aGH//TtcX+KbLQti
HpewyUpDx81B4kdGtFLa3OuRkAdbjI8YMZ9aXxAWhaGERHP55e8vhuT558uh+sVkgBbzHR///TuC
mUN/3G/bA2NYeWICKwDl+Fp5ym2qz2KwPljvQB0c1itcx6yzEuGqj6evfAfwcFRMA9eIqeoTcGBH
fGvAeoZ68CUnjhXiQ4EJ0MeQAocXzGEwN75xNLLS/Ghk454CtGMIs3qlVacbTzPG9nVW3pebXGOc
kcje35hJbm4gg0xPcxap69SJxzgwOVbiCyZD6NGhM/2czm4d+CTr3kVxbd/YXZXfOzbypMFSJWm6
dA37oRIB9Wm0WVlAyI5tuRv6ZTlSQZ/7TBvIKym/Wm5xX6fWJ2fx7jpF65Ms9PLU6NPvMZNHLpE5
W83mNUszWzZ5s8h9LldEWyWIbc/GLyrx5dHNkhuycrRNClB1axllv+UI6lymibM3jfboxJ725Goi
OmVJCgajdRu61QOyQM2HDtemm1lkGaoJGT92jlWEvce52R9iXJExnd0xGkg9LqJtho/uXLV22Ce4
dyIcL1c28op8Oyqtm9daPPaREGT9tEtx/z5KF3NFQvEVGh6SvQavtQ6AQERiV01KOR+sytWek3xQ
N1UteB0PSewj+XDDVaHS/kAVSctAKRSaOGGSq6iU6lwXur01KkkEzehzi5Qyu5V1PWNyrcR2mHtj
N6SF/mTVOQCdQU6hlqRG/9qnuuSAqc/iGntv/JgmElZVCl0oYoSzSSS08WBMV2sf7KrrKErUXbNU
6rZU7XXkz+Yrs4/u0epNssy0RJzFZDqEaHMvSAzcu76rpn1Vmq9JruyZNk8f7zLXnCCBpP6dDkRp
DwtTnZdYq29XqprR9vMZwUMjQ78p9J0asdLXjs3BmkE77YzJTvfKt/or5jSwZJfEucVSu4siE0F2
1LmCCWnMiDVPjvzYMxlUYBejtc4c75o5J/yNIkwbMshSZTVc0QTPcaAO2B76eLzDFy32hpmSG4Ao
/jCXJP/aTSuvZgjZ6BZju74pZ/YN7mgk/fioY/3OjOT81jJqWs3VtLfiTLvqYscAPeQnG6fgnLjJ
iE/ZMTRzN1KXXC3OzZrnBS1CWBu4P6ImQZivedGrl3dExngx6QZRNF5NsKRCLNRj6CDggQqoRzz7
pRZAEaZLFPW0QuzcD0ynGE8MzsU16ZfeLloZhIRwZTRK0mrjuMmbGZnPvlhm+Cmdfp9Os34wBvN3
l++V3O74Ia91K6CFxbNNqnVn1cwXo1wFi6V1m2gc8o30sC47S3bWWtkQ7RkVG2Syn3ETt16AiW4O
vCgejpEW97Dh9btp7nfdVMeHTGMIX/vNuF8AqjHIdOQHFJluyfI0apsGVuKuZ3j51g64guukcbbt
tAMAaT7aduOHlcjR3FTu0N72WmO+sW57x7Qczb0uEnora4MhSfrVy0CAxCUq8g4tRNTMH2rhFdcs
SAvNe5+62LBfVU3clOF7WjB6UR1iGTU2rZ5cxx60ejaAoBz0oQviGAV2UYrq0pbesRiMD3mJAsOI
RBXGDKug/GkbHOvRJso17xxHOdk8PvBK2W7d3rDeet1qOA+Yw01Df9IH+8izx5Lg3KQzfRUsScUR
sqc6mB79AKKixpea1mBANbT6ABlwzmHh8AAFqzLpq09f5lmMUn8ElWrdoct2GDv5IhRFmbUBAbnm
3i2SbuswDeQ5cabPHBi0m5xYTj7mCpajmz3ZgP0Os88sm+5U0YfCmixOBKwehYfBpl9c67ow01EG
NAsHemSedkAp6IRSup9cYdJMHcAVbmRkZ0cv81wy0CaxR8VbbpVhzaE7zMjmc8vYCsdPDmiv4FcR
yXiwO9u+cVJyLhMtjn/37C08q3lfzAkf/wD9QrBybdA4erQa5+LRxF8f2rpAqqF1ufFgSWfrIIt/
7lDT/T4NoCcd5SzPbWVugHOMaZA1Sl160XS7vCRjq5vd7GDhHA8KKBwbNs+vVd4aQcR4Y4dOqT2y
P47HITNZM/5g0XXinUxnrJS6963+v12NXxb5tBi+qYp+Usdevoz/c/qi2i/z9xX++4/9VeGbv8ED
cgAZW4SG/DHF+KvKt6nyWdAgwTNs+FYia4nfOEO6eD/Wcs6lMfKfIt/0QOivUGv+BtEtoT3/pMjn
ZPBDFefrDOhtaEZw9V28jT/YuAwJI8XsbXXwBw2JR6VMWruo3fMr+DMwfXXm4w+x3aIJ1dOkPw5p
1d0ljTaU+zwTKGiUGgjSYNaPICHqodH1aDuNZorpOIAYvEOvou9XfQk4TskSM2kj3FXBIBsEYfQ4
GZX9wmP/VggKDl7qkSA7+6HL6+WuVf5j3ZA0VhCNjHTFKaJ2BUK0HMGz5dzTlCHeLPPEfeugHuma
Tn/xgVDACNFS476qxvzUqgHpDrDgP0a7o+NqW6JkpgtQvnYjNCHuI0C92xK4x9fWULXOKd5kJj2U
qHZgg0B2Rf6E+HUAy7KMBMkvFgm+7x/Uu+9zTXvh+0/xO7T89CgGWr+IFbw99TrJqFnZHxciBEPX
RFoVtPbYGhuDXiwU/tIv/echW2QcVoWnv7glMl6nGfzQNnxkhPq0AO5v1RHOOFcXaHWDKkOE0aad
D3SlNnva0L6y11xCg3Kn5YCjMo8aGKav9tr3JqKcDmRJ4PSmuCa909f3oy2KpzkvXNDUcS9eFPj5
NMgnFETsGsl04zWF9nUh/iScTBmd8mRKPmsslpeGnu3+/fdr19+KO1vNAWR1dTSKji+jKkkudB30
kjtd9dW+7+cBemazUD/yIbceKid4SKuwt0sNti2B2STou5yEQdwVSQLrROTLga66MneJDVpmby5r
uZHRNAoqrc5Pi1UfB2WxS3bZwFKZxsZLg9TY2Ylm9vQ9twrnya7kXvDIJcn6tt1w9RS1Q2un0BRt
+wFgT/GkYA49QMSaX2STtNdeZfqPGSbKXWIaytlQiJqnCv7JVSSt5JkQPGwLEI+uOLKmgFmzHApN
R/U+1LzJbGG+Yi8GsTHoJBGY2rIbA8fvnIBA3OV1qcZ571mtvy8Kw/w6OiYOmUiVZQ01A0P/Jjay
lFCxTO+SS17UvJYPWn7n1GAWjdCiV0ig46BqF8RnnLf3UenP53QZ89BkC9ksnR6dSwcIGCiw0dsT
yiugYCfmE9w5Mos9fDFB7iSwKyaScjwS8PT2oautF7sr+uvS1p/ph83ARQfJAC3rFw2yCOyRMo6W
Dm+h4+xSb4lCoE5NiFAB5UdEKzZA2qBuaC3Vt62zgKnVTNTe84xcNLXEqY8rPxCGjLclWK7D4jrd
FoD5ckJWlxdBjtAuHAvb/DAJh0NiOaMgApXVBuNEf9OCFxFWBv5ybE5Rvqtw/m2NurMoZ0HWhv3Y
anvZmO25Z1h5w9A0v2IQY992dmxsh2RADai7rY6QBZJRFniaT4mAS6ffjIB3X4ZFS8+REPGnWWUZ
TRxIUzNf/dKsGnd8eWQfihqu75xhuQp1fuZtARBGLZRBZjzEdSkfpK832XYcRLLtk8GEYp5XyweE
ijrDGJlcBg4J2OGbGniSPe8N6QIkRvRZd4GKGx09OQStJhiKztoYEEe2ULKQBI0sFAID/ahvBseZ
r0Yib+4SEDjPPu/fxNBDX/DYlLXbbpwlVqcehRvnX2e1Ao1U4kG5+pMCXfZ4EBK3xj9XNSpU/4+9
M9uW08i26K/cH8CDgKB7Tcj29K109MJQZ4K+J4Cvv5Ojsq+tquuqeveLLNtKnUwSInbsvdZchaWe
gcaaDHML5PBWV2ZX05DlC3ytjRydWS4UabfpQwDe81GZSQWCtoQhabaAlBfrXHMWuK3h2z8jD2Lx
Hy21HgI9ZzY/ohgaZDhrR4M2zy9exYmxhkn5YLlMuqLeHeO395WlzYf412Au80tR84TCPxPmj6eo
gbj/NK+sUZ0u/cg1TJZVkgCQ2OJ3QCVYu9VxTliemXhZksdBW4/C2X4QIsA5QhzHOymmfL3RJvCr
ndJGUN0y9lpu+w75SFTX5GL1Iy6RzhfOj9C5v8ulf18ubU21v+6J3nyf06/1T+XS9rLfBkHmJu2Q
+FxJrCGPcOt8/i4HCZCDgFVkTP8Dyfh7U9T2eBG1TeDTzPqpXqKUYtqKhAS4jmlhV/9v6iXnpzae
ueVg0kQkSgHRCQTIn8qlNpMFVtAqu+6sMV0+y1rS0aikN8i9ifCbxc7WnPsXwn3rvjTOtaUap9t4
xdUJW615RCK4fOvQWjIVNxsnnBmmrlczGOfvHGq8iKG2263tqeIUnvfsMIVe5BOSttUf4XiMlgUo
v8CTwZO9JHQ79/T1MxXcmakxeA9TPU7C3jfu0DXLk/0eReJq/DFv+OqKdNlOxJs5UdVmVV5S39Ah
kGlO5FPpLIC2ktXJZ3XtTsyE/SdleWuts9AEEsOhqJQD3TuUuCXWB4xQYu8jbSjMD2nrDet4rJrJ
t4BOm2VlXkGFzcc9a8ZXZfTdwWub5d6xigr43aIzXkr6+/qJkC4vvfn7vPKfDSWYJfzlA1h3g/qf
8HNXF2n10zT2/aW/nVmcXyS0XeLW3W0KAfz094fQlzxO27jCFPR9kTQyFvjN1+f+QvUHdAkOi23x
Ml7123DW/oU/ChkVojnH3gAX+38xnKVb//OhRQAjQqKFuNGH0uD9ZIr3cuJYugLNDtJbMBwi2CxJ
a59gtbWmDoHJMDVmvYMppIDKWQvAeaoIqNjuyqofWtrFvk3VVeb72qmTFu1PLYhDb+BImjtT2f23
MnX8a4Rg8oxqlOwDpyDCRY4oiBaLtl7BJsVZSNC20XDKqWQKzgxIxvxrwJ2Manu/eWvMFbPslOGv
3NHL9K+ForeCnUrcUvgbBIJXievuxpop6NEqPNXt+9zYXvLuw84R5dxb7RC8UrrzgzXFAvC53p8f
iV4MXstUzI8dTvZznG+We7uZPdzRVpXXGPi62r8ANui/9T5YxaIqcRW/w1ax4GxgQQniE4w+1sB8
C3HYNYEEdmFZCfgIYYvnbR387G1e7bo2xpM9Kftl1f58X9kgBnrbhCLglr24TayNF4vOMn79AW+E
YAkXwAuyvj+iGeu/ZR2h6f8AEhIy+0bTEUP6bHf8MTlD0ilrx/m8JBv8fEx4AwwweLe64KeZNoDS
LFY000eb8C9K6plPLTfshZ/bEAkyk88OCB6K4qhN+9aVaQmV0VO3dm5k12i7xa7T6XyTxel0tmtc
+UBbec0PmJX7DiErITK6Efc1V/jHF1qYCdCChByIV2vcvmE60fM9X2nffwSKDyJSIz8VjM6ZSESY
R/L0wSgtPkJNOgWG7Unxq98XWOexlnPJNQC6ibDEzeHOom44IZHXyRYLUTrTqdladB8ofbFpF+VK
tc5I91cVbxhKc6qC16XQj8PaO4cFp5wMiziNXzlvZA84NjlwFHNrhI0oredKcgNuDkzu2pIbPZ/l
GB/wZ/I3rbHFr55C9cY74SZCZga69h316g0Td4PV9XyzgT3AtX3nuwJKATYA/m/DwyU9N59BjFcU
T2xtBF40wze0uuARcCtAk9QtD6EXzHzBNeRE/PtBsm1jWYM6vMqQxId5QNG4n7hFXY4GFe6mJuBs
8J7PZGQTZIZF27zvdB1hVJQ5WTI2RShgRc3AdReLERrCLPmRFQ4dNsXtPlmQOryN21dENrV9Lh2M
Qb7o+cuG1kyPoOnAVEoITcs0BftGiuatw6Xw+n4LpwZo0yUnPajeHnZkW81b7ILm1fbIJdFg5u/f
yTMlCTVXUiEdPGy8O+yJARdyc7TbYVP43DAjpoaronK3O2B7JDjDpUc3RSoYLjhIjkz67TN7Y/uD
1NI6DaZ3d3SBDug6JguNtKtd05PWsctaElkKCMBYmmo4KitDl2OhHD0x1ij5OCZ8hR+U3E3vyPNg
mtxgBhkNYZ9PXJ+4A0k8WQOfGrqEtWOeZ0NSBGGu6yK4Xlt3gxi9Y+PqRsA4LXCA+eHo9cq+x80K
Q8Ho+oX1FK5tZAKfOUE1MLHfwmt22tmIbK3QxBDMw+e1Z/Sbh5XgK7UPeCgYGHf0A3b4bOfH0qq1
elz6ublJMmBd6UKAlL3wLOdbHohf5cBVS4D12LUZ35zznHo+G/DLmMw0nwcyhLiCpZwfG270dGfh
YnzLzbg9BUxFjvGgIO6CDrgFlg931VdZtz714GrkaSaj4myvfOA53+KUjMDiiyosQzzH5ro2l6T2
sCbaVQm6FxUhOVcmaS2jtIAtTBqeTpFuiKMUoNqeUHLuKU6+3OBAWPhaux7osgn4D3JrJcQz5Egw
tg4+xIg5p40EDwsk1pt+gEe4YQ81LTEXx3ErbtMNbluWjAiYspD3sp+C7c7xRFEvF5l1/PUW3d5v
SU4aRKoc7m5MdM/kQASvHcaR7Eo2Y3caxSYIfr/npSV5kTnwmUML95PNt+liQ00ngDX0zvic5raN
TFq0w8OEZ33Gw9WzvnX94Ec0DLb7MVggURDuCvDX3rBtP5Y0iNZpGTUEeVmEpfjdeM78viWVgOFm
h0bZEPfS5ekqipxhwqi5vDbg2vcnrpx8+aoryB7h3DqdOryvrPAZgY9o5bevIrWr6lUnoE8/OO/I
5kJuq5SYIGZJNTifg43omI0ksQk1WjBsq2+VmoNz1zTbZoBli80ZgzlGMYwwt3p1WMiQMPIE+/Sg
SB1ReKLVnbWo5cTyY5c6Ik6MEmKX1MwrQVuvwVVZ9QPuMC+eIS8z6Sse1gx1qpnSLgsxQCWvbKUw
dgaaFRdZmTw1+Tiz1vJMdpFiiSFKS1uoh+22c7/VVflaJ6K7oNoaTb1bfD1Th9jdsyV9jMbbRtS7
VfGMALe5Yo/x71GYmjHP7mRjr6Wf0ApiRRwThHQ/Fkk4+Yl6Sb3WwUpYxZ/awQJ9VLdIiYjj6wYv
ND1cyqRZlaI09GkYlnOvxubKywKGMxv3uw6DYPhQIV5umA8eDLqX942cdlnpPcYo78wPi1s0xoY/
xhd/FqIuWVW3bCmSqaPVRtdGKl9Dj9G11ir0etotuK9lFja1VZ6EaBO1S2Xjh4bM7UNeWVOwgz10
MMdZX5xM5XmILHVBBl8xOzwsLunWp4DbsguTfkSoS7pZQGqIXO/8efAufRawzaUzAvPZaOhsaPEi
xYTpEG/RXbrm/sWzYu5eAQLbVX69T/ysoZfRzNDgcm+86uYJgS3EeeJXDGf+TI5D9rJ45Qv8lLa4
LtpePrQ5CX3GQP5cKFHZHfzJnsjl6YIvyqeR1GvsbCs32b51vDTy6RQdFux6yJfbKVrmodyXPjlh
oZSI0RHsZTd+p7LlhuvlfssGvzqspCuyj6cmWHj9EgQ4FHMs+Ucv1p+ITIMtnnlf8Istj8pZqkgU
SGnt3KOfPjjdQw/BgvKncvfOXM5fsxFqeuahYEHQfeOnan0AXeCEtTeWBzjI8hgHE0P6IJX7pO2f
22BE0tC5VEb7vmzrG/g3LFFApUJHq2afUDdcxrITF6vvDDgSdX/Og1Fe1zYGTi5aRT+wpTPj0o6d
29bfGwEnxowVCxFNmd/jkEBg4F+MNRd3bAILJd9UHUAgueeis5eHpLZDu7Krk8WJ8Ih0l5p1aSZM
d8F4Ap6Bdw2u31uPUidiIBbcrJnzMKalFUEnMB8JdPOv66UYXqzZMq6J4i7I2vI9XqepXb8MU8HM
Okb6dhnmqsVLNtQfs830hbub+ELubyt/trrYP3naNm5N0BAhO6+H31USCuksB0jg5VmDIv1s5OXH
2dh6lMIrNvR81x8Mj9tmB9vI3BHpPR7NOFeh4+fM+4s0iVa0JMc4UcN5qpxvDSCfvQUdIhSNWWyr
lTgvWWd/jskZaCMElfNHEN0gao2OSjA1q2ghqWk/IKt5jltWFFb+rtwjaKClmFoe8sDZPpYKpUFv
MV91dCH0NR4UdAONTcrbyEKCB6GNBsd8hNVfCOyORbdQi7f0Ch/TWKBBF1kpi5O39lPyjcU/OajM
aiOggU0U4zNu8G2SGAyJxI6PpO0aLExd6p58gAGvBjNIn20PECJ9X6GiDl12l6l2T9Oivkl7novU
HvRrgwr2vMLb2AXdkh9WAtBpjpr8a+alBxeh6ItOZp9bHCqWNC4papvJYiGFH/01COzkOmnLW/q3
/QdDBeNV2fk3bl5B9KYaeCpHi+a+7t1uB/czxprStkv6oXeb0TyXOU33i9GK1RpPrFoBPhZ7bDVS
dYPKKeHghh6TtF2qWcRGO0QZtf8WtwWLepxlullYvhdQB0yaupW5dAbPxQmtQhomSXaGqZlsOeZo
v/mqZNeFXA4AwE99G4Gpjp3yqjU7/juSBIBeplOCcJo6Cwi9M1KDqncea6V7ChEXJNMYpm1TLBdT
rPPjYpGwRy0KPL8FykJDifrsDyf+f6G4s38SNkt6YQ70YGCmPi11ulh/lm15k4lXuGvVqXETNkzG
yPVmG9eIbGcWabuvnhpV+PK81Oyi0UwfK79M0poeRzlBj1GTJq/NpE2+Q/hFOS8Gqup3vHIiV6qJ
NMEXUMSYfTFTcPSsAuLRIqOMObzlXgdVCq7N8O1HjYwQYn4c1+1QUi0NPMM4BY7DRGy+37aVz+mG
eqzWnl4yLNKGguyvL4f1T/NPwF8MPl0AW3Q0/okXrYTRpiSPGEdbOXwlVr0CC/PHrfKqZt4992Fw
vVj+ZDxV1spZbi4Vb2uBv/M0By5XK7GBuYTO+p7HK/ktF4tfZ68gS+L9tGpbDZ9PdxmHxlGTMXqq
Ew7kIaYUIj6SCbbrD/4/LDPOkm6+oILwqU++/fWH/WfnpHCAIzkeliF09ML7SQM5BUlq2AhmThUh
qCRWLvPYh8rNESd1hAHzkZuS/Ne5bz8jJ18e24EOw3tESFrP3WOJAvvfvKN/dTci/AeaJD2bafZP
78hwWmMd2e0ZWjKz3bmoTh8HGkmvPY0ZLgIQQq6cBVQW7pN9biZOBZWGDHcUuKTTsO+b7eTEceSv
39g/mXYFQ2DQpvSZLI9u00/qV/RwRdoMaXaK64C7t6yZCX9Y5Tr2H+WyAnKVZUDRXlcoY9ydzqlR
//oN/IvvCnqz4HFFXYnV8WfIrVauqFdrSE7OHCAnj6s+SaMxELF1K2gHJ5zJ4uaY2qlKroYmXiua
vn18m1SDePbNUdyil+Pw9dfv6l9cFgQLNvQvl/bfPyG2KnuMGYfJ5FQZW57lTJG83wLyAg4uQOuZ
6XJAGEtwh5ExJc3bX//097XpjwpXLgY/nmwlcH4oJn7uvleLl8OnwAHgLNCmT5loFyQ2feuXGV+I
WhyDw6b27efci42z2E6pPzKNJtk21p10F4ZCO+IQE3UatkZT09LLJ6uVoBBdbZEe72/471HQvxsF
0ZjlSf//R0H336uqX+CpVOmf+9A/XvhbH1oiaKfDi22e0Y7P7/6vD23+AgaWxC6OGMxhUM/83odG
Bs9/2pxARBQiYXf+YBIKfmH5o7ON5B5bD/3r/6YP/UNR/cf7ERI4qh5wMZZE141W/s97aVHaQM0b
czkx3smXaBR1ipAXHOKtRUB3sHVBiF8pS1RxBz24LUmlfdedpV8L87C2DIpCVZhGgIR3IMlSYZE2
dsy8ybYIvjbTEN/pbfRbLsKMZMopc7eWqG8x9fXArMQC/8ctLHJb7F4Ye28lJJ3GSMwRhaJsPYIT
rl/p33SXZRtEswWae89Y15fYMjhXSjrO++59ek17tX2i38lM23yfb4v3Uff71Dt/n4DX79Nw/Jl5
hF0vjkZVnVJvTb+joEm+6m2QPvOaj85SZ2OEkVReq/eZO3Id5u9sSXghx20sX28Depa04mrahvZp
Tf7spBnki22kH5sx0/16G/T728g/85JsCp1NCDBvkgBjEwcUZUkocNDEzIU38YBP/FWIJpNqnVm0
uRGwAItsggNrkx5YAVdebnIEUCzl/bBJFEgNLx/gu9X32SZgUO9aBsyt1YWRSBNmm9Qh1wr6FHvp
EHZ+eVN5JMnusU6hjwAtt2ZhxVGZgeRwPaKjIPZoeBKoFRH+dPAviQvPkoajB/KLqhvtV2IMrAOi
Sh8wJzk7JAHH8Q2rNHJt28zDEqbtjeNM/SNeTD/bu+CnL6QHmb/2hlvtZSkevel+80FFvZYAtxLz
XpKKUId9bdnbpjC+Cbq8LzSd5rupz5wwKNGbb7nIDpZjur5gLuxqLi5safF10GTVA/ZheYPi8UOq
pRtRs+YRCoIFcE4SP5FQ2u5dwylPGhOvWYshzDFIP4IqNO+gkHhRTBv2nLg1WjDb35dS61CNJjHn
RGJB9Zvq+JRB8jhgIc1/pcb8KuLAONREGcEIHQrxyE1O5hh2UczzotzRpLP34LJ1lLMjRm7lPNTc
bSEUyStUzGqLlnZB/fUfVwY0uxVC0EHBg9s5i8+77JUTJiMSdzGKFAuCMj6yiSXnBjjLo1M0zc1C
ZXzx6FphFVbLvhPzFBayY1Ywtdw33LaEybiLdSQrj4An4huJX5HxRiEZnT1iAYp0PTi7KUnhPR1d
WS6JeIFEPqcH7BYaKoojVumSUa1VovxH7c6F24SLEfjjk2Xljn5y+g2EsHPoN4hXIbkX9uDa0yu3
M70HulGx+jDLtRxgqhJ9c6iCmsqooIfMz5/SW8wp1ofAhmy3KzLRTWEX20yOpKgN5yMC6io7623s
vCvqFazVTDNTVseOY+b0NKXApBHXpaPToBI2Mvs2t80pe8vzoVuraMXghqNQOeSnL40brNHUWzMr
25gmyVtJKDFxPEqArgEmRRKJrWtkLjMCFloTIp35+L5etoyyrPL9fVvaQ56clsGXb+Qe6+GrlxNp
5r5xjYIR1Ow41Jd0qGxaPlWcDzb/cOP8nJm1Y1TIsschfq7y0QUf0JIFAFq3s2IeLPgDf+/U/+HM
eKss//+dGsoyM+Poc14Pf96piXvlhf/YqQNmvxwrt+MkWamQ2dlzf5dtYO2V7paKifnqz142BB3Q
PZBUgKjZdKiUm/+YGEvnF3I9GO3yMspfir3/ZqeWHj//D96ozXe10Xeo5S3UG1L87P5Cmd30xIdb
1yuPXrIe0z5ZBsw8lrkrl/7GGIBlNyXG093kw/HcMc5e35hzuVhdUnHqoRVfY0Yd90trlIdkaWuM
DWt/UyfVSXX2eCGe14sAzbpX9VgZT6DAcUNVCW6K1Kc/I0v3aaI7+JL5wQCmvMbEIZq23pV91oZu
j/GWv08cLIan4Num2D5mLc563vfM45ic8lTduHbZXVDPoWhq4we9tndzX0fbuWony0ac2h6Jog/U
A1K6exESef+YB5FK2m8jI9VozJo+LKcuCzu7Wm4gTpIICTqV3igiDVRfBIoae5og4sC8aD06G6mv
SqwjFt7qQ7BM2b5vNq1hIffwJu+6fJF7TmjANa2BqaVXMjRwSLCyS5efXwq8Iksr6d75wWnpx/TR
S4CQlkKsjDstBKz1wii0aSYS77O7bglMKqF83WPxR/pGyupOmo29JxzMZhJrOKBhxxlobtFf6Jve
KEGXhg7SY2CWRO7G3jEoSTCXm7kGbOBuwT+FcjIxIys2aVFkiPLV8uoME1q3YfsQkMGiYbTjiDTu
JOwcw8VLMH4pe5xj84x1C4bqVYPoLbSteV+v3oEs0ebgrG0VAW8ydikH7l3ruKcgDi4DTpvQzynI
0jU2XhebUQDNX2ffMwrd2eM8HyyZBFh4yuVscZB69pCGnnvhT5HnAZzEjuCAszXo8M2mBOMK8c/x
k+M8ujAnmfrsA5F9auZGXrWGf6b9D1Xcsdto7Du9s2k/KnskJK6lwVgAg8iz9rnu3Vd/Xq8zS3u7
ZHLlwahoQAtzVUevKT+vJIVk7SCPWR13zKg1dED8GpfWCr5L5qvRMAVOxD2xuSV2ruaW8LvkISCM
6jAmqAZpUxbwGwcGE2INZV+YUPicc0vt+2mRq8C80V/NRv5lXeS8n5Xf7LMUhZRTMd5c1wonUsG9
AMKljbykAdi+yhG8zDKHzBnbKBfdR6MfcPV51J0uCBIKnqU94o6R+xoW88FFpH2I7eylw6F6U5kk
6tn+lyToTfJCvDZ0Gtd4BiBf9rR7lYy8Ik0fyyn3Q/LdTAYEYI+bNOieYdD4EbVG/rhieYz6fr1B
iFwc/IxsOOTJ7mGlRRk5CPr31Qx+brAM8z5FsIX5Py/3NIJUODoQCtVg4xryMvcsaDiHaeJP1KIJ
SNTJuqKJOEYGW/QLFECuoh/bkcUgInSTQEcO/OOd6dQ0N5zMfFliCQfYEC5PbrseBtV4YTCuaBrW
vHrKDXsB7TeaF8HgwgGR6CqUBkau9m7jk1A6lG44FhjZ7QX+H291vPZwR/IHjWsitcGd5uThyfxL
iisFJg5926mFKzLS8Yq8levZoDk4eWCCye00f51jRdSRrp3LBibaZe7wZMI241juXnxSNneycx7d
OGv3aDHqvQJHvFvJhoqknDmctMHXcSgeU8QnzPHvC8CaKE5TcVxS43sp1+VQdGTsDd51qvnzvVcd
tbtsk4SqOngEzoS495poiemQKdJBdkKmn9s60bvEZ96LH+3kbdlIRY6oTfvjEArTX/YWAvCog8sZ
monb3SyWdxhL63PQbgUL8Dkorr3zFFsqCUsv2I8LCFceNUIq2u9TzzCNs1V863QZrq1CiEvsFxxN
CmvaQ3zsCanN4Q4EpX9StnlXF9Yn1+2vs0Rm596ZX31NcqOXklhOHKh7Hol1eg6C6QMxyDpqGu+7
qyicpxgvp06KZ0uMV54cutvGty5pjV3UqesCBQaZa2Z3X6gYoq6t/BC24a9dN5oYRQH2OetYH6UE
ERRDntm3eiiu0Yx0Rzl3Pv7bODhRlUENVZ+gLgfPiwSZW1TianVxHE3W0h4Gv2Aa4/MTq3V9Zqyb
3ve5e50JNqHZiGeExZi24MwWh250CKssnadNtxK5Q5teLW1/TjpYMtNkG7uEEfQOT5cZwcpw34p8
/qjjcTx5i/etHi2EMEmhDqM16ONczcYBgQdjkHIKiM6c7s3Eg+Ik5fbG9U3T9nE4OJzLyvixztYa
zEZ6mNsUmwb+1rNQxoeR8wzM6fmbnTYY6IpxPPvkVrHWpB2wotg9sf6mF8Ws+pgYrHLaR4EzcrAj
/NSyj+lqO4eEwdDBKho7nGUjjomXfdBT6uAg9Z+Xob/q8xaVmJH8ahuNdymqIt6GQutONq44kAcD
KlSW5sVvEL7Ukp18ZVU9dAxHIu0vwJS+FLSMhxeyFmPcqYzGCC05zZqkjCacB+hc+nWgN+vxKOJf
zYi24e4r/TuSiAJomJ5Ck8BDhpfa6e1Ta9VQKkOvwTvxYo+0sHCELkvXQ9Bx+prVO8fL2ugUOJYV
O4+2RIXfvdUTgPzq0tlT7wVhVvvISLGVFKmhIPY13dp1f0syfyAd/l0jTAKQ+avy+i4vPtNc+XNp
/eNFv5XW8hekk8IjO/NHN4uq+/fSehNLu65HS+Jd2sz/+k2MuSmit6b6llyPfPL/hJiwI4gepHin
DQYs4r8pq9GH/KmsdgRxaF5gkXvAO0AU+HNwacceWs2uaC9yMCBAyYL9aRrwwg/+g6MqVZ+dAADM
jkTeFaVyR2jJC1KODAWza9Hfn40OSzYdsiCNjwahAt3zuLTFFRbiNLsfAId+wpTgvTmrW10U687V
oDOL9hK9d2RdaXnBgIwjMg8m6pSsus6a1kB9qZr6Bi1FQwbKwmOscSUlq7KaQ4meJ3ib0sX2T76p
mHsM7eJ+nPSM8GKxHI8JdqooljCZ7G0XglYYgChLP0+DoT6OiE5LOOM1MJmmpwC8ZtSqhuRgFKVJ
RApZnGpGncAwUN9CjqavecCauja3WBz4uGruOw+PxEKuyWnoUYHM+7JuTaAJFZJzn8fdigk6jPIR
Xcitb5EKoalluZ7waJdyZGgZO4FJKT+R7B0Ken3mV62LHrxsrsjFg2iLn5/5bcXCQ09p7FZjwfvF
1H1X+ZZBTDpgZrRiyl8BgUdQ1uQa5u6UMPnFjmIpaGYY/mkdfEMesPQOcDswzg5OMcgGO8+SU3K0
8jnubjGrGWdT46gnlCrewQAmuwFkwi7rVXVWhjEdE2BA1CjuiHakNwkLh3D2IArtHNygWT57TQZr
AHFkuOSLwqWFGgWqYX7d4UU81r0szwjyxmNeTYDM26p2d8VUbAv7HJIOATGgrOoIWWhy51hBFU6q
mCMXAlgkB8emOEnqU7+SntCVuvwQVwZA5Zw07d1qTM1dkbkveV0mDzbyiHutJu+BA8H0BnloBmIP
XqFr1PzA/VCjYarTVwrg+L6w6uVDrhqD9K1xnGAx0pHQIvVugyCPX1Uz26dZucadwXSECqYjimHy
Ovs6duPiaCANXSkxOTq9oq+CgRwX7kvriuoJnV1OazdWCUKQrLXnEEGRN4c186ZzRWnr7oKhL/cj
NdNZwxQ/6iJPXmkE2VfB6tHwEY2jn5kocZj0mw4c3ggY71dBZw/KmrfSZEHnVBEKVRPLjsmCXJHV
O3faec4w9/fZKO2dtGfvemsjwptO14Lkj26c7lDlWldinuuTlOgMhmzhuwYX1T2owq3oMc/kScde
80Vb6oNoaUoNhe9f+KbLPb45GS5949+s6I0fYrdXl4qa5DnB+PZxRF9WbuYh62tWd+aVsVboXdrW
9i66mIODzJrvEEHik3CwH6mZ+U0ee9lTkPvjR9IPig9LvqYfbD2kTui0fv6hxYUR6ZwnzDWG7sgc
1NoHnh4OaeNe6TqjkPape5FiLHdVUDkXPffY66sFjSp29cC4EzjxdquDrWJHzyO9r0j7AnDQzB3B
9LnNXcyMWjn+XOzSwegjaRDzXeuxCXVMb5jrMuw8/OxhYpgciHt9qc2giuzFsV4l8VF3g9G9pGv3
lDWG92126tyi3NzIigjfPLQG9JafQWXJqxJd5zUt2mbnZn0ceWlyDmTv3Sy6a3k0xv5pJW8iQpNZ
f3VHWH2NXut7Sr31S8uUtN0J4FVwR3RzlVCOvpBx7oRui2uKo3S7wAAIkhvaOePb4ACerJGXoSU3
QxQ8nOWyubuMaZN8pmZMvxca40g/tdfWGOu94+o5UtNof2TgkJ5sw0MZMmu9XL9H2src1f1u4HzE
EycVqCrUooeuFgYaEIjzD3nWE5XVDAKtwCafm/oUhS+iZnSVqtTkCFvwFR9rvU3U80TbT4xD/C+5
LtEVjOkmb3xPeAbrsTxKI0YZhOrm84ju/SpwsRBSlG/q/HHTNyeiipGW+wp4gobu7m0iSqLn+lsP
6dGyS0YbKaCNWAYFEvCN0kct1EAwvt5GKLdEJOHMJOYjHMz5a8ue9yg4lYA2i/uQvxRBSIYlHwVT
cES+M18bw2Y39RtohHXn/Fob8lvatNa1gAIxhEsLSbEIKNEZevOQG/mN5lh8E9h5fq3MmkiPbP2q
TIhIrVnUSOTnl9rsnmAq0l4QnQI4z6gy5Sx7SIVwjiYRBw+t6Oq94VrK5gyu+1NiqNsin5IDJ4KY
s08nsOk4HPMRrxx43r9mHL0fWwsimSIA/DnxMCEK1TUXnXGU7brYKW6cGsKK01fTTU1E/cnQ88KQ
vnSHo0QV+MCdW0aVGej7FE3Ht3bmZLuzCNqj7JH+a+LG8sI7BI2iG9wODs0hTmZOeV/GhnMorKU+
CxClodmT8LH0ZnptdIlH7lBVH4dxHiNJ4M6bBRc+Kvwa/rmXfxp68SVrmxyTobVeT7pM4Gr2Wt1L
v+Xc0tcA2UtF+9qe+18FjNj9KJbxKTNdZ/+uU60TPz8wgvMjGLzxEwV0f+ua3nDUAZ2UpU+7OzAo
tiAtJujAlFh0tYxOGWeNjDCVKL4q/aUzZfGpZSB1wGybfyt9T+zJIuB79f1Pyi++d0QUnG2D7d70
cvAjDr8DaR7sFtKhTyCozLOZFcQ2psI6oNAW1yuBaF+DzHdYO5VxxE5tYICNi4dsKMjBIPLpABWw
PY8UJPsRktLJJkXj4M1UXgYH8mNuqekqJWWQ52imAzQIw4hMlGohFMBpb3t99XUgOjfkvT9DsxHh
uCj3pCe7DVPnZpUE3VWyzJFNBtahFs7X1mwextGndKA7E8qMqMbONHaLbXwUcJB3SnEMS/OVCqMw
3X1u1rde0z14hM0GfXtcaddxRsx1ZKrq0QeFcUFLlRzgKvo7bLOEQqcVqnQQrv1aJAcmfzd2aRiP
QT/rY+GOwYlIGoR1dvmAqfYeIZo6YOxOd2uNe8YtFugCo4ggMBfHHqJtNKxAb2VSc2xUI2iPyV5Z
hD37zhhQgrK2e8+E86WnNYOeEjjiO5R9bNukIe5SNII77BsOG1mu2A/s8UHT6P6algv6NoPbr+6N
kwsW8sE1Jp/NmOSiyRkFaKVmPM9lFwD3Sjj5pqt/KYfloUidTzL2Xv4eVfxHowr5v+ydyXLcSLql
X+VarxsyAI7xmvUGiIkRjOAgkqK0gVGUiNkxAw48fX+gpO5MVVblrX3VpsqykgoxIuD+D+d8x3bo
P/75quKm/U798idv6Y8f+dlJsaH/gMTLR/cEPI9lAOuGX52UabHAEKT+wiH32EewP/jZSVkOcgJG
zQD3/h+m49eSwvjgk3iO4dRDDMMSw/93uin2VX/uptg8CFLobRN5jcBEZ/5mLs27YcmnwU9vs9xH
uBgy2Gd61sa5c+NHtWXdWU5DpiTALAIVosjHaEfBnTqExJHZqi5MiDnD3bwBSEwsWC/uOYlWeqXN
MC/XQwc/Ar4kmR/iRerTbV80+rdSr3FJBxwOqRe2RuJxgiNkYJ9XMWzwxn3lW7j3kyY7lpk03kRM
WxfweHtfNRP5nwLXe3RzqwmqKkYe18NAs1nd7+OlWjbCL/QbXBfVGDKcGAYanJYThqwUmBWLsLRH
V9e+epBON+VKXIPB4F6chJChFFsrhg0rvXJ5yL5MyJ23bAPYCbTSSe5b18uTTVep+RYOW+RvanMq
262o+Y0Db1h6b9sBeSavNIG8So8Yj+9hHJPzNcUP+9gx7swutomHBXuee5NyoqPOJ1QohVyEjLp3
kyQJIl/5Y9DpmGQ+unbfyw2fxPwczRwHGjUbKU8qij+yfYr8gLE0PdfMX/8qdaLktEwKjW+ackU7
ltKvYinGrY+tF5QAMlxj5yKwRWWfivoTcbGI3+Mmo6Jwx/KodRIHo2YTf8rQa/FIbJjcgbmWxVeC
HDNY765K4CVmdte1kLrc+XNP7wxSrOWbFZr5WKoNKZxqk+qD2HY6JVGpZcmb2zI3T+I0P3SpNeym
WDgbe0UiDFXi3jWLhfFBJnm8MeeeOs1h5zRXzBf1sjHuNNufiGwpnWNkEUgYtK3tfJtqH6EoD82F
KcHCdmquyoTp1ux7xq6RWn2NVgEhvC4H3a2PEJYmr+b4xSTJwAw9MnO9MYGKbeUNI4NFpoYV6AJH
BDtgj5k1XobOukYOwjomwMPheWBaDUtYm5JpmLgbupjPajFG92NZS7bTrqb8+qloRxdWX9WtwF6K
wqDVmcWEbHZWZgKRLlDZWXr419DZkm9l484IPwo3d7nF51K7HiGDd3h9FCWg5qXXoySk0Ink9GKW
iUNh200sBGvJNkfFM9oD5s+SqLzC0ZPDzHi4wtRgFUbQk+5khIRQaP2BcB13J+M0Jfl1pshOmhHA
RAUZnCc78tDzi3pO+w2kXMBpdYTk8XohKKBh7W1BXGMpLjb1WDL306XWLkFGzxLfOhIXT9hyibln
tZSMHzpb3xOTMbD/EzELdMPSwJS45OYVmpsSMVYVI0zaqKDLMXQHkWPhTc8mCP99z9Qe9pze3S+q
z5Y7nAOv2uJLninNqaAP29lsX/oK+dOub5Ky38XDXD2raMWweUj/HxaqM6bRUd3KPf8Qlx7m+L4/
cBLN4LB8VV2ZNlPjMAWH4uwLPTEnwIeRwKBZt2+TZj3ag+Ndi9Tulo9jbo71YUIvAaAjmtXGqzXj
JDqyX5YoM+8sJKF0qpafldss5jSzB10G+dxk+0UJ75hp3pxvvElT6loZU3VykTkTIl23cMC9qNsW
RhxRivNZVbuY7mtjLpa40+ClA3YckmLj+Jl5gjvhb4WXIXfU0tW3ZyWEBcOxTzcYnUw+59yKs69t
42YvcFy0R9EW42dq27HdtoheeNYsNcIOWQRWN7rTKzawODkR73dbhz6iPfEvWGj0tdXRhJCtnjHW
eMgpjxa2Fbz1M/iampXVXFhM6ukAQpMVFrG6ThuLQI6sUrWmZfESkVAA8KyyS8yblawHL/AIFngw
5lg84Sz9hF7SgYPaKbYlvtTNg+NN7p1jo2CLe4whvZmAovTxImGzxGMECjCKQyhv6l5GnXUpShMF
BxOK0jhPbVWd0fg72d5rKvHc9Oo5VgrXT++kiMiNlKFLOI563wXDmKnhDETauCyz0d0Tl5rRV3N/
xXeocaKWpZJVzMt8KAXBcvio6O7i6IhDZ/Iulpcbu//UU/+jesqFr/Gv6qn7pPr2/b+uuuJFfvtT
VfXjB3+JNI0PINphAghEl+YPfcfPqso1Pnhwz9iUuegx/5jfAsfdhPmOFmFlCfxxQg36DOm1vjIC
ViLav4EJwPrx53oKIC74ZN1iBYwABC3Jb+Lypo2HtvTJ79KobnhmkoqxEb0W7jAfY41pP0/lOJ5J
ZcEbNNTPRWyvA03CDKuB8KpySfJNzRCSLqOU7Cr1J5juMZOBoiFom6/jhrBbcdXiEAotArp2CPwn
LN/upYY+E5jKII58al98UZ6did5GmzCq1tGmR22PP5I062LkwWTE/TboQ3ph9wit0K0RiMiKJbDm
LfhTTJIl9OVU+fqtY3SsbtvpZX0OQXqz2bKAsbd9+taR47opOem3eLAurlB7UtVrHNvyzc8J3zPG
+0jZCTrIYYez9TzMy62VzSc2bUx+Mw13ZPqCgLTaVATK2fRqxWi8Vq7z3Mzdjqay4HZJxCdgWIe0
9RC96/g8qm4Nu9HISO3Fcz4WLy6ul50eT/d6m5/Xd6BHALkBZfiW1asvGaHHThQEY+K+xCW3rvnG
aXyIxXS/rhJCjxX+VVv4r9z2/t5IrAOO0FMOYfNqKRD8a1PHG6ProWWnR3P1gapcPTgMgabaek5E
foxV8dI2Gbwi++ImgrLHsbqtxS80Welb1c+3Fhfgbhb9rvFrHGTWyhQb4OL2CQMEk9meWfFGmQnp
euzdSNA09WSb5n4fDtpYobZHihdr63uZlC9MF8iOXNkpPXKWcH2t2uJfIJbvdur0296c9kOynAwP
uYM26qfarbRwzJM3AY9laxvpOc/VCcGwffAqytss5TesrPmJ6B06+d4p2O8KbZN3vNCYehk6YWu5
bsnyZDT81FpNxDBSPZS6vVGznEKZtEBPq/RFYtXZFqYiQWU5jSS/o91rU5D17nOq9K9eI258ALmh
Q+L6bPaHxcZLTErBw0IYJ8gGtDGtOMRsI6l1PUQePWzRgeBp7OjJdiLzhPQYQxyhTPhbtfSM6M2S
SNdOf5Kx8eozlA1K1bL+iYsjs6+Hph0eLFW8lVSDoe5UPV4B9SAiUuvylIhOKiZs7o6WhIaRMkFb
33dDOkzWreeqkdkOYxMMOstlCsDP8XuyUmEtPgnnGR/lTHfO1xF14KVm8PiFbB8/hKY8bxj0jHcC
bMOmUHHEBI4x6Oz344GabyRy0x6vOmJ9rtSoQR1N5mLL2rS8oXSdiY8EuE//04WmVojX3ui+zGPr
XBsevhm+NVWKxKllI5BtfJBxG5K0p5fIraCxsk8pnH1mNfIpl9FTqdiEbBYgcGkAKSJUSXSxZP6F
SfQY5qpAHIPScRHppu7ndsskMTE2reMwEEzx1h+9qocZ6DaXQktuJbHhW+qkp0pjRtexjidKxn5R
cm5fpTQHnsos2RZE23ouqMF68Z1dyZCDsr6KblHogImVfP2XzHytjKrGRlFSuo+0ico0dsKlouJv
gQiWVCsyJpCgKyzLN5buDntl8qWbc/fZ1ZzLYDbTVTS2b9rUniwn/7to9X84xX0T+T9q/feN5e+G
NVLlrIHoA1YPNLGoqJp+Lckvqd1Q/BnO3zhcfkfLeEBqfC40AdvJIs7utx4c/e8gnRlaU8yjvgHe
SwKtwHbLIPFvXul3Lw2vhDmBwSBeLAYS77fX68t9KuPu//wv439PrqtEBtTtYPb5i78SodfjODMm
xGYdveQV/0v/Ueu8qv+Ov5OMiqOskv8lh/K2AsPJH/NnGST8+fU1AX0y6oD4yX/zXv/hNWMh/cQj
iwdJrp0gERgfKsWDrQnrMGkERa6/L8CSU9txuv2hdviLlxa/W73eX9t3kHniwTAwV/35tbHATUs2
e/LQla3YZAzZb+cI+iPHxYkaMD/ovnqdOjXu8mkcj9nY8dz6SJXahIBiurdYLqchxgCGUuPg+6UW
ElS1Nb3pNEGVQ/iIPoS1T9BU2Vk6LTyE8V6V8ZNuJ5jqlHUZmA0QXVv5e5uE1M8xk9jQ8jge/vVv
+hdfIQGZ1UQMa+i2+fsYxyxSv6xMC2Go2e2sSr/V/eUWmmjzN+8o1KQ/ilp/fJpoWdfSCj0q8KU/
v6P+ZDA48dbvqg+dqAPVMzOW3er4UgJJx7LBNnnuY6O8K8b51u318g7RTYq7PX5rRs7ltVQB/JeD
YVGnWOvg6EzDg+Y7F9GO+8TjuLfrtGQukTi4vUyqetuc92Vs1ti+5vQ06G13L3P1pFqufeJMrSN6
1xJ5Tg8nRaZvUYqEUeYFn6Lyqr3SsreoWp68eNgtPSJzVYsDvq0DZIY0jMvlnWJ0QrxVhOaw3Lpz
I2AS8WfDvP7S2sgNXYMa619/YL/N3d6fClx2ZDPowHiZvP35fVwY7jYW2JTDMkGnoJxQnGxsruHI
TuLwr1+LCvsPQuQfn5mtc08hqnF9e9VQ//EJbM05xUU+S/zu4z0k+WMJ0vRvXuIvThaYHqaF+sPA
nvK7LQkQPjHYug5xzh9rULEKfmi0kP5pvqJymvd9C9PVtA6+Zl6myE+2UBuPrKs/kfz91UP0EJio
hJFFZeJAfhaXrM/pVM/lGa/P2+JMYutGzI/I5mX8gECLLdvSXReps0Xj/OjhrWEl48VXhLTDAQeF
EhiGIKgAYerObM0kEH5j7gkNQvxnpm82u9egSfPzqHLSIxhWQFelQDVwL9ikSkhsGCHN430lTSKA
xfKD2PhPT0XrL55YPgvMvzrnsGXZ5p8/FGnWoN7nUh6MgkZhTMo0TMkaDEwoAGcj4R1IKbcQCXuX
0sbNEXWtzripvGE48uQxlmLxJhmlRctEx2tUuKP05ymrxcYjqjjIR+cSgWEJh8i+JJjCWNhyEtVY
rzduNj/p5vS6dHqQuulH/NZUVQ2/cKupfZ7oTzOFWFBHSb0XxbQHRH8f284QZCgC0J1x8HXOSLaE
RrpTGRX+3rSXJ79uxx8Srn/6Jv3FQ8Kdsf4H6xzd22/v0RQ3qOOnUR4mbPuUOJjFJ/46FuauqI7/
5hMhFOUfn5M1wYZjDbSZ9w/PZGOJGQfQIA8tSN2t4SB096LsGHFT+QafD1xCxsgzDRKpg32QZVSA
cQEkgAJwqCInqCRxICmaWSauRCOl61Jezt7XLjeuWd/cFD5y4MSn2leyEhtRd69lttyrAr+du17G
fM1ikb9E01qlguDNFmLBB+IQVGWGlKtboKnerucjfW8vmZuKDQocM/Tb/Mhwh5+op3FXR0MfFEuf
XCkwVe9NUCQVekAQ10c5TA9pTyPpYfoDv0+rZy/TQ9vHICYsHwzX+GDmxi3Eo6MQVGsG8zw88TMS
EiTEJf8kGtcvZD2Q+Gi13XZ9jDplkxw1PTgMcoLCzjWep1oLi4ZqCW7uWbHC3rCo67YtlqEms3nE
+qi59m312vZkb4FhYBCanlOy+UJfUYpbhfWcJSNALMsBOGwfIOUdiaI4LgShsaLgAe774khTvC8j
bpY0Hvli8nQ4U38uDPtLQkTiMTdsFv3jRpjtHK6NESqWdD8RoXAil/UCAffZRGz/N/ex8xePN7WO
jTBqTQ4W+m/3JKLbrAFrUx46d35FP37f6dx7I21WZPNYr/XXe6tdrczk3qfSe3/mZdLv5qmbApJf
XyVepg3xFtnWx1Lhja1wiUOP4TOZntz6apgPhdFpNGg58u3YSrdkF8SvoPH8MyiTZLPE3IusDLEk
U8eFi4tJVOOMyfr5aRSUW3or6hC5yRCqmGTQwqOyjmkMiahMBGrwLKbMdrPhoYe8FuC4uG/xkqAF
L87jMNxbNnSxqnDUNm3JvGmm5VQmE+g8ELqloS3MwedXp1vqXQu0w6U7wFPiXEYuEZrM4UGQ2bpW
87376379jw36b9SfONQNaol/vrH8WA3/BMj580d/zdi8DzZ/FHM3Rzd+CDp/jtg88YGdIQXF/5d6
/lKA2h/wVOF2gpTpWCgX+db/3FsKxm/cdTaPBGpQc40X+DfmbAQP/HZWA+LUbZ0NKGEa9Pu/dzID
5HnZZmlFtJZrTFufzCWmEDL19wkY2Z0jOchD4l29Oz8VMAnMVKYXjJHVZiSK2Nvgn4KYFqXiE9qw
+Rbiufw4dk70hXBCkIuLQJjggvM61O3q0fd5j07p2p4RK8A2YlIsqTYIUIkSSdCrimvqfCDqGCJ5
jCxbEIXaFM228dN4Cdp5psrLGZ0r7I6ZfOtKNE7gKmdrl2uddZMYmbrNiW0PtYp5wFZvNHFk6yDL
ALWtJENRJGZyNaoOpXs1O2eTeKGa44zlxVAKgcnYE1ecmrrcqqIZP+sMsv1NU0b9d17FGIPWksjo
o0EyzPPqBui2i5bhB21RRbQuCDL7iuxBnNKHVKdw3YJgKt9SPvCDHUGBc6QN3s9Y0ujb4ticwDkQ
qE/1AgsoJJWw+2QhO/skJz2/93Mdr4VKk5tpiORD3XnVTd+143xSjYptJDZMWQKyZL3VV10YEZui
Bm/pktTencr5ezVcHpxTRhSVAVs5bABWpty7JV3qL0bsebdRQSUTcJbrxibCiceStJiqneuVxDWg
MFR1Wd/kRuPf2uTloa4lC/zQ8f7txqrxr7G2ohVJkhVmhPBEJWMJG8WW1UdIYt6dRh9Bl5JwE82e
TUobdxJ3DPC+Kod/iBLxqBWQENXgVjd520BqWbDlbh03M1ib4KyA7TNY3M2m3R2Inuz5nQ2xEzJt
vpKa2HxuIbB+wsbPes1n9OWEdmx33wytJIO3TyD442n17xRLQsT1lv+ROyq+U/BjYw5+9J2hTRYR
A7wOYAlrEnBViTa9eGDJwrwz/Ou6Fm68G2adnZrKZHqI3KZfrghHoJlKo0G7NkEvTeFkuiV4PrhI
kLDwxvdXiY1hOIinergnDNVGHiYUrDZPM0RgMBl6lEAAzskPKhG7YeRX3g9ekfMOL4pJSsIjp/3k
Gr1DjuZ34FGzso+0dwwSkUUgkfJ3PBL8jZWVhJHT28XtO0MpYpLVH/t3uFLxDloy6w7EEjJzG53x
ymJyo1j7iCaREVkend2yRIe0spsSIE7RSnMqqCj81+wH5cn8wXyKS92VG3dlQdlCR0e0gIvSV1JU
tDKj9JUe1Qu9uGqWeHpKkdRtND+pzrAxG3yI/X22Eqiw41EHu5lpeEHOd+gJ23yM12MlV8mVYVW1
+BkgD4iyDnUPylW68q6clXxFjdYBwZL8HQ6zngLHGgdz2My9UifN07OramCmOvvyvlq86x4F5lWG
WgxlX6WOU5oNW5eMTUbLLJ+bioG7Zmnf8AZuG5w9YRMte+VhIppT0wiYrLsXJL4fQbiSwxZPe2I5
7CejXQM0BoQRyzxUN5On3xtCmKwEaIW1jrohtnDcjQX6RQ9i0w4OTIi1X550WXffs9m96IsZfSYX
aMJH0hQfpUNxm41Vh6aa4Gmr6MZbY4jErlmJTFOK181ylkvaePO+sEAbJElX7GYD7TEREV1oMA8I
07atarBoy+cqQpAKnu9mqdtzP+VRWCMzC4kAa/dNhA4lczT9jFpwunE6lNWsj7/6nLZ7lvjeNo3m
aIfDGFRCZHdhZRCAuFQUM8U4ascMgvFpLuAADm78pUrNbhMbdD65C/zO9IeKwqRqPxGjNh30Mu4f
mff0fDEmbR+36m1onWI/Q9jb9i3crNEwoy8it8mWxaRmXTmZVWbw4Uz9anDoFnClWvZJAhne+T4C
c4JegWrWQ24dvYh5g9I0926oEx8rEFdTVnYpIjwLCdvoLO5l7hritOHHpNnWa9IekVoTPfmNzSNr
lxEezyEhcs9rvsoqr+hNCMh9rmHH7YyBZjpKTW9XwgDdV8tYf65Jqf2EvFDb9iNE6mqSywV9foWJ
amrZfJbeneD/OGNa1m5opZ9cQFR6aPhAG+NucS744A0VII/MjaOtsvjaz0vPZ0ZmN1Aq08ENc5Oq
MWhYwG6sCcWpTSxaOGLjuAhEswFLZYVWAbnE3kV3sHdrNz8ivyyAuiGpbHBjPPW13iGb72SzSQc0
xLpoV29fdcewX7+IjABej5Q5Zyj4GlhkviizC9W6tDFxPQZjZ2ns693su2CL9h22IHM4AKNQVfto
srkHHZjAjElEmM0NWeosnx8rUr7vE+Td34g2j7e133jXTWR+0fzhLWV4+gwQhlixmQTfzrIfpWVr
kAw7gixEPiLNht+2zE30GLfWngHrl8gZXj2zsfdLZfXwj7GCoCx5nsfZ3/QFtkDXbV+akuy2UehX
RN3k29Yw6+9x5I5gi7Vqg0E9O4wmK7nQxMPKgiIybgvoc1sEIPmdNJyLjHt5zYhv2Ja9iQrURG2E
mS9pp3rbGeVyWd3mGMy7b0OWPLCGoJSivmAaQ9CHGOHxQd/dsF1E8+uvh2tuN2sx03hhT1cXKG65
bSKj9MXM8wfNdNifTY3+JTFdYGKp535vjfZ+GI03IhXx56YgCTX3s4R+ivQU/q/Kdffoz9FyXesD
Ng5BMmFMLwCG4TjJPOLsrOst1H9kEvEoDpmayysx1oTYI9PMHOMxneb8uuA7jxgUs5vRdowasj4J
SYHct2NRH6tefbSWpNsZSyLZbK6xktnyraf+DHsxVB8Z249hitQTf3YpZuYpckRIThDKLLtypwZi
EFvNe41i8xmGaPRZb2xxgyIMHp5no3Du+V7Zr6VZGsjDBhZtSVqfaslObmjM7245kahjfGPq2SQ4
ZIo6NGQ3Hbya6JfOqq1t2iC1GT0n2VOxuPeGNsebpJiyHWINdWNKN7pto+rY8qFXRQtwV78kc2eF
kOf4irLBQ0ekMJIamXERdfao8tphq5oMezx2NpQbU1b3QzIQ+kQr6I6QOrGgYGJXKMmbztkQkfPU
Axhei83GkDeV28ehNfl0edUbaiMcfSXeHE2/iabuZingfiQ9sh78o1ldfmEviqWwUw9TN9zWRo+R
QJ6p1rAKOwuTtj5S4TwPOTUgdnYST5H2eEUybmx0NKyqXMu+lpnnXTtlIwG/tYE5uwRYMOZabs1W
5v+JQvkf2f7W7o126+8av3+kavz8wV/WP/SqFgoJm62NbeMW48/8JVjVrQ9MkT0Br8Zyf0Q0/BKs
gs6wAI97QvisBVbZxc++DzKW5a34K0dAgVw7yX+n7zPFb/oKfW20WF6hq4XDRa+5shX/sE3ydays
UdRoJ8syxjukteV2sVr7qiyWfOvWQ7fRl9G8F4Uz7r3KWrYGh+6VZ3hUNXk1Pcz0bai4kDXBovYY
R+ijHYCfkCE0ZpJDHZlsYbXdxywJLJbPKLxalBYWmOghv50gXQf5FKPOR/keGGQ6MJhdh2blmhpp
5ciiGqswP/ayYctUmySPMM+6WNPYPaAzpcZ2iVyaMfV90zWEnJ54ZA/1JmrMdkTZ3c3+TJFJEuu+
mWxLBiIbyvs0W4YjOAdiVV2sjoFqynyPzBxOUCHV9UzA3FUZK3Ro2dITtBn5u74bOD0ItHMI+dL1
S+topgJZO0ebUdEbIeRsWDHOupwPC+zQrV5blFl2Y1/rrXdAIHdf64Q4C8ZT5zI3TjJSJWNIjFix
hzIrT0gvbRov2vV6XYZ8YaqtJ402aOIc6QieQUxLbciHVZ6W3sp3rq25iHlxQkUVPd1gufVOmTHw
LyWFgY2qo7PJi+VjY3PzT3PyRNtqPqJXca6U5Y6fpVGZQdI1MOFnUUWXup1NfVtUSdrCMiNLVz+N
MhLLR9niaRm26VR52isRGQbTcHCj2rIbcDdTlsuqW0JgB9CnNcDlfYA5FO6kkN7FjyFC49LGCUfT
PjZMFs2uPTDoU3u3lBRjyETdG1XK/l5jucUtkmpl0gfe0okRzUFqX7t5S6iUQSm21fKFLhaYBQcs
Trf8os3objWGqIosqT1awNX2XP10Qec/TNH8QR0W6fqHYdqNZO9gn16t1O3CkZ9zWVfp6rJuKVSz
6S7q83Ivm8pz4xscd+M47fwIxeayt6if15qRls95nPSh0z9q44x2GopyVpQ+GA3YJuZOZ3FEU0FU
W2Xr6jylYFGbHf53SeBpoRufIJmruwkvUEkqmQQQDZ8mq8Jci1H6GjbMGI3EuxWwP2pPSW6Tz2ou
LvVf75TqTOobLjHpN/QpcYMEEsPpvcRvUoecJE0NDKNOniJb5uVFy2bTCEtEkDfLODnjDtnMFIUD
Gl0J4kNKsHJGcqgkpBGMhCIOAS7MH1tmCeTwaq36lKeFj6mtccSXJrHMTRGX8U2TzM2N06QepW/N
xDPBE7rnL4CWU+/WZNUGopQslkM6Iwl2ulY+IUelOXMbY21oZuIZAtiAZA5mWXSVeCDKvdrVGJ13
vYvsuFf2BhZ9D+kRlDofOWiOdU3Vz8Dk17RdveuplVx523h1vHcbK0iM0b7xszF+iArmrTVNpU0J
HC+f30/5/0xC/24SKliH/6sL8QEg5Peu+/79j0JD8eOnft6GnvGBOCJgrD8vtZ83oa9/4EwS+MU9
CLA/IJG/RqDOBwSGOlxGEy3H+3336yoU1gcuyNXU4bNcWi/Kf+cqhFX72wjUwwTPLWjprOMJCft9
Fe/OrdCSyZZX2sjIp96PjESycRtp00ROZcnggQvKNafrfkV3lx3eS2PFeRMR4h6a0kpZRUSYe5nj
GpduRYBTsedbZ8WCx7FDRPvUIhqOHfXMedXgUxO2ePFXqLi54sUH32bOtSLH3cj9NsgaCLkgF8Om
Y9pAhGpCY4WVA+IeSEDRdeaduMfwbKtuZzOmIWLVg56YoeK28CUTUtSVVwMHI+EQzm7oXHej92iD
xiyNb4wVoS7ntHjAbYhTkj4Pih9+l+o5MYZmb47aciQOe51emI7zFVU7jHb1zmsvkTyfq3buH3OQ
+NeKrdr9MLXmRhbuHWYu/6xn2PC8kpzlIulwi9LWHRZ3GLF50XxEmd7uW07iw5RaoIXAyld1hYuZ
gKedo3ETLrRBN9L1j7HMN3al8luiyanGSb4J0Op52wLhfzDkoOxbXcABaSw9hJFnXfuZ6q6GbtEO
kbYwO8wT7chCuMYx3SDUR7eNSVqvzsSmQM5sPA3DyoRgwkjpLUwYCddxVNp7yCHlzmyEzZ/aLXf1
aHZnN9XosQbzwVGg+2fGz9tuwl8cuXl3t+Q0KBOZCztnqDDz1QQAWGsUwEA9T27OF71Mu71R04YO
Izguir/oafTSascB6HzDIZHPrMvN7BwDemRztKYQKEUggVcCdEmZsR9oV9td4zBEm3UM0Z5tw/5e
Yw2IMfC/eq2c3mKmnLtlZSAxu4IDzXOD5YgNGByZrH7EUJc94oWYXzR0LyhMFls/E8g6njxtxZ1g
JCL1wSdJoI6ZJYMk8TbJGs0Q6YQ0iDWuoZiMxwQjdQ+x1GoO3lDld6pqtCPZq+ONWbb+yWpS2vu6
IPwkTBnBuodBG9J518IFGwPiCMiOWNYYCeYau+w9WWJRa1bsGjdhvidPNGsIxTx4DJ0Wn2QKtg+6
DAsTcpOABGFuCNbB7s4WOVDmUt5qGnIiaIxBMsjm3DrmS1U0bnTdEF6SnHCzfnLS1r0npGofaZ6h
XXXpYEXmvoDxhFdk9Cfpvy4WgTbbOJoXLkvV3XaD6ZWvyJdouS2JGs/rh0cbOAC5mEPCoABC0YMV
dewT2wFQfyH941S5Zhn4UQfiv8Zgcl8rrcymkKs8PtQWxcyjWUxWrjY2oNI+IaLUrdwjwAev0/BP
ZaZO1eHwvpcjkbuRk7FL2FZxpBO5CQ8o1EHXXJrZLd1P1BlkP287ezbuJKVk9C2LkDjCQPcDTjhu
REtDSkTXzjfXhgkBWg2VAYFCeahG4NiB3vvZV1eLZu3gyVEH9VEVkxZU3jDkm3Fo8RWsrbF1nuKS
sLK5tl9yAzVcUOmzEcPs6fUxkA2ce9m71jem732+Z4qO0wPZD6PhUUupHnBxR/5W2jkviUm0xcWk
dONBYC8rGa8XLPD1iYwlzj5esc8xtASm3+HOIKM9w6yf+rK6cYFmVk44U7yI/kQ8iq2TAkrUUuwq
l+yqRDo35LKrnb3mSul6MRKVYfMehw6JPw/F5Jkn6vauDXJs9RjkS39C2Cmcs/St5ipPfZ57ZUcb
G+dzj3ZJuHvC4pK9dEdvXyVtfivN4noBK+EGrWFX1yqxk1ME/WlXTb2VsKjy3NXBgVF8M8gBM0nm
mEePdBBQmNn6rFJmGrGTbltyNLQduYn6R7cgetYxYaeGYoJ+7WhSInoeqntvdNnlOqyf7IwEvMAU
/gnoCRHGTYtjVlkxMiDmZsGyDBDbym6ZX5u5+cod1V7YNhLiC0M7TEf2T4GpN/rHeDGinQL18QhB
sbuzsGVwOciCKHq3u6l6T6NAnPXjKPXodaFlRd5nbDoXPTdHZ3QggUN/zl0j3XSl730eIQJUQR+Z
9SGzG3VyF3c5I83xgrhR6O6nOWO8JZhuNtV4sWK1Y9hhIdLWAe/2IsHpmI3C2mYMtW4Ru2VbMsj3
HVHhj4tb9VczebNA4iUYQ7It8cwZbIKWDg/URKNyQ2YZq/9Wmd6J4KEaVLOwN+wXZYDSRYH2t+zA
NFjNxXDfbvHhAOjCD7C1Mh/sK78AABj07oSvWAlH42I9C9G03IW2X78Qg9mf6XWM7ywUqp3dY/jJ
jcg4OF0jPmmK1yMZPN7URFftspTJWyv74pLrU/M08ByemXO3t+B4/Gv0o5L4XhJHGU2CXBfJeMkr
m8wWpMWHYhm/NJ6VXs+YqD9F7CsuUWQQGJh1DpUAKddQD4ASVqXQL53CqRWmPPm3dvZ/2TuTpjiS
tFv/lWt3H20eo0cs7iYnMklAJCAktAlDQop5Hj1+/X08qfq6oNRS97dua7Oq6ipBzD687znPkfNF
YHntM/JBmItetrGp6Z7Qfc7Fyil871BQh8T9p5Xr7F2/TqQrruq5EBDPKnEgFfgTOg+PChtlaVI9
JZnrysZUkbU+627j81yGYuuAlLl2k0QcbaNjV8Ps32xmw643DlVipDdm/5E8UoKnsPDRPnPIpwow
s6+6cfbYSiImXVNTBzoAhhIBWeGjaQXg7pmRjjae/MX2+ajbsd9USA2frZni1kxA27KSImUkaNss
QNQ/0kyS9zYBMhFTXlQkUfzQeapOTv9d3/87XiLGA+1m/tcFr4/9c/xmaf/6A38s7eFIEe0rsOuI
PwUJ/1PoMnWhC4E0HsSzNZsi05+FLmQMgLHMs7PoT2mD5l4JYetqFJKH/9BCdFZKvqqoDy//7/9y
RvQ7bVRoWl+BB9x+p5euKK3GlfLVdUDU4JKt/alWald4ExNa4diHbAZIQ+A60V2d69AzVopaOyuY
W9WU7b4FwqJLu+i+CKrZngM7Y6XcW2itHUuoCmx0iJfVpiAwLvui8JxwopihiC9iST/irvoYh3NQ
1HtwhWj/o2mkliXy0PgQFA42YaoOFOJZ+JiVT+VKkkuyn9CLzOMhkkCww0MIICLFouE34309cpPv
jZJ1xrZ2YrKzo3SCt8i9dGwcxiw3BYdl0KuFx2di8c1HQBmRGhUOAZxTntyERRFfNNJaCG4H1vxQ
FuSJL3hB91wU/gosUV8nFJQPZAO3EF6KOGWNh1t0BlmzUOPexVU4PAcmGAc2Gax8k6xNED5BYQyq
kVYjirOFSvplShPFpZSAKX62sJuQs3UkkLgoTc2pnG/iKBuNAyxKnbRH/UPdG8ocFrEhuTPVNIna
teSFhaV7gOkgqr7ZmyIKTT0OZWOTzXdQK5L2usa6zO5nVaDlLsbDf0eEf2tE0JjlX40In57RetAX
e0tssF9/7M9xAWIDclPX+7MEzsf/ZwEcYsMrxEF/4/8zJGiiNMJn3H6uh5AXbPSfO36I0iDU0K7i
K5QUpDm7/0T09Ga/TxUdQyM1JgYG6gvnVPE3pW/QBg0A/ME7FSNhresS8cCpRWLqwUBqui9/uTE/
sU5Q5v+LZvx8MFS32iISOB6X+056G7mzQ1RD75xiQ9VPJalhwCjH4BERKstholLwMgjpPAdj2u7/
F4dG0cXYrNsGdAzeXGdiZObcV6ZzolLAoembE/WiJqZpOXiswv2ZBT1sAXBMOAFpqv/68G9Fx/rK
AcpZyPIDn9Qv3bB4c3jLTqKS8qh9yqEkJWvfGLGMi34gtDMBb8kGrmDC//UxrbfS4z8OyqviMLd4
1JTe3e6yLsMhAoFzcq3SolOAmssqPDJ/4IoEj3VPMLST2Bx8MAdwHHE/9C9ejVogB79krxtPywqI
rZj3Hf30cLssi/Ps+Ra8q9AdhXkcz8HBCRAb+hQUC+LNnJckyP76OnT35Z9z1+tleBRttV6Q/fj7
sByfHJxhBhh6MgeDd2XAIjLnAwFdPpjpB7yH1XHO0Dn9+qhvHUZ/HBUtvSeZyy3+/vaJIQaR6ey2
5ik1R7K/zjFBsox/iHRuTvAO5jvXIScYEhJxYOdE3F8fn2///VXbpm/7kk0q7837b2UMghL+yWzC
6CFKKtEfjAoGEGAjcau/PtQ7jfr5Wm0z4MvyBQf8m/8mVLIvhRjMk5ME851Rx8S8wnNi2RnaRIgD
L3GeR+Hpr1MgaXsNTiWykeUApaXfPO6fXThmZ0ZLZmv7b2+t5RhV0IhQnAbaKM3aASxYXVmUHscV
gvHf5WP97CPRpVi+S/4n/+ZjMWsSUQ17tNgysHovVUw0Gps0OvE6ALkAXod8gEBlePa85edAVti+
s+5KIzQjhXCpjoZHxHLUuLrbJCwUVhnhsWbP6imO6ffwW1O+Mhdf8HQZ0EXJd795gD8ZXiCnSqq2
TBUsgd4Zf9I8CgdfBeYppKzY7BZJ1u/5vaF2Rj50i8UMJgbjnuIGFj5uWthOOnVMBc0ePwwFhwTy
TQ7paiElzAxF9+K3Yr779Xn+7DQRSfg4EjlZ972+1pitYQSlZp4QU3JDzrfZrNv6ydTRyE3e/u7N
1jPom6/IQxx8tkVRNKc2/f6IRR9ZqchUd5pqYmfdvnCfIeHov9igPAbN1GttjxRjQsgJRSZBBMXH
RP3wPhl0oYZ4gf7FhjN8e45SFgYfQWI7DJz6nTjfIuAdTF7ssIOrbpQIn0wbkQQg5IMluSAth/uN
qYQreH9ZXAnP2ebNJbHpb3lNi58Fkri/6AT7RK2DWi3kLksj/UCpT/X7ciTcEETKmPYbywXjQvkD
HucugJaTrnBU2WKt5prldgr5WxS93BFGBtMl9jowYKUZKXtFtSxc4IFAVlyJeDI+1gbStY2QVdVS
W9CYGCeQMb1xS/BlpJohwxSgcTKphv35dXmC8Bkf/a5Ir4DPVTdjimB048NeG1Y4ioGvEYT2wSQK
9Zug27DJWQfgV4cTStDMPMYvCq2/RxxBXG6Snvn7kmhgPIGNnda3zZmBM595OPDjxMaVxC+D1pNG
/TiUeTpt7FDK+wATksD6AH0Ks8HYwPpwI3AzAeHQ7drrLf8r5gbSwktUbdl+oXxgrZphcOjLkcZp
HELfdK6saABMWo/hJTkgARrR0RzWEoZse8JbB+YndfvSpQJh0Z0o4qiub2VU5O2aAkwcbvyUnVaE
LPixznhHJNoWgCg6DL3B3BBtWRqQg06rj7OrXPe5CxyWCaW/EH/n6IF4rJkFSJXlx5TsdGy9TkfH
AptTSiJeR175GaFyzMxmbAIlWl4RRWRGwCvybGKVIQlBMYpekUZ1MvsHJ0rimxEcwDdSy72KClEs
YDCm7QbQQ4Qyz2l3LRZvdo+EfZPJ/plcAGAFI1hZiBjWV7hKFZXWpruQgRXu2EpVXyi3uJ+p69F2
9Or4hRdl/h4NYYpkLY7KjRh4POs47EnyiWoXR4cc17xYhbB1NuA8E8tKAWaFRfzFaYS3ntlp1Q/w
o5KMXrzfoXIsSzxPD3KE0hPgPQfCIDcFmR26LQ5XxocdjtqEbFftB50sXEHQtwy8+WisFQp70CtB
/dmIR9q5pB+mZbtRjSr8nSH04mchG6nKMu50qSkJIsKZwGhvOM8NZBkIVDmb51VBWsTH2eh4Yirs
zZtCKTJQRxloRFBFqGCieCvBPplMpg79bXaFpqyfAhoA7BLNhYeapHjkBNqIzRSQXExtqOPRZyND
duJEp0H6MA8X5TnPoTshn04E61WAtIxGxYRFPlyCx3OmZLdonegAZ8hwGIckoY7bosXqv2r4Qn24
1Da/HmkiJ8eOozqyrAsfBxS2m0wV1TErM+uhwV/MH6rIl+97atbUrmSI78oJimhDdDf/JkJQ2lGJ
ZuGDAIR/sUgkojvf5ea0FjP1CsQjf6LFe3BDE4IhJnA5q0iHjwaymu/+gCUZjKjnMZI1nH8Vukyi
MiU+NKz87qUJ9K3UJfqHDsnJwIKDsy2GgRK5DUzgtgqRcSCFTtRtIyf+MSNFsf1wzjOPopGU+IUn
MjqsDJV1VtQuwdayEGQMCdsNO08tbBoW03M/1xNxxawelcW9NwvFRfFJcqQsHruXpOJlwC/WvYyt
DkiIQF0eRDa6z2doK0WX7qXOmW2bIGqe4I2y+p2TTt2dFwpL1pTqck5z77WgR8OfR9twMpRr0xfH
ziXgKGnbB3pH4obivUF2e0iFs82z6orXiGdn6bOFosLE01Xt/pzxKFLBIrzCdLB1zax+CgeNFFEZ
Do5tSLDOM/4oDCZjBSni0HQtZz7yMyNou4ns1sZoSW09L3AGvVTJlrR/ed382Hrpo4gpLzb4XR1U
SkbWgGgjNowGCOlkpOG5zjORFUSXMu1wgrVF85OE03JKUYaa4VdMKxy8PH9CZuim826kZsIyiJkH
Hth08p2pe8mDjmdUA7y1ev5vEJlMwKhgGdsqvVXBKJFcmMpkYUBV6+DxpG8wmsgDl1Md7dHw7hI1
EKkB7J+zHYek3RP+a970+vV0kYzeiChlZspgohCfMLJcdfxUDdf1BFN2X8RQNTBkApNawTXx7S1l
PU4mhLO2Ql3EPetNAlznMZEPaQb+fNuDar+gack7kse5+wzfl3uK8onrPw8C+MPJVUvgwa1zWilX
8PfsQ4OL/lh7+vDFRIgyvgaWY71ZP6VmBeQ34qmy3G/2TWjzVFGPQzZjIuc+TCxBgzIJH8l4m29n
FXnPrY8jPcMaT489WQykWC5ffNt2nMn5TcSZYXbHKWEIcE3W6FuzJRaCNW0TdbfBHFrTwa/0A0ob
mB07qwqbPWHpAc6EZQZ0xXa0QxrcsyiyfO0osuh73SuRus+2Ts+xDJ89QJCyDXGwBTxM0GfBclva
EMQ4H+TIl4L6yYuQn60bc5pvz1fITMQaufMYgdoKs+R5w7tMRv20AOR/gNtuPSQM3WI1saV9GBr+
ZYXowd72epW2QGLMX1eM52lTLYI3qs7BFtl+zLUvbo0j0fINRFFWsWmHgZ2Mvmstoqdgk05mviB4
5XRij6vIktB5roee77WMI7w7WTnfiUURoSTtxUYpkGPEcCnmv+BE5eOyACyAFelaeOwxrzydUMqM
d3ESevZ2gs+3V4mbF1sXH6N7N7fg5NclPc5lbbTCfXZQPoP8S8Lg8RzHnOeDc8iwMlRbVBhTflmM
Hj+dD7HV3MNkmHhFwowbDTzHvMGioce+2SJtq4pMBnmWIpHekjs9+xXaIdXxfANexyK9cR9Ti3FB
D6xtJJlxzu9uGGlK2twTbTXLRH3FGBOezu+nAwz7AiMKFcaycbJrOfi8Ir4ApOO42XgZR4p+yOsL
AYPe/1ETTzOui3Zs90YKTi7XfdHIo5Zyfiu8OeOjyBD333j4ni7MpjRv0C5xE7LOIOsRNrIJmMUt
GYmADhlr2VgUIbCnk16d6AsypoK3D8M6wCZn4r8pFkItiHrLvDEdLoFXznxwYzwRGzOP+LIkcfN3
lsRIuKtqXpohrRjt7cT84FLnPbFT56UWoLCHdT8xaJ9HQASZwJ+xh3Cz+5CoS4C4KXfJlhOfjZ6A
COCKbAXDcOwZFKqoHcNdY/gkoZeDPtt0wGu6tRvFcaNazXeFclpvVbNVQ/GlWPi5Edc9qBEmqVZ7
GhtKyjPJR6yFlvvR9JN53w9jGX8wtS7jQHq1edMKnf/j+j1HiJKKt12YBNo/9O7AIiQysuDx3C8u
6cVzvRJ4NRY4eT/4c/GBJiBJaKGxzoK027vwUVeyZWSfsij9EdnoRqQm39hwi7P1WNl8wDPTIy08
ZiSVTMu6p+QZsEJR3mOWKu5zUvNAK3daZgIuUnsnSh/DS9Sgeo/HuTjQ/UuvbaczzTWzZnFgZz/v
SxPZx5rAyvI6rOzqRzDnrBc8C8QHHQvesLazIJzOc9eLS2BGeXyZhuAz1kEcs6YaHNBKFvE0B6Oy
dAK75NFhSpqM+yi1eDxtUfPXJjC5Sba7zLdUACGX2XhPaJIxLjUja5xCL+ma2J/viPdihTc3xhp3
GN+M3ihnOaPsZAd8qkHcAG8XLacXLpJik1WxPqCXwZnO58kkpF/7RPW/yr5XrDGZXYI62KZ6Djdp
Dj+GmPt1sJge7ARcIig0qU4l7xnTKoL7Qvj1c0sMVRVcJUHkHDRz9Caa3eDRNPruBWOGv/FsDIHs
wXiupWcxf2JK5W0tIkarxUush3NI9XncDNKMwTFgwiTRj06Nlev1Zh0G/lXR+oRYw91kjCYF6AnZ
6kQgLeNe2/AJ9TligyQ0MMtUxFhEemReFpIr1uzt4r3lgsp3Rk90R7ce+OJ6LY5xM3yOxusKo6FG
YjAzF1npOwcpFyEPbNjmXtvTB9i1Q3tRoRne5Y5l+exVevdZZIv54PsmJTs3YFSizsMtkanBtBGG
FjuJwmNi8VCUPqC+9TZLo9PS3ZnvYYn0cHBeMruYSL0I8TFVskLsoqwgschTvbXjyPEDspT5Iwyq
5SqG3PGxJt4Nwq6Eleey21l2TIiky0mvEODVndq4bc80UJbTkEHt1obZH7nGt6G23ZeUjLLvOavK
HzS5OpbbUx6tWFcRIwHw58pkUXaRa+Aowj3Yo8OZQ9rA+MI9V83NpWvPyQ0AO38TpV7yqaj76N5j
jT+vhwJ5TKbppthB1U1g1+HHmOzfbxVJLu3GPYNQkzMUdTkDUnNwdIQk9aJF0xGM3n81nf+eyYHG
AgWWf93z/fS96//PY9JG2Lmf3zR/X3/yjyaPlP/AwOCR6m6a2oxu80v/aPL4FpJPnAx0Pc69Fusv
nR7xD88WppA+TET42xru+M8eMHArTwipo0U1uvs/6fR4/ttiGMge26PJ7Gjtqc6ffw8gi5Qz5WUa
xYeukMOx8kuWMqVVd0dbFc4GuQ8L32ywzTtCuFeqiBAmJHOyQaw97bO4NdJtCP1l1/ZBe08twUDS
mLNsRHx3EQcGM2YyBNWxmt0GVXzRo6/KYvdAO0W2uyEdQrQehjOR/uK7ubtyMtfbjAE8W7cuZha/
bOz9bMBVrqKWnq0ffcT1hOl3dAkeDLz0M7nLj2aXw0RBb6Y+Lgii8RzlapeMhtj0TjqcoqkyL2nV
oXeZsUyRpWnk43oxwubORdd2xY/gnG2FHC/qyjglYZ12m3hOp31rN6BfJ1Wu5s4Wn9DQj8fUFuoB
TLa9U20X36LGgkIXLPrKSSLstnRTErTqKXpH6UIbiidV3EexS/alPYNg7vjPUjTmkfnpI2ZKV6uf
xmvfUTt/zPu10RAxHWFgJjo6cfr7rE7lbViZ9imE/jEzzLAH3lVq4Ipz31g2yNsCMHgjKk2G9ZVH
xNSGc0b00vXO2qmQiFgGEpZwtj8NWVbvKUtSDSAG2hziDyQLoi+xFCjnjURAvnbcyVlB91icK5Jc
NOik9LAdeEuPr63fowck4a1TKdS9ZDG3xmgRQ5oqG3dbV7o8D3e4go+871PxhBvZ3QxcyzYL+8ew
REAVTO1H8pAc/O6i/EJIvLo041oSVItxBgTWNjJ7l4TlKLrrHIKdNpRP82s/LQADloTtcZeLWK7q
ovI+REPn3Wa2ERKajXEjbEPrRHhtunUjD7fKUn/vLZihkHEWbxs2SXS7TGl3OTOvtKlnr+HIzRj0
MQjmpkfqe2mEJ9PuPyOhLdcucvsDLrIwOk49krnTzJaleUbh231ByoRfE7v0yStq9wi8xL7PPBhF
hlsOV27XNd66Hwtu2VQX7TUu8i/MtsONAblxa03iu1MWXyAM4UgucKEcxhQuck4C5QcUAma3KVrl
P/mUBh8WQ/vtxjDfek2YQ9Gh4lHshTO4KRJI3AnIk6bpS4xgUGyIAkmwZGLGI8wwbc0Vuk1r60q0
smw/R3EaqwXQpYjFVd1QScbNqsLTWFu3k2s+LV3wJNoBjjhlx1YKdBmBl1CtcWTctBcQ66wLgeT5
kxv6D1FYfxdsD/B3I9PbtnSRWFGyrvoQ5wT6lIGveZyeBb2NsYPfAAne7mLU38nR94LpMKOtYt3s
QZleD1E3Wddd0C3RhR8Cg1wPbf1UJEY93LW9QlMoul1qDOEtruFq1TZZfa1Ge9zAuZ93gwgu0FfG
hwwRbXOyFrSp+yE0sZ3g2EiPmS0I4kq6GuPUTPb2dUdc5FbaVXxgx2tum7qfVp4kTsSsPf+T0xbK
XfXLsRTS2EeEu11kPtN76FnGzg1Z3gZCTbvSSSl9kXr/eXZxexbYuI9+Iqnq9cQQUItisYNNa5W1
qXsCzJ5taw8Lr4d6ZO2PmUMEYtFcppmNTWUY0NSDS1uPZhFdTyP4i/WQLoRU5sI9uL3fXs+YOB8n
DJ1DDpcOfn2RdzXFQtJAtkjOil1aHz01f0Zi6m0qFtCHGTfw1uVPHXNXVNdmbje0mxwDX3SDMYbS
ONgAeSAdzWekapuTHbT2A34CVKGkq25iF07QWtWLQhgcVghX8ix7Wlj6kNkjpyNMFwzo7fglz3wC
o8aBcDgan+2Oah5u+2W8yZdI/aCKQuYRBfgdQc9OTh5ADWEz7L45oQepQGKGXsVeaeq06uEQFiqn
hBW2V0k+fNFYsR1Jn+O+XJqJrzSsQP309TQRc1Uk/TerZLbZSkd2V06BGW2MzPuI1giJTYU4UhkF
/lv66UUu8c3HC4Wymt2WyQS7LWWl0PcZJNe2pTgIpeEiQRYfvIkgX90APno9iXPItfxdVwvragBS
cZxLmVCoy+9C7UmVXSQvWKx3PkliyQ+k3Nj6lfSdFUs6Zw2WOKdsbjWUe/BJr2g3NBuhVdJmpfkr
llq7fKLXcR2xHMRHu85yUFbsfIONi/PpUvVNuJuG5jgXRUMK79y9uFU7wxKsJ9oDeX1FrYIV+uDE
h3ZB6R70xSFyCSsKomE7ZNNXhFzDVlAxI1mN6YZ8pYPfdtEetZMNUc2/Gc3wru9KfPMFodL+MLon
SMLFriU/KlLp3SA64zTF6S0oWtTuM8r6VuQ3kSyW3Uw0IVNjErli5Y2dR3Q0aQ1OhnNj5Y7E07ZU
OD46GfW4aeC+3jVDEnmXFBYpuKlORNXWYubEqJvMZNVS01FQSJypUmLr0ecQ2zgM2AwXiQiMz1Nn
zWqTSArg4E7AK7IXLrHcESyXE/oge9NU+9pN7l3Zein4m4WlTIdimXYG5a51hX5mhasqrZBwtsV3
VZkzKa/gcz5YlWXEmzptl092PcyfikrMl7JPTazXZXfRKAN9+VhIEM6movAhvGxi6M9L7sEY93tV
CPyfBSOmTx7gs0rhGLOeSy9HEQw2rHtZ3PnLAA9RFN0GcOoWLsAEltiPXhprMC66fnJvO+U3OyyB
8GmBSpSromR4zah5octWSBuQpUaPGCtruHpFv2priib4QW2NrF4g5gsQx6upGiALMrtB66uc2j62
9VDE295qUeXRRhsCMBbpKHYupgmKOSrGStBJMgyXjI226kw8NYvfjcNBxGo45nFmHIymIWWPfRlI
L8QYwQfTNbx+XfVLk+xw84PK9gPajbE9eJsMj9sT6c7gfedUpCc/bps7isdTR3tNJXAykJN3kHZ2
LSqL/WLG87hC1TCKlVCt7ChKqP5TDqtvE3aBeVWkvmaJ8/A/Qw8mELtzL+w+HAiNxPBDV6ic6P5R
uyOhwiZsHbAQfsuki7b2bOCIVXoTywqowWiPz+rgJI74BCQiXSMEDMmxG2wys2rllGShZL2AD9L3
nxm8l63NTQJNbn7FnkD2rGSLueKJhg1BX0Kx02yJop76IVWrdnCtdQ8csl47Xgxduel84NNZPGyh
0V4TXgiZYyr6q2mQ7sGL/VoRGoPxv8vbIcOqUOYXjnY0BDy0S3/omnGTl456mUM//hKw5v6IuVIe
Qwc1vzZNyKsOi7K3CSMzCq7hY9trS8nPfWF3n0hqoZMYuQ6i9SVaW7MrDi0tVHyyGGOf7NqhFdz5
lMsSxBbMJVZwnadKfbdII6AqmJjPjKfJZTIZJH9h2Po84vxSOJIKSShwg+lmg1Qdk01POLkqe/uO
VB1763oTQVL0b7c014KLYC6GrTuPIzWVcQIyAjm9w+ixSstpXqcuyYAVjsxnsCDkvlhV5ezMpEJm
Vps1hGjQh+uimknXDPsGCCUJ5dYo5AvCpfkKSdJy4wOyvq8nNCNrxvMU/rnZPZD3kH+OTJFHG7Kv
AjjiBCzAJRWXog7ROfG+HkUTeSd76cESiZq0DgrHW2PBYwDat96qUpqs/Qn9ct1wWMMxiDOG5qLc
TR4RWmlulIdZsBavQUE9VG1u0yVst33dpB+SiG51mhbjTSqldWSQGCEsxnwsEnNOR27rta0lobHR
YL0qUg/IvVlgcR1Vg82o41tvnfRYJ6xRyF1tWED1+bc489xlT+riBOZh8H6MfTW9YHmN6bTkwXw9
WtZs76bWqV5VJP/1dP7O0+mdBRS/2P8n3beqJLfx7d7//FN/7P197x9nmRgbf0jYb8IjAusfFLRI
3gJm4CPW0Nq/P4XfiLx9m84BkhDHktIGovvH3l8jDsgkRs8A807LBv8jX+d74U0QwMjDhOpogp5O
uHgrZkOYGGcDlfLXZlNbQKNzTaqFi1JUPfuW1udfCiS3r+q8v/K5f3ZAiiHoPLXuxjPf0YEzrrq2
6sI92hhhNuY4JReLVq95uc9rzszzGwnb29IG8i0ukOAy7hfySh8U0tsLDFKPLQ1y2aOsYu851a3F
c7Oqc8fk4teX9l57w6F41EgCESQSpAZz8I2Us42nOBoy0zlmugefSKSq+GIoTRLERFWVJNJHmcFV
aUOKzr8+9E+u8pWigb8AGe37As7UMHIIo3WOnYUsrfRrWt9sQ7VNLqKN8uuDme/lo1wobyBEDBbx
yDnOnoK/UDHmioxouGAOWbOIeWkB05FYTamgGTb2kom2RIYTX2Ljpd2pWprk1EAr2pYzAexrwYL9
N4LWv18+tTAfdCQGaU86Ovbur5gOPPr0uaPQOfoTm+o1IQXJhUBOe/G/PJYOK0cX6Wid9bsXitxM
keNwcMB6TOgJHKN7YW893w26rfbrG61fmL/qWzFco9ujLudKLEuA1t9eFnkRuvw8OMcxjH90FsgD
Gpj/qaryfBAE3ue/M0q9e2sRtjmyt3LnuGQI11J/pJnpa5iuSe/td2pn8y1QRX+OnrAtaVrYTbiF
713kfohLdoHtd0wtMLKbs4DSDA26b3nb1U9+k9ER9RQfqRacqri3D3B27VfLwr8kPf/kDfYEhTKQ
Lnyqusnw9s6GwJ/D0Muc4wxe5NImdc1YNbo1UhsdbyiNz2KbZRa9OrVA6SZ1k4/X1QpoRpDfKdB/
9vY6Dhk+OO4YrN5LEbM8wDKd1Xy8I33jc59qKtEG0skMtr9+o352KI9iMgpaphbr/Rs11z4tdtnY
x8Tl9gaBZuUTn8hQ78Of/o0a8e1Qz/Ctg5GEJJvI4nB/e33ruMdl3NTGZYhGgNASg3pOaSN0WSaE
SmOpGB1+fXkaQfSXL0YfUvrMjTa1dv2A36vp62xxLATvwaVgK37h+CWNvq7t8MGQjHaXdFh7WM/T
DWTDg6og4pMqUA8epVHSzsNmDrxPN8vOI8ir1EMtqCmgh+KXp6KLLOPXp+yep9h/fuUuEz8kAi1i
x9JhYzJ7N6Dg80mdmQ3cZZeLYieWeNlViWfsIrPLBqzEhUJTTLOwrcJ1ldbK25r8slOLuILo8TSn
80xYMg8ydKP+ZbGL/mW2Ml7d1662hYYx3tAZQoXhmrR5sdiiAzo3PclOafci5cdaraSRip8DAGDZ
h8lKm6deq1b9yAEOm3IDiUNJ1S22RLREHmKXR1jPRgphPGzMvdm5/OpOxu20KYLYy9Z5m4Q2wdOJ
Tfpd2XAMLVA582+bxgfQ4IwOVCOqlfAg4oo3pHZooaLZ65cLg5abd3nW5nZ9VKDDa80yvmR32r+g
Im2eiJCy6svCTNSdSQX31rB6A60HGRzJF1MFPDK52B4btgl9yCPxz7x7feY9Z/g3aQ5Qk35WZtC9
dGatZ+gR4VaBTOpbvYTWfmxkc9d6fXHhTrS9CSWH3sP4C7xpItQRmpMWGBg0Bo5oGtD8hsgU7NmZ
74j3Dh+VYyUXZ4H8WTp+7lD3i8X9CaZQ3nVdtDxaI9KyOtBygLPZzpzb7iUjd4LIYDBI26ULTQLA
VYvVtVb8KWzoMHfDkt9S6Lb70nPf8P3Tlj3PciUzNY5djyAKVcRtuo+cGSeoklI3qmOPMOOCGri8
jPXC5KzRP4vvRGrR/UZNO29zYSAbOgukmqThraFq6j5LL+NuUuuvKX9UvirXowild3luJRvoW7qL
zhmRiFuzNoDYrtTh2j3zolfFfH+ViBTxqotv3sQGwteNcgskGQj6UC5IbL0Ufc6edrMEUb8aafk+
dgKr/oXfE6xFYXOGBOczF/VU4+edypmXV2hq6e/XmOSvF0mRcW0mSLih7brPHmpaLDtlG5Abr8z2
PrIXa78sE0wEK/KcL+U4lg/+kqhr4MX5hkp5Za7QBJg+W0/RXiZ5hbkw11LCLp/BL5dLNWxEF3oP
RMckhGF56GJXJPepG19QJCycmHihIgsCqL4dJXXaWWtVLuohg9i+JXa0ri8pFmDy5Z2ETMmm/YRk
hNzpNBwKBANt/8N3FggDlhxuiJiBmKnmFLfikDEyrRet6mKXiv26x/Dx2cuzttuBNvC+4STEgw6r
6AqpcxvttJEDjMFQJxuoSeXFWA3VTUCbAmD10sVfIq3AlVVP9ZzN9AU6xPBIeKdsLvxu8p4IQ4EJ
X9bLF6yY1aXtFPRO5slZvpR5k7EXtpZ1R0mzJazAhZKaTeWXlO5Uv0Fb3m0y0coLvRilgjOjed5o
i8G2YQ24wihe7LA3kzYWg34tKxHeDVSvDthZ6kPaglVU7qC+h1E1bWMjMcCTVcXnJBsJkKS8sKrL
BEhz0yUEALfPkM34PhC6bUKyStfD2Jq7gm182voG+jMEy7Q9w6piK42VniIz+tN+jUpB2nA5qe1G
lX7y9XTFStff48NX7qZMCJpwQqI/6KsFIRhlmqJ+VXfI8joI95WidVNUw8c685p6PZbdbtCRLWUs
vuWyqz4HeWKBCDHnXWeE9mbIOY+ApMoTsxIBagvD+5XnNBNoVsETlbgQrtAflLdYvmqQm/Sq1obH
iuz5LBs0rJRPotPSzm1V91Z6JP9LV7LsGQ0do23/ErWCAalaAvNBkUxnQa1AydpK0DZbf6Dos82S
eEZQVTUCDTlS3GWN9L96Ck0Es2fFi1R5u+9pvaDFGNwQDaPl0K5tc/3bzLnuLl59eDglNBUSs68x
s4/qOmStG4/G6cNYO3z6Q+w2e2eGnb0/i0/rmtdW1zx0+xitzpNVNRHruRjOhmlXVgVcIO6gPlIn
9Osfqh4dLS2GI5rLvtuWqTN9x5PSRGsSHtxP5NsGhzYOun1OOSdelXOU0DEz0/hrN/bPKbKqresk
UbSGydt0n3P6ZsY9DG+cu74VU+ZGLbP2clBp8TQ1+9Twlh1xTfVHnAyFXMH1nj7SUy7ukCj+sPLl
82w55oestxCuED9MYE8A1sQZausl6uPoZUmS6T4aJE+OLz7dNuiyAqSIkNyJWEk0sy7v5CXQV7I9
5ikHXdd5jOPrDBbAtCeDVhydplLXTUfxzIOnS9xwkQ30b3kKxIJST3g0StBsWzAC+fXcts4HoOT5
h8Z0hrsi8Zt1W5m0UUYj31KItb8SrzceIVlTlnNDK/FWnW+DG46pR03DMgWroskZLoLQBf/rO5fY
Fb6GtTHdT32U4aMbxDXob/dLNnlZtG7zmM4fmdhIn5Ud3QSIZq5bel2XRjAF3ioeo+7ZSqaaQBH6
hWXiDkewjEa4cnoysC7M/8/d1TWljgTRv0L5jgX5JA/3Vi0goldEXXXXJ2qESAZCJmQSkvDr90wg
6gAitZPa3dqUTyR2Op1Oz0xP9zkIeb06JrNgcm1q2qhNQRaPHDZ6AR+teRiCYwMQeiH1RjeNPFnf
xx4YoZ3VNH1J/HiJPQvODXqd0SwzOwB5qAOnfJS25rdWhgK3S8dLeB+r3PrNzF6zJzQ6aw6QEpMF
2H3qdmOOuqhWeptihH9rrpZ8kITh6jLDQPgrmPGF3w0db4TdxyaWFx6C2yWYtZoUJeUhiq2nK3t1
P9VWyCoHs5EJ7jiEvJd5FoPmKffNm4xqCKOoAgA/xRKE42lXW0TJCBuxTBvEdr422+igAj50y7cN
BMRm6jINHF49B6yJqAVEfZdhLLULIEeu+zyx6QNfNJdPSTPnzy0fELyrDM346xkSn3PbMgCwirI3
bKjN7K4epjYF2NXam6BBB+NQ3AC5HuDVqd81YKq71RrrFMDL2VHHBGbEEP1h2VMjSuvAqYixU0T1
pd5r1fXIbqMT1OwtuQ1oLaZRh18m8N03ECZnf4QtPR6nJrC2Ugsct70GCr0BzA2mE78zY74NwOcW
6vaAZr6k3chDN1PfjsM308umd3yGtoL2mvL4Wk8zkKkzBphFoHss87aByjqg2gTRsA5c2gutYY3i
rjMVaFbrPMvQUcTAxmgmRtwCKSaQhuuGvfoTtIEMbTXT9WyIujC7AUaewB8Gju+D80bL6mgc1vHW
fCSQDLTpp36WPGfeMhsZ7WK+/r/JhW4fpEticlF0sd8nbpQ/uBxfDC/bwcXZgkDvkf29i44Lqp1U
XYUR1UJmScquFkoVGh+T4ZMY5FQT98cZkqGO7iB7qaOrRBz6Wc1n4BbfnK7b5jkqsUCKg7Km4sAa
FTf8ZKSvzHD8CTf2PH6N9ARjlgSxeA8oyJWyxZpIE55igx0JHzbQnXOzgVm1gYXvIRs4QAxAv7Al
EgzFsbnhP28DMllQtOPxOKLj+HPGvInmbeS2TrHCjowPK2ggkHFMtLSLVn5xwLU+ewIK7QS8FHKD
2wvgKf+KJ+w8weZTKbBYTAet5kpG0O1zDSjKloOe7UNGQFHDOSaayL8ZG6KzzQ3/Q66goyMSSSs1
KzTPDeS4sHmCZlhx7LgCPggUSIOQVKAZiANZpFNd4QRTvUfZjkf9SRFfqcsPheGvLijjyv75bUwR
7iICh3Sh2Mza3Psj/P6UvK2Ie59OlnGwuM/237cPuH9r6V7lU5U/9qkbkWjs5cWJfKvmLVkgRv/m
k1eyINIHXwTqD01+nEl6fnr/3wjm8x25Ih2vLDcCMEUgC0ZqtgrBcxJwwktJ4jWizgHuqapyh/gg
9o52qpDNIqIoy2Y+i8iElVoKrQGUgpFUXTIgcccxHSfScICyF3yRqsK7rk9SErmlJKF2qyXgcpQl
b4ewGnurdYDlvXiVi7+B51OBF/ZgdTqRvXAzTqrqf+kyVKzLkjFJwrRAVXIfFqe0lFO4t15sa6sK
vpoQT3JA4J43MYIry0X3a8Co/EWiTLUC/7sKJuCfl60MwAnMc5SVZumOWOCTqIv9tR+bsHvbrEAw
HjgZz/NSUuEXFqxc/nCwDON9CnBsCLhhCeV7ZnYwyVOXPSA0kKIH0oBVDC8DggwBCSalhsIcQO+u
4hUOCOdkjLSHG8eST2Oj06jCJHTs0SmRFzCYVFYwFgyogEdnseTZgB0TLLyqH8yAci7+wlCKTcCr
blQknSXRruhKFGdBvBNDxFaqo26SW/c1AmCEbG0NRfdViF4RedzSADBZwfTp1k1rfbIIOUg2pA8T
8p0KAqCQf+1G3M1LIxSfJpq2KhI+cDM6loYx5EDEylfVwYXmLyyal5K2eov0irJocNd5tQ6JGEZK
2V10q1nZDfaJgjTshVcwJRl6VLa4AW9RN8tw7mNGIq9qgOPnVBBkh5E73c0RIYGlrvMdGCh47q/I
zjIBZVxaBXo/eGzi1q743thmW1YFL/L3b5mEvwbtPGkusbnBviMiIyHqTFQ/pKP8H4qqP7qZvKrc
plFUdf4K01hR3Wc3WmBkK20qopWOobiCQHiwFxclNxX433E0V0WLfNtIrCr/WKGyqmwAgwHmVnqb
Fkpqyx++mt0fyjS9p+b3809lyv3Qv8nJNXHF2HdJ9PMvAAAA//8=</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solidFill>
              <a:srgbClr val="161616"/>
            </a:solidFill>
          </cx:spPr>
        </cx:plotSurface>
        <cx:series layoutId="regionMap" uniqueId="{DA8A1DF7-2DC6-4CA2-BB88-1C1B7403F26C}">
          <cx:tx>
            <cx:txData>
              <cx:f>_xlchart.v5.10</cx:f>
              <cx:v>Revenue</cx:v>
            </cx:txData>
          </cx:tx>
          <cx:spPr>
            <a:solidFill>
              <a:schemeClr val="tx1">
                <a:lumMod val="50000"/>
                <a:lumOff val="50000"/>
              </a:schemeClr>
            </a:solidFill>
            <a:ln>
              <a:noFill/>
            </a:ln>
          </cx:spPr>
          <cx:dataId val="0"/>
          <cx:layoutPr>
            <cx:geography cultureLanguage="en-US" cultureRegion="GB" attribution="Powered by Bing">
              <cx:geoCache provider="{E9337A44-BEBE-4D9F-B70C-5C5E7DAFC167}">
                <cx:binary>1Htpb9w41u5fCfL5Ks2d4mB6gCtVlfcldpLu5Ivg2I5IbRQpav3175HLnYmre5wZ3BcXGCNIwaWF
5Fmf85zjv99Pf7uvHu/8m6mumu5v99Ovb3UI7d9++aW714/1XfeuNvfedvZbeHdv61/st2/m/vGX
B383mib/hSDMfrnXdz48Tm//8Xd4W/5oz+39XTC2ed8/+vnmseur0L1y7S8vvbl7qE2zMV3w5j7g
X99ePo5vPltfvn3z2AQT5g9z+/jr2xd3vX3zy+G7/rTumwq2FvoHeJaRd4oqwigl6OmHvn1T2SZ/
vhxJ/k7AFS4wU08/4o+1L+9qeP7f2dHTfu4eHvxj18GRnj5/fPLF/uHC57dv7m3fhFVuOYjw17cf
GxMeH97chrvw2L19Yzqb7m9I7XqIj7dPp/7lpeT/8feDL0AOB9/8oJxDof3s0p90s6usNw93f4jn
/101JH7HFeeY0b1mEH6pmpi8Y7GkjMTPN4Dq9maxV82/saG/1sz3Bw8Uszv/r1RMeleZb9Y35n9R
N1S+I5wJobDaK+dANxirdwJLIjHDe795qZt/b09/rZ4fnz3QUPp//ys19OFxugO3/t+KaRS/Y4LG
LMb4L5Wj1DsK8U5JSfa6if9Ye+84P93OX+vl+bEDlXz4/b9CJa8H3B818+LO/zDbUPWOI8olo3Kv
GQhZP2Yb0AzCMRVUPWcb9lIzB3ngX2/rrzV08PiLk/x/SjL/OgF9z9Kbu3C3fUrvP+Sg168+HRdA
x8Gjr3nUXnYnD7++JVjG6gdFri95kUgubBPumu/R84dnHu+68OvbCCP2DhEqYkVAr1hxUOv4uL+E
xTvEIEhSgTCSjJC3bxrrgwboAcpGCC4REXMIpjG4YWf7p0vsHRWMKwmohHMhGP6Oq65tNee2+S6P
59/fNH19bU0TOngxhWjc7u9bN8sBviCBKfyjPCYQGMCs2vu7GwBvcDv+P+1iS5Jls76SbatwWkV1
VCSjJjzlTpTzsbQlbXZ9mevCJIa2FzmporQyuX7osnixicxr0qYx0m460Yurm8R2Utwvnqht3ZiY
Jaxu53PrSl/9Zhbmzm23oIeC5pNKcF9OfYI4lvOmjoaBHplI2I8yBElOOqeG4XSixo8XvhXNVody
apKZVHNSzqK8aLFiKe6zkPA5Okf93JrEt3Ge4qJZyMbN/svQE78lRFcnbJjQnM5FjB8FRz1PZpqz
nYozTbbZ2HCdMqHNRTXY8aSvenkc+d6fDLYu2sSbZno/uOiIFD3ZWKJ+G5uJHumoCnVa53bd1bwU
v028a1Pa03bTz9O5Vtj442LBHuPNWOIsbHpbFVOXSOp5SHBD8oTYynfpEmXlghPQPEgZLT2+NsTw
U1Ys3XXXjoU4G7Hk9yCR+azsVJH5D4tol5PgWRexM+nzqdwWHictG8XUHvm41dWWTGS8sAWrDKuO
ZTVDUmh2YonrAacj0zrQ48JM2rop7cp26OXZ0k+NV0uKO4zJtB112Rd6SFTuJzKc4LrEajirRlUY
EZIJCxWXJ3kcSdluWkAFnwdK8E3XzdN15VQ0PahGtsU3VeDu25whMtJL0nS8xreyzvBOBCNtl7Qy
k7+3Y9WzxNVqOB/zsjwVTd+CoHyZ6XSu+uLEMNXQra/K9xhbv0Wm9kmmy/Gqm6shQcYUYJZTaTdz
W+ZpRDA+jYvSbvMcLbvFmPKotPoKm3a6CaJnZpNFFdkY5XWTVi7kp3EcJEsZBWmnpIizY9SgIWwr
OvOTekJ+t6ilu7Okre5JcJjuVNkJnni36CTEWVwleSg8TZpO4dOOhjFhNK9Oi9oU+Jg1/RddsCGk
i2X8OgIJ8sSyNv+Se4bO8oLVu3ri0dFAWbORsNxFJWh7hBc8vW9swEd6LOPiiuFMJrWLxz4pCSrP
CM7dmIykGzZxKZqTYUT80oSsIMkUKnYu4mI5bbIFJUuB5k3Z6zvYY7GLUY13fZVfCt315aZn4hxJ
2f2upzL7or1WO1svw1FbULYtXdmc9li2H4tuueSN5O9Xy77KcIc2EtFmKxy+WAo5J9q0IY1py3ex
aYkHCbTom8UzurK8zH/PW7OcecfGczuU1XFXiTaZjciPimIojzLTZUnm2u6BjGV31AqvbnMW8QQQ
DTmPS/lpIeiqoYVLZZSJ83IZ+HlrXHRcFN34G3d21ElRTuP5ZCj5XPN5mpJ+XmyejBWiN4Kwfoub
jn6LZKzrNIA0duVShJM+VPciZir1JuviTdTPTiXlINhtS8dJp0QO9p7Fc/6BFyxHiS09/xpqa44a
1XXwjjY6qeKKpJS2UeL6oToZkbCn5eTqNC6KYpsNxbSjTR4fT1xkydg2Q5z0Yip2gecYDL0P5gwr
3X8I2pdpBfL50E3uPZi1vYnJfK5GHaW8zNRxJHUbJzF18jT2kVGJYlX8MIlGX6sqNsdDZpsHaZDa
VGgmZdLWCIntbBlKZoRPMlHchNrHJzMdpk0J1n2LI9vWCR5ncqx6mqVjWD7GqMCbeeK5TKR05rKo
BojsPaJfbJWPSa37aDONmBWbCQn+mcej2lDcLjd2UiZl0o+/lbprEk4Le0GqtuySQU730dQM24HQ
8C0vxygtuVu2ttLd0cQI/Z00S321YKOuhilerueG2x2u8nBNvG/PsmhEtxL7pUw750u3s7bLt511
6C5ue79hU29vChbZkM6jpqku+ihhOOTfpiVHx83QyM+UhCXaLGBa2wVCTqrDPIgkzvW4aSxE/nj0
USLjQVwQt+QpeCTdsRyTj7lT7Vk8cn1qlW+vHdbDJjg0gGSVnh/N7MMtH3JXpI5ketOhuXKJxl2d
ZpMTCcYDOVn8PPcpI+6xrg3d4smqhHJiL6aiLdKIOn++NHZ8X8lo28+lunAD4SaRs9HZCRVReaER
dhtMXPGl6gbyoeiq9kK28XyLRtxNSSS0umFqCsdDHKYTO2WGJTZjYzpog6780Ja/1cq63/K48ddN
X2Wf2jIzZ/3kpkSP8fIRezZvNbLF0eyHeZvNwSVINJ3eMDitTadAUDhpqmVok1z2HxlDaE4M65pN
ZHiTCs7s1iGNrl0nc7qVcWZPmzFiIa3LcT7jxVyXqfGYbGPLKMgxjL+zSfKED1oczVM96LRw2XKK
DRb3BN4fpTZrzHUe9JiKAqnf5oV3x4gtkOjjBvVV0uWd2QlTinNp2vZDJgefJxH3okzyLDZsE4/T
ee+s33Ut65v0R8rkBai6t+3sAdo881Xff/3HB1vDvycO5Z9frnTXP3+7+IMne/Wuo0e7Vlrd4U0r
OP7+rn+yNSsg/U7dHEDcPbP2L/DvqxdfgOMXpcAfNccT0GWAFb8zan+CxgcVxQ+gen3uGR4L8Q6Q
LBVcQmmjMEPAoe3hMTAE7zgmCsWK/gGBn9GxxO8oZxJqIRJjwr9DYxwDYUc4sAoY2AUFFMN/Ao0p
IPMfkPEKujFBCpAxkUJBhgEM/iMyrnDhGzyW/DEG5NarLWlZG1UpagezfOK8b8s7Fnne7Ro3dzPb
BDJxPaWRzdDXvPGsAcMlUylPleZzvylV1LjjUdVVd1Hxuo1mSCMTb7/yMhST3URCVAVNcykZfpST
nfubSk+yuotj3mb3tKZOXObCuJYmNTYdbIW13NdXGqMwNpu84r5sEzvyuj4HPO1gy3ld4/mM1LQp
vkXdYOGZH1T6F/WDPJCRQkCQKi6YWgkfgg6qB4lr02uh48dstE3hjkPNKnZcsaHz8njp8mDGdDEt
sFAVygzJdq8vj6FEeqEjICooVEKMxhQ0BZt5qaOloHEHBY55KHBJS5MGSznViVIkcsXOT2Puw8br
kDOdRCxa2uZ6ZHTuSIrZIkZ6GoRuujKx1lGPLxWPHVz7ySYPDEliLCSwLgjQMKMMhPVyk7EjXZg7
Yb82FY/AKgqQxzImw4zCzM9oxsGSurz35V1d8AZ05NvaY34cR0U0lInToL/VlmYNTzVmqYYzNpWt
rX+2UShtf5QmbFRRIYmQMRSrUFseWPxEx6ZVzUK/dhkRUb0tQtdW/bVbgmmbdHSzg81Fsh7gmp1d
bWcAncsc3Y5tm510yldFntbLguazWrsmZEmjkMhC2nMUVTeiVvlSp4SqCYRMomLGzSlaVAVvLU02
Ope8LnkIHi/Og4DLYjE470rRrwHhpeAnbSKiPY0eROQHRDb5InPpdlXMAkVJ44MQX0qOsnDy+roH
XgGQlzLFJCEcERXTw3XbfrbSRjR+yGfwdpEMqK0AWrOMNABFC9ObqyaDNktItLaEiJ8c+1CNiEog
+FhMFIOaHqLXy2PnfDARmjR9iGQlHU05YFF+ByEsCid2MbK6NBG2+IKWbu5vyw4hqGA6bSoQyuuC
gFj8UgGcCAYMRiy4AGnQAwUEYVAxl012n6ml4f7IurbO5m2U1Z2aj+bYT6CV15f88+FjGQsmeAz8
CZBl6OXhtdRZVczIPzAxQnzdzVgsuNxxP/Yd25o4Y+KL70HqLumElOKLRfMAaHAwFrXjTwwBH7o+
4goxiE8QIikksvhgN7laCq7aEH3Vxss6Op6CXkNRPVkNjZx+LNjCUlN3M2mTSREKu+IG6f62bkUx
p02EfXOral37ZuO49eSmHkzTfX1dZqtf/5MDYuD3FAGQYkCzQPYEkuGlzPoxiz1yy/R18sGDEaC+
RCAsNI2UR8nk6RDdtqR0q9OE0a4fps37nwnrJRUF/iJwrIQCNoxyAf2dA7sF+TRuaIb2i+SWFzxt
UcxBIFnWK+VTvMgIQns2730Y2AK41j8ZdYuzGC5NY6DC7fqR/tys2GEsIYA2FKgTeA+6mvOBjMqp
7OpM2/ZL60GXbku7MmYXBGs6n9EOCkaXqGyolk+1nuZZJr32o9MphJ1R3ORuyaJjXwOf88lHfScu
YyNWgDCxoa7UUdnzNZjajioI+PMg+XDT+qJcPi2VKMcyQVW1Ji0DsRLCqW0UsAEJBay6fIrraYJI
SwFZwwdQa3mINy3vaLcTsl8jbTnlBgCGe1pexXk0j0lspwJeYQE8wM5N1KzYILS8Lu+mTjSu3anB
4+GWUbuEcw80jE+qqvakTqM8q6fjnEFy/dzETcY+DWjAkBJknAPOGFxjAaK8bqGHgQSkL4F/AAKc
ScEpPjANms1NjlVbfVlw3QG4nwiSQA+NtrDVCe3dCOb6+oqHPkEkeATBkD0wgwxyuGLnUafHmo6f
6dKvxjj2bHVC0skSUogYHBdfsoIuYIQj6UOXX0iAAWCnr29jhbMvfJNKIYiE8MkJIgxQ8kvfXOjQ
u0iJ+lPNmjrQJNieR4/WaQfYQZddg7c+k9ZcD12cAz5oNbf5No8DGWwSSzkCORZI7s6qLBa3E/VV
PCfdiMVwE+IImdTxZbJnYEQIyBPEMtMmLBN4Tc0agR3aQUOOO8mKMqx5emCcXhHIOu2c0NLTaTh6
/cT4IILHFMIkJD049drugJrg5YlLkelmhOrx49BDdae23HsCIHZYVrtlkOrZscbjBGY7lYrCRx6e
kG0k2tWkaV+MJLvNJrGaNHFmqf0xkFF0BTRu6RDeuWpoO3O08LkEr8vGesXUeI5r8E6JHbjR60ci
B5EthjwcQ/CGqAYaBJb1AFg52tSLLRryMQ6agm+FNl83ECLar6775McwagD0zC7T0+riECvXkOJb
IDruIo0BxuOJr18Bkd6Vd5UqJDs2Y7XKwc2jFZeZm+Auo+l6xDmvBRBTkfR018Z+oB1wIk0Lx/3J
0Q6wDhxNYWi0Y3AVxBmgjpfaClOJZdXb+SPNhzVSBe/AtJZqMfY+oLgkQI0H65ZPkjQrmq0ji0Eh
k6irfN4utQB+Zqdo1I8fASt5EMcoCwrWR4cFokljIgUmxsaqXaNbD2Hz2JB2hLAWIC/CgkB2IvgN
aiwMoqhzBqKA9oGOQsqBNwaX0IoU8NtePmsoLKGh872wvd5nyh+7KAc+GgO4hxwvCY+h7ER/Alx4
XJiYhYs+DLW0EB32IIvoeBrKFCpLnT9zDvspjb9YkRyko3VJRgFeIkhLSEDufil2VACrI9pJfuh6
DBYS5hDAoACpg3xY0TLLoakRWeg1CCCwQeDVkDVQYEDQAymNfqrCtRRdnBW7LLAYggE45HDjoSUJ
GaCOwPHD1ECielYbsMwNiHKq4gZ8BbxoVUcOXCuIPioMhg81F2q4Qba2sBNelpCbShHWOvV1aTN1
gKrg8GsSgCCBYYbgz7geQEkX5WiaP2g9iypLQl/SNs1GlBWXgizMz1unvQCWVBGiCp1474w7RVVP
Jw58qHbRmc/riF1ktZY0daOd8ntkKnQ8ZkCFb0rZ2OqBFdXib2oraph2WnA1XrEBo2nZxEWjeJs6
qPa6fjeOPB4uvdPZZBNRA7F+TpHHatNAKwWnxRR6nyV2it1SJLoZPJtSaNcM4AzD4se5SqYIaOVi
pwju2a2owszyFE24H/ujFnhfnEG1leXhJGgJdVQql2pcFihrwRTbk6mcsz5xXVuI3aCAc9vwOpqW
D6OwxHzqWZVnG8oCwekMVZKdE5GHTm2UAZI9zXmVH0ugYzfOonE5y1SD0BEesSa7POpijbZtaWv2
cQZus4w+Koum6cMUJhouoi400Q1kDNk/ANcm/MdFDnljk9ZarLv3alqqldQHdmMHTY+4tokqLSU6
lX7pXPwV10XcPGjS2pWIFmF2j6oP44jSsho7XByHrHE83gAa5ZU4yuqoFJcKy6gsjwbRkq7Sjzpu
aAApT5jGnl0s1A5g0tBy61r9HhqvQaBt07C2lSe9yoyuzhs+lS7fFkMeRug18Sw3Zpexeuz5TdYQ
6k5EwXQe78BWBAX6fFgQpPWqi82okjxiwoWNzvxSzCdj3kXaHI2mhmyTlmpkEGCH1vT8dxv1gncn
YBxjBIw6BdiCL/sWUJdKwkzjSVxVREr4CPsvI2OgsZYgBbWlhy5Rx9zXpXeKDKeF8G1OjvEUQacN
Wpi87OXR1BS4rhLOhjUvIh4ZOE5OOSSVuymbBVJpwbXi+dU8tmMrr4ssKsZqJ0sakfak7GcVD1ei
oBxaCE6ptTKWPnBdfpJ5lkXLGWNVB5KKZgch+wKittP8LKKZl9U5Ns7g6rooRuiUbccCAkG+tQZT
2DuErHVL8xBViGxRrmfjNqgtCx9vmoAi3vxOctLAenVRKfWxz2PnUg/VGEiWxL2BDJJiodeXwP4B
siTOqRXTM93B6dNW44aKXaHHVWK0CiV82E6H6Lap5RryodGWxzJVY7BgAEsDeOMoKF/Dfe3+qDrw
BcTnCgk/kEu6DFarNIZSp8FmVQ9uGbTBf8PVtMq5YaoALinqIw+qiJoy1uzROSho3M4bA0grHWM8
S5eaWPM+Wvt8ves/haLpTQPyivRij3S/MDxdxIVctwwtTd8utwIsC1agcMl9zaJpNTDho1Xz0NeG
7ypVr6IZBgy3QoqN3Qh7GJoOlk2fz+M9pe4rEG4avuNTa8VtyVmmaMpGBTQEdFk1Blk8W0+2dApe
KYtoPVwW5idh9GA1Pn3GuIovfP2Ndry8oMj46PZZ1NH+9j+EvL8P6lVSXkjS1rAB3ER6+Foa0Rp/
ZBo6w6EdWWDINMkJzQ26Bbosh/YH3yvKLkMAUwOerPf5SYPVnPEEl3qYxZWqewtSGkhdwS0EphRg
V1BsZwP06NC8gt685gS+rGSO3FfoO68StC14EMS1/Zk0MVCjpa1txIiP5z5euTS0V+3ePERWViAf
wQw8seWyWg8/iVmDnebYr8topgV8OUPHSeqPS2RYH07hpHQV796Qln7uYZdwyPUt0CXt4DkY+6Fg
XV3Q69b3Ao2WcYFfbEUtk9sI8aYsThbCJXTvcwS8CtqOprfg06rI1/q7G0G/ZpDEfcUib8B8Og6I
FQ7vBwC7Vx1w2esLybB+sCGP4aNq0OoO9cLX/Te9gEbXR2j7VrnZQTMS3qsdxTk9LrtZ4nBG97Zi
ik4FefQsclUMHrYDTdUSXgIZwMLiRWtKyPMDdotAHwG5FfGwaV0UGpOiLs9gcV5omD3chKoFhq0C
eg+IA1CT7k+kzVd37iG/wnfl3Isi3pUAFqf5lKqumuxxYBbVdVpBc7MekqzLgbzCCvdwvw6ugw8A
jby6rF0P/8/1CFQOhy4YEBYOuPzqcihDBqTA6AtYHevcDp9Ek01QBWTzstr+qCCUF7uJOgIRJva6
6uNtVUOKrbdT1GSqO4ExHL9MnxH0aSHe5JW1ZXn8TCcXodK+2PW6gnr3fmYdDBIft4UGcRzRJ59x
Nq5AYF02ltnyierYjuGjo6MexXHYH31SeQciou20lHCiMh87vhULwhDlYLZjFR+eYMzFp8Aurya+
Z/HirhxBArgn63mDMQQ+PBg43O8MEHJRYqoF2E3FSNmoBCiLWdQXtMUe7hAzXmvYgfcd2NWeZFkw
r3y26xvnM3KSZ26Bdyx7AiiDshy4K8dZCaxdhksofesaaqcmDRUQE/ysLsXqT4GNBkj4vIwDhEoq
shlyXjdDpIGBAypW4fWGrlQB6eMSuPiianJ43M8VnPLzCPAsi07HrPPeXCparFSZ7SHdXcgyoyK8
Z0A6z9l2yopo1jsxtrzqoG8bYcESCSSQ+MJyCu3RBJKhAuUvEVvgVKKp17RR82w1N088BuPbS7II
FvhQapChw+m48DqT78ulH6NbmOsIwCosrVPiC8RbsK9obBeQQMHQeoasbSII/lBerixVZQCvArJW
tR3bL0LN2uGvbKpEdSmEa+dsx4jtQvRtNLiYsi1kNFrxpKuAhY3SuMLSf4L+wViGDwi6yHmeZnym
eroZJWAb96AGMzjyGWaugJo48mU/1AqmXJau/LSwnjCb9JAdJij2YTwGMKWUXPW4ByuvC0XSAb6M
5JDIETpT0+b5JHtdurYAmjLlnM7rsZ7CTVUNa/xTc75GE0D/q/Oarl7vaJ44ZBgxWb/jGEVwx5zP
640ZBXai3kLlvjLspspacOUc0GJ2uYQZt9sCHHX1SlWvV55NFjAlRCLFodkDRPQTK7uG0yhP/TR7
KhNMPIqvey3z0SYjaoDDZfOSKXIyumb18jxaVjqwgz4RfDCAZeHELQjsG/rHoGDoMqw7Lw0M2315
Xoh7BSnNgalEt/uKrTHFIsukaNqevS/3AavcE40uxislGlVuJSE7Lzxjmzqvnc0S7UQf3faGt3Dm
MEIXbzg1JF9hnGYTrCGHat1W/+RwkS0hjyQZ71cnb8naZtw047TapMwWUpqEw+BEXW91UYE37vYC
ga7NGvTKGCZEIbx3OCrONKGVjH9CfB0U9MDlrCOHCBqrSgr8pyaQDsBkQ3eJ3GprBexa5vkE3jBa
CLMuYqsHVQMQLzoZjFv3/pPqDgrXH7jodXkYaoQJvHW+H9Y/KGx9P9lohAHC2+fQWAAHDLuAOgA8
6fWlDogm8CYEM5mwFlBW8L9Yy/ofRh/HuHQw/YebP2wElZO1qWszxq6kgs4JRGShV6X2BkZJbi3z
DFT2HBxf38tLCoEjBPYTYw6Hh3Y42PlBpyQbKAH6tshvFfR2xBfD8YrHuw7+ymELI5o/l/OfF4QJ
byAO1slUIBfVAa9Yao9wVaPsxk0NJIocpgrDiZxLCHPPnv36AfFK2/1TsesJgbtFXGISE5iKPSQy
pwomp5pQiZvniDHqZSXtZwETSHw3sS4edkWbLf59P9K52NR9s8Zz6iE0RN3CIB/9ZEcvLR12BKVU
rCB5ScUZUHQHROOsUDTKmbqbau9UI+A68PGpLzOI6yYeDKhAs34Gz1QUkgNAi0ivGyla6volHRxU
9jteU8tRMkFomVMI9Q5uB//I8KWZKdST6bjvqrT7MPv6IQ7VCIpjiCIOHROMcXzY64O86wKZouFS
d+UamZYnINR2vOnfz1HcM/jDlX+f6oJxYViPI1Dk+iOEOJCZnACNkBj1l89pb8q1KxJkIbLaxHcm
/4+oNY6A8scxMIsQuMFV/xQO6JgBEz2Y4nKflgAkr9qQZQV+0XRuTRivH3CNLz+YKRgEtJ8YeCDM
ozBgNA/4zHFeJuMXXh7LJvIlT2VdS/pFeHCY/yzUwathARpD2ytmUOnLw1BXZ6Se+1zkx3soMnBg
R8COiKvh4/VT4ZcMNLwdJjQUtITXv4dSAiLry1jXoKCzYmrVPSqApn52KyLKFSp6Wq/l5BgPTZ2i
mnkCM3++gk5HUgEU7dJAm0l+LEYEQfAn+9qPiPwgcOAwQQQKBnee2tbx4dABQtAvkgYmAD1Md+pu
S/i09up7xEhvv3VLA+3eFAb9gPNVSZ0tUMUmMDMZcH0GKAKm5vPUli0wUueEASeCruuM57k9ngGz
cHuZTabE05xmBFphnzvnaijPfEFY47Z11S8kpMgi0dWb2HOgAM/phC0V12rfZywFFEn0Kmtq7KYL
mIIfFIzy9IMwGLiaAkZIjqEAkqbeVP/Dztk1R4pj3foXMQEIgXQLZKadTqe/3XbdEHa5GsSnkJCQ
+PVnZVW/8Xb3TMzEnMsT56Yjutt2Aimkvdd61g5aiSXyR+GUBfi1Ju9+lTvoHBgOsfTn9vqrBep+
Ps21GWIcKWhZL+XJamPg91dTzNC/jLHB40bpl5rsTHR/KTKDXzWXBGKB7y2ULNpE3ulliDZgx4qP
okxl1rcm/x8pZsZx3uR/FFg/Kzs4fiue7zazS3GRzRaKF3qeLo13kk34yKFDt2OPIVwUUQOpHjT6
PPgMfdu/EJTjnJxTv/BEXrdpGFxECm0V9F//qz/kq9dkLkGOg+V+hDKUwf3I22ZhU1UEZqrXcMhn
AqopvueAKrN1V8/YdOZn6rndpmf4IBenDbUp4hHnadEwN56FhApel1jnMNv3jZqjqC2GCMXw7x4t
sWZHmro1/hZR5xd2hpxXyYeR87aLd+2ogxAdOjY0txQIYIDI2Y2Tx3dbri4GlZmHARQTW6BkjCgr
fOKr9dRxvegtB9SyCnT5HLBt4UQT6kMS9sv6mYZD55uyStAIjPmQjYN6G6EIBSZnv6zAP/bIGVRN
nZ7YgPOk3Y9Nn8YG1f3P+g+C/KV+9eNyOQx/LY3+Z5U6Zn2HVlKBFDcytypMhwg7bD1luIy46+J8
7QLLn3G4TOxJjjzo94OgNc2bul6fqBe0Lb1Yq4NILLkSIdmuB+XsFRSW6TFTaVw4TptzJpY+hJZt
1XOFRX2V1BRMPt6+5rNVsn+rQzGVjkcVeuSeLAc04ZC64pHeMBl+mzq8juMq01O6CllmSBXg2w0D
tW8zl+zaSZi7re2XcIduYdkxH5IeKzYdvjfSPMVRIm9UEtQ3g9XLjmpI48A06is7GV42fGUPmWxm
0EFSfAk9V2XfyDr3yTiWtOLzkW3xsPfVCHd6lDTBn2Z+LJJ2zPYr/uQ1Q5/4qdxkDqCnqq+Zd/2h
c1G/5Z63dN+04fQkE3gGeQ/pSOcBmeqX1W3sow9GConBDM8ri8UujJfwmIS8EfkUBOSUQD7cq0WP
P3SbVQ8QNQVonoXwrwgWFPqsSEaPNm4bsZd+DHYAgZdHbRMIIdgKSiQkzJFo5bucDisrqoxXDXsT
Nub+GmSE+a7jpI12k5EL2i8xND63SPD8YAvNhjKoAnUcODCJMomW9sFZ0qF/G6YbqpdoLirWTB9h
q+XJZUgX6DS6rNCKXrzd2q5HhzL7Nsw6ew1VPjiKjjRxybD7fUXrSsZ821iEUAN4x/dVzuuPOQhc
EYto+9C6nWKQDhJY47ZprNyml30OnkiZUm5r546pqec6DyMpzj7KsBGj1SvsSnpyTFjYy6Nys9rH
0sQ3tB9cDgX6la7+e2iq6pxEeH2sNksJyTMUeQ0gOCupn8guyZbxLJtEvXvpUCuGsN1rnZsObEZX
ZKKmMg8MST7gmE85ifvxMEHAyONwWB5cNHYPuvFLV3TLUr/MjZ/flJNDnM/OuKKKlGzzFtcHJ5hB
C8SL55qtSBxb73msm74YN9t+tIPccphPw+s4iTmX0kYPHObGtYwVK4wKq2MixuRDs9SdLtEfCzsk
MfhQpJQqE8zolE2NWEYwibyPOv6hAhRbJUPd2Oa01fN9uqbdHht9mhZcbNnVEk3NPWg/MCdro17i
aZQHa1x0aKVNPxSpXlb07y+IXm3sMMvE5+081D88HsihWTJjdihP/dOiOK1ylcxwkrt6ycPG2uuU
d/Iwoz6OQHNr/sLHhX8SJ8lzq6rp0252+2GwwEubTfFtAuDhEOKkKGc3L0+oe4OcrqM9BUp337Zw
Gg+kjypwS5C5z40PE5xlDjtS2AoGnYp26VUGw6iQemwPHTXqBeQTwfXb+IhsEtm3KdHv0Avnez42
6iryPX8aBrXd1Lqddy7Dlov2fBDnMQmXozLJej9qhKEUY8l30llsDvHs7TnxA14eaG13EVnMjVPZ
ei1WRyboSWw8VOmQlGjbQX5CjuHXW6CqU1U16mGLWfPCIOm8zxtbnnHg11d42bLbLQoWkJCp2Pe8
oic47xEploH3Jdv8SLDe1bjf6mC672AN3NduknMBYiXcq7Wd3+VikhpN/7adFE/MDXBHwOnBMD3X
ZOMD9uzB7UjWsasIXmRh5ZbcMVsjY2ZU8BVUMQitk6fJJnjhB4cavMwMpHZ26iix2bILMRuhX/Ke
y+q0BrK+h/rTn4PEj6/9oj7wOzUEaBG96gEVTGuy9ux4CziRykgc+STjbyaozFr0zRreAkEyLyK2
dj40cU+SgjdRdpNUk2J7Hg4jPw4NkyX85WTLLXz4kvFtyPJ2W7jNB1KN5ykAh3DjgznDs07DdVEn
5PlgQEVORev1mMzDHXFJ8JCNXMgidaqZdg2X6rGthR2Q9Jp8czOIbhJloEYKXrCqouCQWa23R48A
g2kOl9IjLPnspn7q8NQmZMeOHbQC1RdRhsqloIOp7C1UnFYjmRfVz2u2Tb6Ywj49AWarkMyLUCLe
LBAIllcq0JUq7CNKLjRF4VSPwJ2u7JJmRxq7cGyfN+Kr2ObezSE3xxibXXjNEjgVh7n3oyobq6l5
4kHdIUcZ1z1XuQqquu+KAMmMJ0FA8+Rxk/QPk4+C7bCiAW6LMJvj8IRgnRuLWMFfuM16bKclMNut
nKC4Hdt4EQWC9d1xCbzT7V3vg5RvBI9/DN1QQj8augs9hiDecLcsScuW0qdt2scQ/vWE94HBdi1M
5ONhl0Smb05dA9c4H0bIz8W2uHnMyeBhSGWm7a5GkVDE51a63nYC8m3ZOuGuEJqMWJki75lBqkPk
8LqrlYRNaijyX/EKVz5d4uUcUO6yYmirBOGmpCOQCKElvkYyUF+WozQhSvr4ME1VRHa1bWITFyjh
mmAqwAwAkVvzrEkffZBMGQozw7zoC+ykC35gCgPhxHdsQjNLd43sZU7rOXJ81w1ZlDU7GbuJ0tso
sKl5gck8VFftzJKP2tpv29bUL3Ujv9Vc0jZHmzA8rWBOdhWr1CHE4YF8l0kVbLlsu+mRNj0rIsze
NooXcpabzDPA3jIfBjo8qbFPS6VSnxsETbC/2mX4vtTVts+mHvZi7apbOJ8sLCKn17nccNgk91w3
5CkD2KRKYaFBYT1gweTg9NavaJLdg5xHzXY6y+qTnsbpycx6qXfG1ba6hpqNUFYwOH49TO1cxuPc
77u5ok9jF0Y7vjTTTVfR4DbuXHITS5ipU61hqnO0RWUcV/ZjNJk5bC6O+zzMcAiXIbez3skonc7g
GtflWqq1yrleQ1fMXd0iG6uR+OHRUIFEB6hprnWKm0OsLIietgrjPyr48fOhhe9XKryUa775Tp1x
yuPwF2nXl6JFfYFLqB5x6oi9yXhamFE2r62oo29QBN0eMBE/TCEf9pnM2vugDVVhh7R5C8fhpW9B
qNVo3PZZXLXv0xovE+Jl0/ROwkodTUwql1fKtawQEG2PlYxx03UI5V04W6AJJ3ct2pKjXSPxvWtI
9q2r6uiti8h6snCUSyrn6ZpAyn6FKRB3lz3NyZy04XybVhVB3YrN8bIIk+9Jd2nS/ThcTm0X68/J
skDs+hRB0xwi95Rej3QUU6GVcAs8sG2CiJmtbVSQHvtIngaipbe91PFngyRul8c9riFv+6xhRYe/
W0CWw5povET8NDVxVqKFt71CrdXVx0FOy28SXVtTdJKQ8BsO3lXlPGCrvQqWLi0X2QZXYqbxy4Vn
2Eeb7UwufCDvKHXtp7FM4nhA57mfTAVKa6ooOcFSVDfSA3bJVY2S5uS0kZ9dvDhRaMifNhe2d9+X
xeNdwUuJPs1IqKtfFm4acsKttbuxteQI8bwGyiWQvLu64Kw/EqCt1X7ImuUm8ejf8gDlyFL21RzQ
XTAPSA6EyHO+Lrrv3zNpXdFpohFhDObwbNYseoLrxzhoJdRwebqsTX9YUVQdsfuN687NTdOilOMo
PUGXBNOZNGsUFKa6EIJ+CKncKWnB34OUwSIqkmZAHrez+9qmsHgQSms7FGlqd2ljbVH5WcSoqQmy
s2+jNmN3F0/Rqkt0FRWyjFi80yYLFZm694cgjNsxuUsRnmR5F82CfPTAWYOxsAFzbbWHkde58LZr
pnTiBbptl8jcbM2gTZHhwKW+bOCrIUNskAlJfDlaXw3djWcVJJ1CGzRg8r63UK1I7hAW4WavjJzF
W113yVSXK14V2DtICZFR5dbNU7rsa9Rq47VBVHP4Xc/aWbprwGUN447O8ACfkMiGJ3SQALiWsVQ+
CcL2vjWyw/eAGKUWpgVhDW/CAgLH7f8YAp6FeI66HX3JZePoG1U0bp5+iciBvBghS88vkm0cVU7e
YMrIBSkAx3DxZ/AebtlXnVShSw/gvTe8b3OkuXg3EvnWJh8ZBLgAnW3VrimOCGzHy6tpICiw04KC
0p3Dloc+KUytzdwdNrhu+LZw5LVT+0mYGe1Q0n4xfrwhBre35ZiiFMcawURNhuqJLFSKdJcCoBXk
GBoz+wl8lFhQ46B3qOe9lKzFfhwsU9mBjrqNAZmhdJccO6bnAkUUSw5iyQbvJdRhZFlnUQD1Mv2a
7OrRJaLfyRUkEId2ME7stKH0YzukzdMK7pytuDR5lMw82WV+I8kBfuTwKpnpXwJQPwsmAiAUlycG
784OFMzwFY4dqixkaJAM3k2p5k1pFfgZl2/xDFN0S43/mdU5clHbe4i49gr6tDhNYUWKLk7NbRt5
P+wkGQCRWQ6DWgb9U8vdml3PKOGynIzSJ7kb1248qCUEXemYXEdEV2z3Jbew6rC1JkOVpzhHTbmQ
zT9qEawOBULQ71CBokOsWknpQaXJMpTVwNxnsFXOyzyq1zl6ZJ3oaImxYeN3FcJYz3Vr0RqMW2DR
jag2ai4TDJS+Mg3t7FcduIvigoo6Houta+o98mO2CvaDiRigoXjmY1GFyTTtEh/qq0hP2Xtv+wSC
ZVbF9VRAUBQUHWrm9XlgaWhKjNQwyxuQDOAcuZKg/wqwJrNFgRTF4J0gbp1rdN5Dnsyow28djECX
r6TLdlmX9seg1hMQe0MR0QLzJwcgJbE3umQj5bDKgqU5IP2ELyZzdZATMH9Xs+wRCjYQzD43gBRY
GxV/MEE44T43uU8j6e49vuwy4RXjuxbMx48AUBXEw1bWpwDbsP6G5nJtHrJ2UJeqi8TiChVMelRJ
RsUntkjiD8Qm7eO0kuoW+Gb9VasIT56tmwNGVyEk222bcLkU4frCHDX3q+ob3ALidXCts2HCbpoN
CFF0lD9GkA+zkrcIREcQLUS5gtn5bSUJ8o2008nVmLQIOq+KPs1VPe2XeAzfUqWjnGfgIxvVb0gO
6M3nSAf5M7KesShjoy0iT/0IcJ8Ly+11nSpQc3rcgKnW1epwuby/IBvohgs5Zj7ew7mC/xsSBB7L
2hKLrTdADkPkC6ZGmJzUekZRMHp9S4w0pzqOLCtDWstsD0BDPq8uW0BDLyPuEpRC9i1RDavzAQX4
3RxcKl6NoShjjpraizxFvh6YTDeLpsSB3oIIg1xyvw1QAHIM3JDprrMA/0oSDmK3zQ6/U1NgfsBZ
BllaIn9fdTPu4ko7pOipf8+wW9gbt4xKlv1s2aOmajH4OEpnNAQCKtCAADjpq/iGNX2XAV+q/JCr
qOI3QdDEn74X3dEFUt+DIWwLsGnxB7J1ZoT/kXFfCKpbVWRrInxpVt/qvFdsqXamEazH/qtIf9NG
saf7JV3pa1A10p2hXHUEYsA0+LyXQ/QuOEiMfAAgcp5AvoS7bKUeTQGPkbaYq5AOuyFqm+eOOrUW
ODdR1aE+LxuiZnZ5bundSlbI0CSeqjPrB/KG8StRnVvTvxM9TG9qmaa8ESO0R5CeALhqiyXfq/ca
sf4atZULigCVx60yCAlq6C7fxtoE1wqTB/pSiS67W8wyHReKmQroyLsTdAFMaalC9grFWGRYBnX6
KeON7FwS6kerfHzd6WmJi9ay9VKthQOQnhEST6Y1u9KkGdNy4wEKp0FwdxhpbPtHpHhFqSBulQpL
PSlmQs0O5Ut0M/qpAbO4Rm9N5d0brxYMXNEmRLCQdruB9dXvwJ3DMqHJ8sJQ7h+ipIo+J5DxbyF+
heaBw4NDFOENWSB26wAfHKRd8NYx8wFwermXJvRVzpYpjPAebPe8DjpUNFEyHHAeqBFthiYlywDN
4LdP6xyr3xCpj0rm0KjMGAO05a6JpteA9clT25BkKBKo+tdSjhEsOhCgHSHfvYH6r3adhB6kPnFA
dYMt4c0jXfWGjnYa5KNKNCaV3C1tM2OX14xdmCk1I5cNeMH5dpjhNcAIne4SD8THH9YYGZK4JFPo
luY6NM3QbtcAzP3yUgm30u90TKbuqp3YsCRFlahwCUpmabIqbF4dKBt4beA2WgwXScMSQGC0oWxk
oReF6lIVumtM1YGKmaexo/skGVf2LR3HBZvKLLve9djHaBPSEnUe+Iky8GldA7RJwH4Bk0YZD9rL
I6ONlwZ4fYIRQLaR049wDnymSxitAAh3GLfjuwZOqqg7UEyyxpiTuMAanGGD1G29hfODJWxBCyOI
S5V6ndiK8R4lDGKGvg9RJuHac9tO2kylXlOWRrtQEqPnT4ORJZHP8Vek8MU6JSjJ8g2jemZ7VSFE
2PICivXlTpK0Dnl/aGpns/k3E9RbTHNRsQ7/D4x+lrqbYNFomG9ar6s+LVzIWWb3/96e+6tDDtcQ
BAgmU12YA9jkyAj+1TWEVMaWEOmFH8MkL9km+4txIXRUMMp11iQGSJoNXYAAhmhh0f2HC/irvX25
AIACiJBibhZcQphCf70AQT2yUbXIvrpfFzD8Ik+GjvdYccEEX+yXU/rHcLE/ohW/RmT9eZ7Cn8cr
/L88zeEvI/j+PM2BIZj0p8XxT+Mcyh/9x/qhfvzz7/wxygHjUDHNLCEhS7KLvZUCt/lj0hn+VwY0
AbLbzxEPl4zbH6McMPUOyhGoVqAYFLnpS8Aflu1l0Blh/0iQ7qCgDCjmeMIe/m+mOSDG+jdjH+HN
FIQEyCbGYfL/nVzoWtu0EcDPKw+m921pl1FiAyMYpOS2AYNNMjUsezn7+36Kt4sMaoswzHgxVqHc
t0jdtvlGtuitEgZl0jh2KeKY4frDLellG2vaglWIC1ym1YwsuOCY/bckAPJOjJCAbbk+eBLCe3Yc
ahEeoriqBkqfWgxvODm3bOe+pQuSmSbcrrJZV9gjUe8d8YZiPtMEbQMgG0yZS++MYQjqBi5Ki7wJ
/LTA0faw4uLinCD2cp1torqeArU8jrxOjsAyvrXZHLyJfgie63lMUd668WB4XO+QRCO5ZFreoQpj
5eD0g2X1Fw063CQK5BxRkIck9t2e864pPSXAXwDyHMK6+11CGQNGzdErjeEGAw/znfboSeR+3vDp
jY0fUoRxc5EttwiBkdzE8YOI2HNlzS0qnDFv3Pi0zlt0civ8l74bbR5DwsA/htPkh1PC5Fs14Ajf
osUdO19/4ykksHmyeU/IQ+e7bzO1bZ5N05Nrg+29A/JcStI0Zcek2eM4tYUQY4El+OxItasyKJ4o
Vy6XAEee4k9DPiaHbMvCO9IFwX6x3fRUa96/YgZH8ho5Altj7JH3qSuCep05pKAxFqcJ0VVv8h7G
9IbdOzguwFM/piRSz5IvFrUOeveCyH4HBxHN+0qvMDAPk5voMt/h5FFvSceeUy0m+FRKHCLtYQxV
6DW2jEdXfE4ZRHD20mO6FJhGsr6gca6PCfJVWZHVeniIeWW+ByGo3wJmGXlYINWfBzE3ELXjxjHE
ezFeqW/GJxJEsBfUqJoynsij7he+R/gL5DFpUnjRaZS3woqy6QMLxc3N/KBmIjHcTUawhoRH5QBn
HNEDC4kwjpy5qUFkI/ykAvqSgfu9SYY0/JbgxmFuQqnG1DPU/BTPEiOcmIJBS5wPb1Y/U0whaEMM
/KHt4n+HzboFB6YgBP/uebbe9rFChVGPSbfrM0FUjgFQhRza6Bd68v83+n85XvlP43eQZf63O/3f
51b/nPXz65f+Z6uP/sEoLKaMJRE2elSb/7vV839kaRjDMs9+ja7EKfA/Qy1xQGCNgLtLs+gCOv7v
Xp+E/8BUU3KJkgI3R0dH/5u9/q9FA0VLieoto5hoCVwNNOnfGLXIprMNw3q6hiQLHL0ba3pH1CrP
yM2x/4CrXripP9FLPz8LDGGIZ8FxWv29QLE6hIjFovE6Q/dz3qyPzq0h/NXjCZzmeeO7Px26f1Qn
f46aXgqev30ewp6IV6Msi/95oIQKMK1IshCfN0AGBguNgRp567bovLiEXGPmSkp20B0i5P9E/Pzv
P/yv5eDPBwsiD8N+GL69y4SRv1ZjcxBqNyGvgEFmy/I19APswx4N98lHm3t01cZfqzj8T7f8Lx4x
xdMCootjDTkqLJs/Y7qLxlTFlWXDtRoid9/1zfIFUE1sEBGUu69D/19/YIqqA1wwPpFjJO/f51C0
FxgoBk111QTVdJMxyUrfLBwNHgm+IXaUvv/7xxr903PNMPo3ZdAyQFdyTGH96x16HYVbXV3QnMnN
HcYCVjq+2zZMl4Migth/AX0oQlM9JhdCN3qcLR1fR2Qa16JJu228ePfZ4+Lj2OQKsQ4wB7LRJxhi
7s3H7D+sAmD3f1+EGcUYDLz7Cb5NvOx/u95xwBCJdljMFc1gBz4HQ0yrG133IZJS04wiYq6j9Qhs
wfcX05lGz3gH/WOAbv8KjF+aHoXGSIEB1sZHDQomzZv0MicHY4cwiQDsyRmc1dAcwQH2iBsoG52H
GBYQrCi6RaWJdd3CohVAoHy8sb2kLjpDEgjUzmThdIPZWu4xWlJ3XwkObmlTdqKfDPKMR7Buc3YH
9DtubxSh7j7FLpGWoH07ftWGNvit7RsOLPoiy16rqkV4H3KBD+opjwEfRj+wSp2o8wijGd3tknCb
PLjRr6cxbHo4tBSqkeVJEuc/NwKFeXdw9qx298G6uHvezQBFXDXLd9PG8n1TIblOEVaaC2etfGcD
sfeh1pjuxOcN25eD4r1rI0U/gAC4x0n1KPMGW8l30izuMZiD6JkuhpViE/QDY1Xi8Xr03L2nUD5M
gQHCwLl0Rd2jSRTuVHYJAmG9xgeCF6xeY/geqjRspR+9wXNkm8VzU0n0bDi+tI3N/BUVGv1Ig9Q9
ChRGO3AVlOz9JBZWcBc0MteIoD3+WqtNWxNTNCgMza3onP7q2ykQeUJxs7HH4IWDXjEnBRIO2uwj
zyoxXCMCMw8L+nrOzG4BevZbA0PplUnspyXGdGZuN/gE68SOafIxaSbfmxq6aT0P/MS94q+yh4OU
J6PAykB6ISgSEBg3CmIKgpVycvcG04HX0qbIV8Au0PLduRb5snrqNkShMHyrzsE4ELglLSgpAG24
1xX6FGZDThjie3n+iVsoGAKWwEXJII+yoNHFjBFX558/A5l1LAYfttg3tuYqwL0+NBnqobXmfA8H
FwsYs3ZhniOvKq9AUlXVDeTVUBZWr6BKZ8f4IwESjSGywAFDyIQ9xnCeF4AqkuZsQD7uCXOQQ0hy
FWY72j0sUZ9XJLhMne1FFF6v0ZJZhzxkMDZHDd4jOPgQAzHKGVNfqkeIQLTPG3jjMh8bzJ44xQjG
vCNatn5ZoBq2WDHiVdyvPojX3zQef3PQ42gPOsZMjnwLuykPAMTCgUdMBUMCKJ6zfpakahAP9BCG
Ru4xzaEvMJ/EXSOxmOxhp5AzBVlaWLteVdy7mwUTk59TxDqLRlZQXREXPieAgwooCtGbDuO5lEj2
54t30R1mWi6PazPrOl8qS78tSKElWF96xbA8LtyNBWt7lbCpHnI4PhMs7Wk7M2XqLyg20TmFNHgc
RZOeZTjyCq5b4k/RuA74wl0APX8Db3IY5bZ8cQGtqwR9UIsSi5sfkwpDEEo4m0CPoyyrXsmI0HsZ
BckLBjkFmGM5f4wRUJq2B0p+NSOUZ/GDBIsO1hWWlO+o/moi/EuOfdk94pjDWo6rsRFXaVDhlN5Q
+Xu9yHcaLfx18A08t6xmw2UgpnWPm2uqVwcr8yyTSL57fRGAMGjjw02sfm1pig1zirvnFtbdb63C
3A1ktijGtYRQq0RGyDWTHL455yj2cYxOzymk3E20Y4kIUVLvIzIweqQAvflvm5bRt0EFwXa9Qdph
1wQSK1mLSGoMr4U3g7HMMSGfW21puoOlefxf3EjptsEoaP6cNc38f4McYdJB9gRWvsvARKzXlJjA
lgTG0V/YozEe7xyYArNH4Auzlv4KISU+noFG9An9A0IasyD5BKmFn5c4sdQLEvFx9cnZKhRC5bKa
9hubRJ/HdWcSeBFdcBp6YfDohkrmG0DzN5+x6UokI7vLGhKWLd6qA/BOTOn10PnfMdgBtYhcKDuR
VWCkbWTxtSJQr3aih368A+pTq7Ni2l970rIzWG/+qoBuQKHsU/0V9i0/0QojFPIu3bBoZoOVouuQ
lUheXZaSqcemrJspOmNGFfbSOUWUMG85/o4FFXRIl4af9IqvpugxGAb2hmlxTRlD6FjIBP+h6TDL
Onek5qe0l6DV67jDfg9Q48o3FvugpbXWB5Cn7ARoDTMKQWv3eYvDZChIxtw9hF68S3Sd+0PmcY5j
kL04kGpLPjbfYsP/uQVmjYGDjuDeZemvYd/cQ9yAuwJ3NzmtxoQHxKo3m6sl0F8jAX6UR0Th5I+3
mX5kPc5HDYlxLQcqelVi8EDflD2QV1QMHi3K4ddlRZgl1x/mpkUlUQUBjq8MjO/N3Ct1Zb1x94tF
7TvATdpFWz/6Y7zGmGGbGz8k7hbpafTloeLT+xrPsrmLqcVVi0HiXle74SNHJXz2mMC60zgtUmSR
B8wGqOcOEjMLLbL+tUvSo+lAJRZgLPxTFUz0PW0ibKxeBe1plcoBzf+X2FmyYWol9kUwDf0UhEdp
muB3zM3hgP1W7nJcM6ocEWT8NXYrlgXrFU7ymS/RM+wWHE+1cmO3V+CqNlyJuDxRSP+AmCnm9RZG
MooDU2GrekJrz05tCyp2MwNWXA8Q7IyZAugalngLAc9RLS/gCqNV+BoFHt4FnhNKyyfo2IF5siky
rLIQa1M37LHvMPAAR5UEeAZ3sZ692PtOBHUEzArVcn3AEDb6f9g7r6bIkbRt/yJtyKd0+JWjgAba
QLsTBe3kpZSUMqlf/14JPTtQzNKx3/Fu7M4G03RJlUo9+ZjbgH4m3ahsRGhy4J7lNqnqfAczEkRI
COgLGAE5iHAz+6JkHnfNWJomjZWhDAgsd7egOXRRFau84vF379uIyFJOmfV5seL8wgJdBUI44+hB
semYuvQu9CKsQzXOAd+jC+lFMT2ldwfSZEi20GnepREh3evT8eDYqcN0x2HEtizdeYv+AAJSlfO+
AYnfIkCv+g1j2hz1ATISFdblL3j+6JlPbXKM17Zm9NhN4KjaYd4SFX41fffLqvRNvPjzOfuaxAAI
2U2spH0T1HraTXa9DQddH5cxgHNCF+nDwsT+UHCI7oouA7wC4RA8q3+1uGPzjqfNudws1QUnX33m
1yWK1JaHrnod7tO4uhpLMHUeS3Vja5neSSscv/St6123U120Wy+1SSCX7qyKK8jeE3ND5z2ZH2NJ
Jm2/kB8PLjymxXnOGDQuwCI1TA+T6GgV68+gC3kgPgMHNBMDAMfw8OwK0q22Jrm1OIGHjR4nE0Ey
mwjBeUU0VEV7OXaudQ6WsZNXQ1mxSeuMaJOHPTtynRKefbIg9P1WlyhgbifS7t3rZZSpOp6VxhGN
CAERTrgOLYjTsn8FbR9z4smjDB6Sfvwe3E1vEt/Xr/Oi+olQBqZR4QSU/TC4TL36hDYKUF+NRavk
sWoAcW1GIZzbbugthjZQhy5Dgyy6eAiHr1/3RenPdYGCB7DuGE5RKT6/LiV5hZb6Io9LUYX3ykLU
qR6WajnMaF72+7Zu9PswzIjFyIaT5b5+9edkWWp//hPD3oIvGnITpwQyPRR0T8AHHlHMoQABJeve
ot/ZXhZiINqrFNcFGEk9ZYnJvJGyI7g/3ML/OnZ/6NjBRETK+m+a5ovZzCdN2GnSp6OZ33/nqQtN
YISs7dC1HfAW/27YwRr9l03zG9k9CNGm8/asX2czdAt95Ishy7Ihf89m6NcB3BKODamXIUjE2OYv
nfHfPaxXTWiev7h2ZAe2wwCdlqLPxvZMP+/JCwXo3MmDpJuvx/pHOlQ0ob89WY1/aJqdvLEvLnDy
xvaLV9Vy4QIRvf8sok6I7/PpGig96KrXLxWwkk+jECRumGvMsYwEcABV9qT5qHFOqQJASFdFUFEL
EgYtEHxMfOIIBdXg61AsafQ9axMmq2c2lai1IgIDWwu9Rc/u0vpHi26ISG/S0c+ASZ0lfWojlduM
P/PIjvL6zchkHs8X2/i/VI9eMBF1IIEH6fFb3SnII3jH0DZz3hZdi6GMLhIQI1vX+M1ED9YziMTA
st/Mkxcr8HJ1l5UfkJpKJ9Sb/AayB3pgjOk3Ocf1ADrKvejh89zppRoRkuxGQUjX1XxAjbby6kuh
AHQHS0jdBYpx/mrBqNyUVsphGSkX8RIR+N6Nbwm5XhYqzqwPMxBuv9l7E0oxlsSKo1BLQnbY58PZ
/6LGf3a4/LvPH9BNfLJ3XwSNp155p3/rr7Dh+P+i88ouNurNtO75wN8jXV7Vf/m8t0Z78GGsy0jh
rz6/S58fUm4EXxuh9Yee+F8zXTT9PT5QsFOpdGmc/zdxw3lOan4gozuc9Zx8no0GpX8SOBRqb9IU
S9fN7KHgPANt2rQe2lrbUszTu9AK9EWxTE25t+1SfVGtP92ROy0IhcRN9+nJ6v1DkDnt4toPVHwi
NZgFG6a1GbI8DWN+g/FQnI3Ttds1znVKX5Zmg2hBaC+TQupqmv3xi5jItjd9HZEVoZ7BmYkSF7ZD
USyaH7FS9g2fkYFUrCrnDsWByDnTYZD8dBACWw6v37F7kjE93DFSipzrSJ7YkXsSq/wcrDlKNeoa
qbs03YUI9t1NdP+9gxK6DVCoX5xilwtAzasIwbrp0vbOaoBVpNBTq35kyzA4ZO4y2FEVM5NVdUad
KXrMfvZpW2RvyzG+QOw7G3akNvHHIesuEfejPMHAILzKe4rPx/f9P0pjngZ7ZEsAIQgeRMjeQJfz
+WMQdGrhP1XDNbOQ+GObcnht/NJla8iG0nBecBWSiVN9fn0xzV57kn3SlSPPQ40jJpqbf5jbenKI
wV5IfTmkzXUTMYxBumy8hpGNGFySfXz9Sid54MOV6LozAAI5FHP4Pr+SbJC+6SBLXcO/9e/RrqQW
TlSk3U0ps73doaq19WwdtVuYlXP9p01jNsXzL8pGcQPXZzyCOcbp5VFOyEEEQcETdONxLBiD+xL/
1+oMPb1hD6Kz3Wj8Y7Kzuepm2JVlK34CCUcKMdb+myUE1L315gK6VgFl+g4akOvtskjrn5ISY8c8
rUbADk5lfwy8cB0fk8j/uD2clw8KKAphw2RI6Dz4JtF98qDscAyaIEisK4zj6vscJCS9fKtUjb/x
NDLTF3OWl9/oZEGeXTtUpkBp5VtwpeKXEuvabnWWCjB1xfQzR5voxxTITFy8/ogRHzldZeRd2UQh
aRaqnJQ1z+8y7KPcRmjMuyroQiRxtOPUXM+M8GYMQGEcUUbq7HdTrYMRE4FMwERo6NL28qzyJZLf
VVe/l9iMLBtRzemnuajbc9qMaiODTt5BfIx25ATJdmwL4+unPKYWSTE017O0BpCxgCjT1IkZs6xo
H2zdKauPEOSq926Rvk0hPC4bPPK6a5V0t8qtLY9Ck+zCybVLbPDHdd3Yc1S8qbIg+pLY0HGyMHLe
rODZ4u1sZ8AS2XT5uRUxINnMOlp3zhzgzFQs3+UAuXREtwkocK3EIRm68RzzBPcWZMOMpKiwnHyz
ZiWNPJRW4aQ0nfV1rCFGSzmA+YQhe+50cfUjnyQOY8Deyw8MghaxmQADXgBGGLeadQCe6cY3EMCW
PSDE7uA4izPtq0A4MDBnVCm3k5sl+3rwGJDI+CZLYP7u0NdSR44ad96irkd3Ronq81Lb2aXbx/JD
AMUAaE1huQdo7ut9FLb9frCXYj1MZZQeLFCS93Cl5l9oWshgiwIFnf4mdaf0sFBI83LM816n0xgd
+hYrqUp59ZFpH3T00O9bFhpK9KYYCgzvRDKj1dEGy7rxVZVsPWU1NQj8cp8a3Zp3s+f4u3zokT8o
2Enq4KkZINJCF/oNk8O1SlDb6VRdY8Nm2Is/MuwQ3fXLMFuLQYPHPaG8/e7qulBeDzllHKV9rUqF
SARsg249Qw9DJQgL5FT8hVu1H2x6FeeF9qhDR55BAsPOpqkF1yVC/jNJOA9VVc7dHmH71N72lXKS
m6wDNNAeSy3oOJBlxupNOCiPHTUnrUOnZeQsPIRWViQ3E69OmG475rJsOK8c6gPDjz7egKIEQ79f
oJttrSR2YgCeCWJhqIcktDizGKODw1wJZopDQlZwCJq0XrfRSvd727glNO06M3X8BBJnoBNpIcLV
pnn0yxonDNV2dusq1BSiMboOoHQmF40nlAiKbbMM3aqPg010g32YZgIdtWFishT3Q0OLrAprfWSq
V8tt4ILo3ool0NVZj4qqteWxup8sWdP0g99T1jv+Z1s3DHcsepaqaT4xqYrrc6+PVbUvMxW+X0fl
wZaGG+FcZnM2CGaUmZspqoVJNh84jL0LoKpueRgld7BvVZWu+8hZVhCmBZOwqzpCEGFv8ar0SG04
4wXD0KDaAXFKx51AckeC2jKVfYPJzvoT1HAcQohTkAXRk866c8fO/SPQTMY2qFF03i5v82S3jkkJ
zHnuZYzg7Fz4Ww+VsBVkebFal3SM/IMjEyjhIouF3Dt42rTnWe7M6Z6xToZ+Pb+3cWLw6GyfFPWk
hab6uoGAZn3tAWBrpA15j9xrZ8UKh/pi8i3vllrEHa9DGWuQaACVr4Kx4UhK0bDhL8SworwD6r9O
8wVqG6OxDkXU5TDMwZpfOipVt37hMjxdEvqikcPmRQkR4ZL9EK60VWGcmNaph/L6FqzvPkf99ks1
z2QWRVpMH8Dhzt9kn3lQ3eY0Yboc0HpqwAN6h6Bq0T9+mGFDJvT8dw/zcEdBGaMZisTyVqEau+CJ
Vxf5sYeTCTcadJd789AAbuzObM6i6Aaqo4H+2aJ9xq52N/NssrnhxlpI9M4lJ1j8EbQ0u7smSva7
yImX9lwNceK+LXpkEt67URP754tfMJpVizLJZ4ZVZ1Ay2d23c82l23alm7y4tVph+gvz5c34fSY+
cV8wBRjUNXyLsUMqkbEC49NtXE68OrJKy/xdgzgwLNiRrOBxtOq4qsluOsfXgNc9ibXceTb3y3hV
MzceNrk9dvA+bbChez11tLn5GZYy34gAAuvN5MmqqQGWePEFklw5ADr4QewL6MT3cwOpC3Jaod97
arGHS6YmDPZbiVDUh4jTgvGl7Vx3cdp98ekZgtrzs9y9YHgWj5f4eUBC0L3AQnNFCexMuiwr1Wqn
v5dVGbxdxgGeTgeGsPw0h3U6HOG/1r/QDzUxJO8YFVAHRN4+R16Elj4OR58sO6kP9SzTDt4zYU73
c/Y+R8bmEpJhEewCt3cRNqwCn+MocxkF4fKU7iu34TXBB9aLz/2mdfAIJCDri8hhS+2RLmCPFAFg
owMcumnPITN3l04/usD34kpNnLTeZJN64w3Yx+jCWJo0/WKNVe/8QKdED7iGOWJCBsHlo5baMeoW
M/JT55LHMm8tEPjodE+Tulq0gB02Dd0mEsPRr0GpH9fZqNZAMB7WM1mB6rtqwsV/YykYWPusa+rp
MkVoOttGwVBnt2QiTLYAGCBdI/Jh2mAGScMhnqeo4xTQ3Ycq7Zz8s9MyDJk2qCuU+k4qyPF8GIoO
+wyZ7/TCSuT8LUttUImVGMLyHMit824ZrGQ96xmp5/t8HdmkuasK7+1SVmtwXYfSMK/lZIdXvpMh
KcPYbR4wswUksJ8jMAJQRIXpTQxDhQujt/S7qUJh4QywA7u/9JdU7HQCq2ybSHjOn+DCOLdF1rPX
OOkM2iCth7dN3OAsNLoyRt60zmCsL+MX9KvnyNmU5STumJ4xT54Rq/LRzqii6X2X4JLF4c6O3svc
42lSOGAVnHuqbN+IXmbeW3dBm+AcMfmY77UsVnpV9paZiQ3wNZmw16O6qqqE++8RjD0MWQQud15s
+1x3Pu+9DkMB3iLJxNVDVvq//usf+q+oFVIE/Vsl70Un5f9V9zhuPO2+Pv6Nv7oobozJoUslTXlo
Gujk+n97HPoA0vGtC1yKcAOZ/91EMR6HeIWgtAfE0AscA0L73UQJjP2hHfOnKEUStDz/v2minBiA
m9uhGMK5gzjF9wSN/7zSgDSia2Y8/s/MXvFqruo1Yco9zzjowVtXhas/FshFq8OgaaNuhwG5xu9L
UklEzdug7dyDtAwxtET5qi1xfEvM9C2qymy5623cxPW292W4htBX0C+wtrD4On+CBo81L1lDMXLW
UVxLGKGpLa35jvkKAQAVsxQnIx/OLczhdbSD6MwbUqatmwXqPGyUal6sKDk0E0JH+VYPWYKj0pMH
+U9NnefVrgEAokxHi4n/0aJ0T1enHUKy/WENfqK/PYEGQnoBlt6m9z2vvIpT2GSocTl5U/9icJbr
W1xCjFmVi2wL36chr1nuXr+lh67M3wU4tySAfweCmhGcKy20kwcmCncBAt6nPxxAJ+WV9CEqXayI
zYP4yKwwR1imRlDPKYi50IqhkS6ypGCwJcYnKLYYExkxBlZxUdngV7P9mqTruFurhUexV2rN1o9Z
HyJEjxJ1ienkupYOv1bH/hB0SKIMSDf8oSp/3onyOd3NHoxjRgFODMzLdNWfFOX4eJPfAd3/ac+w
tj6gnGC17+sqade3r6+eqe6fLB4XAhZspmcBxzJEEPO8n1xI0+qO13BJfpj6G+URWSUlxsiuzRvO
GVv4N/PQGgtJum4VpjESHdbpPeqWeNG8fifP+xDmK3u485kxYmTq/NNxnuOlmrqoCH9MQ9SH14HU
BeV5TyktvIuUxDP4ky/gi0WmXwJuO/AY3DAnPTVWspzUQpREeN+rsesxqug0HRdMSKLVeB+8/u3M
Jny+zgQu+r8AsSHvvLBedPOmKmUeuD8WB3Ne/ydFD8Cg80SO7DtAomaJKx2O+Du9fuGXX5I9FJr/
uhG8oVM5ScwiQO4W5fAdQtwYrZtCmHM3ca2c1X39UietJPMIAay79L/phhG8T2c9BT4nJZqN9Y8B
xFEtjvQYmrsKRE6HejsmGqm8WeI1saGy5H1jXAWmDE+3YhAS0g04o2RJ0MZK6vhdUdDkBtY2NW71
ppzSPtLHcfbxHDu+ftMvHkwQOQHmlAhiOTb90ZPo4cTUTgtg2u+NVj13gc9EiWkb/WU8S9o6bD2o
+/R2/+SB5bx8MIaBBYALaWnfxRP1+ZuXWI69yD6wvlHJOy5VA9T1Eap+JDM6go5X0RM58pqU4h5N
OWbIOxiqNFS2uNm4022O1QEVBJ5Kq8Je1ynig9eELo7SIEMhLv1hlaLT19OYtgJ25zVhMBcx6Xx+
u0EKgqce+/ZbFuUopiINp9X6dkCmik21ajvV01k8kB1e44iS8zYNAEg4DJpQa4JlXPqp/s4GrItf
4WCm+hx/wHXABjv0Dn89BmCkI4kuwYIK7OcBlCjGX1hIlezUqVIDT8d4lHIMN54z8USyOjEh2hqw
DdU7lz5J9I5GlFq+rNqkEOifrAlr4QL4Icjba24MDlwfgNKMjSxqLG9l6Bf1z3AesdfeIMs+rG95
/ePgc5M3bM0emzLu0ZFF3KBSgSzCZxjUsmj2Izgg7AiVJ6bbqTceX0wyjb1Bht4LS5JlYcszg3aE
9AsKYDRRNQ1oaVRQ0aw3loCtXRTIOGhY12grDnPh8puhkxsBzBx58zo8C6YlU+8UegQcZrqD0aVQ
0AHBhsBFGnPpv4T9vdlczUq1DK895IS6L12Uo3uR+FOXX1Wg9SAkO8PSXGawe8eLEd0l9tKCxhNL
B9UJq7QIFBGHJf6v5sxEC9zlbZNRp+D7tn4jsSv4/QVgKj147wq0dYudbSfGmiawG7bfsKQmiP32
jaB0Mca5uZB0zLaD8bz56zM62YFP93JUGCmSXMwglo2XrQFrMHo5kqfHRWYER81QC6Pnx1X1S6DC
3iaAysYvzLPKyoum6kdcoJwsNk4VHkPV4peW8D6yjdSi4+sR6M12aWPFqeXRDmXTFElY1O8bFbQC
aQTPM9sF/SuXd2pCJ5Vdk2KDwTPzFpsPhI7rJOJAa6SMvAuLFrj+3lEIsobtMhVcPyAwOsmHqILA
WexWMUbVfJ6EzQT0JF0bk7sV1Fb8mQ7JFvkSRQyq+qqDQdHgFYTkHncs3IkosAdm+mAq7CZm//bg
hvlqaeR13nQRo0DBp7S6pYG5GwsACwVPHqAzeZjbKm5J8+35l/MIIrDY+TG093Abop6lv+uoQ9Z9
5+GG4R+nMDIu0UWdRyZvSyZgzNeDoR9/zkefH7axpw3BvfBjs8Yd2mrFr3GZ6XECeRFmz1WkgP6x
gG7D+qR2aLaoSa2nWxk1/LNzoooXWBSK2EDquJJlwI/jPacgX03wMF2Te3gFvXmlseTiQ3tmqTyJ
YCBvRIxCOt50K/ISOeB91uJ0qY+gmYaivjL6Jnxg1xvA0XYlFzO72suZY4Dsj1dso5eoQqRhV9i3
GI/n8bSDFCtMZMqqjCY0mr2HAC0wyZQPPqVvoytlMI8pQPT1baD1wvaPBgac/j6uZ5oQJAroWQH+
hM3XQ3tUVWdvQ7Qg8xuMvvIExYliNE+4yfG0dmDAi2GyzvPBrnJNc6ZT7bBdqmGwZoTJBsCBSCoO
PJvOj/I2uG8G7ILQ10QqIG0/xHWX+MgHDm28RNuQLuNc7QnEhJu98tIC7YhUjm0cb0by9gVvGBf8
6zHxmESl4BtKwmz4fWWYgMsCwVbznZHVK9ccH7hsybL0TdlmoyNgTMWD2Tw5ksbsRAU3UR5KVAb5
ycY5lT2U0L0s08t2bVf+rHMhCsDyCjDC+Th0Dau0q0ueR7NZbMsZu2vo/i4ht2i6kafUMF/gLIDH
OvNZcWebKDiy+OxcO8cVZzrYSs78JiVMx5+pPjFxqbShYL6LVWEyQoDYKeFJ+guQjUuVIbJ0PbGK
vAv01gY21NT1nm7PefrGEzSiL+Yfo2oASnyZLRZ+dlvfQb9ZHgiXHEcT6E5OeYQUJG9e5FfmkFVq
NL6XSxjkLWMFpjLEBx1lln+z2Br7MaTDaiDukmYcXylq+7ZHbN41KRYy+qX+Xkcd1cjvOoSobxZn
hvPbYm/bE1Vxo8+K2bPO8WRckVgEIJDuumRukr2P9Gv3IXn0r2w5/PV+0rPgjkUxW6xSi00fL3Yx
rqTTxygfzQr+3tZ1Pps/0z5iANCEUcngzsPWMuF+QAVjNahWmzX2RB/384ZMNLV5P6005831o4Rx
zwaTPSGv3ZywuxtidB+AXK6OxvKlmav+g10v1e0zL8GwkVPJbHAa5feXhoJ01fPua07MXQ//yUsQ
3ZHK3iCepCAsMaiVzebPvoIVxypChWpymH/0+g++gj5IbRfHs97S6gtIjfHf7oIFnaKFxnjlakCv
r5gMxvgI2f0hgRLfXj5aDUJfuZpt25GHp3aDaeGi35mLUImLQaMvsvkH00HmFcJoXQowQa9ZD2Ib
4zSgbwU2otss8QLr7aMNISIafdGCmxJadvuXboS+5Q/rR9WwqzcA6v/2JKxQ8GQ4ivJRui4bINwy
3MX/PwaFReAxfR2FbMXG9YYAFNd/YVPYRuXotjsnwEENFTKPhmd63bt8meLt7+zb1hX2u+/ntG4B
+c8t0w4w6LVXy+Bu1oGU/k4mc4+WWAvJlRwFrVbcOmkOzrwwGOaYXBPvgoIMqveWyRwrMYGEl7uL
TPrYc4DzOmRIOhIaasA/hJIcepCTHAoGKSlsCA8VlOhyhTVEShpk3cTREyDowimjmiB11zMtBJ95
GIPWZH8MlE3lIFBY4G61PxlX67Gr8/Bz0AwY1Z0h/CnK+AzSOL0GyfiAMBkMA5l9xPhBume+G5AF
QxowWXRMK5lYVkTARObLxJqTmTO8HgJ7j0piuHrH2Icb2B8blzrbOq/H2uaLkpcw3TJK2L0JiHXl
ckbPUEtJTWYdKxYIWSlzckbdvHCnPaM6rj3C/m+xmPODjj9DAGnhw4zHKmFmwHad+wdoZ+Jk6YuK
X3ELJ+aOGtrDTn8f9xgR5GeP/t+uGvvw24wxUXsIXTAObwDCTByLSkqTSzVSmJQli5VZI4UhnXJ+
jdagy3iHqDB6SRvOQ/oGGyGThbWN7T5g+YnhxiOgfWj3hJiRc0r9PsGg+LGOJZq2RLQwBuLSbBwv
sVhImfpF3J7pHL7Jr2q0WFjCDBg8uR3xrmT7/LUSa4ehJ0wNmtL0h5qMT2xr8O/+rnQaHaFMaOH7
k29zmzzgPciCJPhcofBUov9vHiMHpuN8pPwb1W3UJQvf2Csah2c0DhOctusmLac5e7siVZjEX6aS
wWl5RMUsredzn3R0ul0F4jkoTqzSNJ/6Hpx5dg5ryyQVtoLSMqOoq00hHyE+Gn6u6dc5C9wEtA/V
DpAPWUqKawHH5dRKRtdHW6bDFL1dVea2OeIKCEjDeFl98x54IFH4qhOzy+kWpo55RXCHMA2vpuj4
hWRCr+i+cCpK47xzzAbzEtwp3bPOFagTG3qOOV2zaUo5NMd2JlHdep4kC2QQbPJNFZr9mFRFQWZt
swLFr2QVDT/w781vk5Wg8jRXDFqinZNxXyjpZMKkhiVC6iaZ96S528fXo1QBSw3ToeWh9sPiqRrD
ClCUX1G4SnMgMwgEC97qjr1QbXNNTlAc/N43e7dq3Li5qmcnndQuxdCUqS8fgIz3rpqxQ8i3UK5q
rtWsPV/BllNumhUgaYpdPLWUfKmAc30/9bi41ZuhHKUiuOjZRw8f5mHZIHDtss9q2zVFYCEDKjYb
eWUeyODHpJcUnjxnJC5XfenNLvUTSjIag+fFZbp6P2UOvJpt8pj5QIGayDWGNoKrg/wV0w4NG/ih
Io7WBqmJw5KmNtVXk3YeP6XULExXLNTqv3vIe6xvGRzZwI0ymVGOILmBMdgxQvVlvA3XCobZ1pod
1t/KYlN0A5UzWVi/OKbIFzHYBLVJZcv+SIYk5ampmoYudgiRxSA9h2vdkKOgw4/VMUkIMWB1Omre
807IZoYcOtVspxCEEB/UJ6sJlZKYHB6lCFDJ2iPiyNY/OsjtU6rggKi/P756zVSZ1Kqy6hj3DEOE
GrqdmnBJYGPgt8BtMip8mKmC7JubG9tflobhYLqaijuILcVCzogh84rD4UvlVRiWPsmrnov0DIv1
ZXwXLmLFI2HEEOEYAR4CrzZCmMN92FsQqhSHkEEfHxP7qidWFV1jMlEDIybOzI9V41Iy9s3Ou2Ji
Rn5Fwj9C46Rz5VZ7FN5MFfhYWFTJam66xVNQA97ogBNKWK4rFa+P0h4bnSLJZvfPWdPwSHNnNLfO
GJ6TcL9ALFNqby3IglwJSXOEX1w1OwrTUROwFI/RAmmJJ2X+IK47rEwGMg83a69dTIWuHyNHzHSZ
NUQ9wezK17tG/9AziugJAjoCfRg4pw3WCE4m4o7V/G1JlKkz4SyBf9ohwt5V2HWOPd/3D5c87arR
poKXEUDP8I0gx6k4gsZ6JMLkWH0LQgR0flWPW6NCgIij6/Vv9/JSABxdIzrBwIjRlIGsPWmduzCu
AX177Td0rk18akPfm0gKCdbErtev9dANfNo/dmgdC8cLXMCc4cup1MCcuTJSdd8Wrx4pZFCTQ3Rk
Gyg/4zVkEmscGFdkXMv7sfEDRtUjCm1RtZXKpe6mC2EmGzElr4k9j5H59+yjQfzTpEgiGDgTRNjN
/PT67b9YKvzgoTSgC+JRjsOaeb5US49kUYoY3T2C+wv3wQFlykIOV0qo1y/1Ys95NIZjRkFMgiDV
nPa7SaNyFx9KeR9nkTfqY6KRrfzorMK8ImGSzn/ccqcjFIcHA7YWQDjTBNd1T/ZB3w1elNK/v8cf
2cQooDl0EcecyP4+dWNzZiUxJuMkE5qff1aImfQ3RLs6OH/9u58uM1PTABKWmaryusHGer7Mc6MW
ZAJS7ys9CepmnWFz+j1qEBv7kyvY6Sq7gWfzbcEVczWaYyfN65LEEP20wvk6YlZVXilZmdI8L3yP
Qz5zTdb4+ld7jmJmaAKanLYzQ15EcQyU/vlXU0W0Ekx0D+aJOVG2x+bDhDmCoua5Jn2HdTEKU6nO
4q0og4yT8fUbeBDxePoGkmrBJrY95D8Qt4E89PwO8KDPKkeK5muXYbLc7JllreWerkcWF+gum7Rl
6jOTGoe+b+L376a4FSjT8qpDnICz8/lxceoiMC0eWv+at7iFBES1sFZRw5GAl20bIaELdjGCr+yU
2KEZ+VFzWMLmbSFbZgnsyGzjEZ3IRZQYaR45oIjmnPSNFt0ex0ogIOc5o2WQpC3GSFxmmAaTdlm9
K6hiDFyHZ4YjNbmNANLJx0v4atyWeGzQD6T2RE2slUzShH3CQ8bnwsuXRoqtIJLgbDyz/sif9HQm
3WmB5H+ZNSVt2deX/8WGQ1sFc8YAjoTrvdzaI5VFZtmr/oKEFyz8YyqVKYHiVZkM4HfL+vVLmrfl
2QMn1KLGzYwGXDlUypM9zqAM8vAQzV/iFCE9bz/mcVheBegylta1PdjcwcavILfKw+IkJim0UADi
X75+G6ffHIijbxM50QrkH9EpKaEJu2bmWWZfypb250Ve96q+c8sZMXp3UH+wAD2NIMb6UXh0ikJY
KRBdTjY52nppDgxt+DoZE9yPQSHMtigKaTKr17+Xoew9XV8+HeA5DkehYPLmwZt7/kKlQHSqqpnc
OzQk4PYntC9Vekhpo1Lp5mDyeBcYeNf8n6Bhw75cApSkKNaCPtpI2rq0YCh5zPxeYqdEHuqsvknU
85QKJRMEAYhlBdLlW3+xTBsgUmHLSzhFoWkTlzXTkdvJgnLfbCys/8BvppaZFDlTbeI1BUEJJxrZ
4VxXh6a1U/8RQvQf0fcn680a4Dbq2byn6MS+nJgGQKHiOhyXO8jo5mSGMW5eOWtu6dO9vt6Gnvh8
vQlggYANjGoUff3T/Ty34Mil4ye3kd8+XGsMaJ2WU2dS/ZFQTwh6nL1XgHRYhWZpTJf090/9NJoO
AZRpFjfwhelnUgtKIp0LFIuOglUWo7W+GXhVsYrJZV3OSDyOFEz7EqAzRSMOp5Qlvwd/TIvMEMmq
Cpd3Z40QTJwOU1ubB74GBVexHqbjoBHNhSeHDqjaWUbRlvHjowO9mAj87U6hfWQqo8cRGm8kexeO
vymek4Quh7fRTj3TAnl9SaPnj88wm5jk29i3Ys6L6ah9soU7vsEU2TL5jhOB+IwpbYBCN+PRY4jY
ok+PP8N0wF9ifAvwft5JP2mOtVtWH6c0hxfUoM/P0DT18KnQ0bCB397dJdSvw9tqGaZsm0WTe8zj
4l3dCPv7JP1BbsIepvuWWU54MwXocWV2PlxxImUr1Xo2lTtrKLxPK3Pk6SLBaynYyCq2/R1dw/Kj
tVooNaoKBZUtyLu3PqdSefAry7sSup92Supuz0y8+pgxw7+oKpcpQWHEPDhEZkZ4yqm+gpoILjWC
7pC9EeUCpS17cetyPt9LRDkClPHDjBaGUdDAB6K5nYU3fsyRVgQHZVt+s7Po232BCoUYkiX7D6E/
DKRFyXgslhFHQIYUctswL1pAO8e5tRn9errAV34PWn+iYZMVxacRpTu65slYoqTQt7crSvE70k8L
nU7L8rconr7zlba/YSQ8fHXE6t9lY4AS0xLWl6UAKolCeH75+o54HqzZEIyVCWaQ+pjpkyicbIiW
9o/ogrT5wfNC2wphm3IfVq1CmLS3w7vXL/b8hX68mAAoZ455crjTjAStEVK7Pm5+hLaowQgt9q3T
SBdga11eTb43Uv+lbf2OESEUwNev/WLnP3xNsDqMbAjip7CJMRjiFq2K+kfXGEyrV8lyOdQefjh/
OCYePunvY/jhWxp9P/I+mD8eFrHPjwmg16WLtHr2w5lb3hnP5bjYtBQ8+W7JKvG+cevkfT4kltzY
VRDLnTfJvDpDmjncLZApCuQ6VXjTh3180eC+dcd5O5AnjZX6WNckLwCya7lxleO/s6ei+VWPSBU2
tGffTa52P8UFderGaR10qdBxufFqCIloz9Yh3ZuSWZwzxzTW+lj/KNpUbQtMkA9OGtj36H570Fli
7w+50Il1NEti0gDSINYFmWD3NCVwLDEsfqTXH/5oFh/njuzMa4vquKwL+ksxCvNWvOxGN8X4vkPq
4ggZM/iTXW9gVv7ZkxEGrGnwIA7AMYiTz5+MUyY144MMA5Nxxc6ravoS4Xa49buBKYnaTSClj6JW
Cz470Dne08Cvjy19qytoSHhcoC5u3axO6h89LOOYTyTx1xrnFdwkSusq1414oz19BqTdu6UHWt20
Fg9tEzIY09tVLYxdEBVPtkLG4j1p49QeUP3/pcMiv/aEzM9KOsXHPG3lTR2oSu3aZBi/6Sob7+zA
Ld9ZjfEYDRdnPniumnFP6PP0dq5itIsh4PAFsgVX20mljABE0RXZVnAmfvChob7JM+1/cuhqJxuG
DsHyh21v1u50bSHNUu6HVLPilLU50hLmuQssOhFbucbQovgIPlprVNEa+9qZqSX+cMUT9jC7Svwf
e+exHTfSZesnQi14M02kZ9JTdBMsiSLhTcAFAk/fH6j6b0tUtXirxz2ogUoUMwEEIs7ZZxvaLFi3
8JEW262PbpbkpRVtydH5mjWZfQQ200oSGpV2BlCZbRlE9Oz0Ttx+byy9uE/jqT+l0M+vCV21tn/e
Xd69SX69fEpNtk+y0THPNj6SAVtZOp0fV9UrvkJeQd9eR891O5OlJZD4rQQpNyAc5eLJhJ1iotZZ
4jr7BDrsGpwkCEIGnmWybmvXeyTPdVygXyD0SuuS89xNu72wrOnCHZL4EDtebK9qBLRy1SnDxGu3
0UuMIw0Uo345O81O47Zss7zXzgPXGPkB6WnosRJ1pSb8KNcZQaLbWHJ6h7WR5qeSMS8VpVWOMSKs
gqzRUWbMcO2suHdGWlNqke62N6fqkJQFOrLWKz2dlci4KHRB/a6sIK0YucKom1b1xFypdwtsf4l0
ac5lE3QdgcaNC6/WJ4boADmFzAAdH6cHwm/TRyKK+jc7NYne6saMqJo/P53f9x9WSgBpDuoavra/
4XqWKaHATjJ/RYmue4gYguwbLA+FXIJHRk/lfZ+7YUlm076pMSM2R7ljU372NX6Vu78vWHzQKZuR
0Ac22MCv+w9Mqa7sZq94jUpXDev3B4JANilOaUHakz6j+sALetgqF2lXg+DxKfHRg7FOZuPuk3vy
Dy/sYheyeGuYcC0/MnbncpBjTajCa+zp7q1wje7GLDRtvejEzzgXh4uhEP2xsavyUEyWcd5XHgfZ
u8fXojuHkFzJ8YTFlPUGc17gbyjS/PaTb/lbyYDUF/o8rzicaZrKD7dsLMlSCYQ9vIJ6i/gLlYXT
hSCJxPV1Okp9jDeZKXUzSdB+69RvyUwq7mqOzEbuLK/u7p2giE+6J/MvJqpWJiScAts2awtud5yh
Axal9vd6+z+dxSc6CyjgGMn8QWhxnuJ7OrTpz1KLv//R31oLP/iL3oTm0iSu06Ra/duuIiCBgB1t
8Q/mf/7HqEL/CyBj8YryeK9+DR9w/8IBmAOHHwB9xhnn32gsYFj/crw5+LRgSoVfhrPYXrAeP6zD
1nApk0ScHGdHx36CvW0pCOwsMtUKSub4pMelR2amU9+kjaouZhloMBJL3QirYMg2BvJTkgLyWW1a
c8ovE7/PSMHTCCUgSWs3Beg9e9iaKwxZGrF2/Mln1hKhqFxFufTgXDrJ2QiAcNJj8rtXNSxjeLf5
FU2wvyv1IEFVHXk7Oy/sPsQ+NFp3Q+6+43yHHIj+fOgU6k4SnzUsUKEOr4itNs+8qZbPOdtRvp68
iLkR/hdkQJr9fqwIeqyFbQPpERN2GPRveT7XX7288M/n3CJOsZ38fsMPIG8b3WmbRxMhQoy8443h
BmSSJ1GtHwwV2fu8NbUXjA7EG2VOcMlc2T/UUdlyXJqRwMWnMa7AcYYdqtj2xu5secxy6NsYVhCO
E1qZ+UrStx5mDho74kIt4gehSV3EjGTPumbWXio3XqrepjYv0NhVB5WKxzGYxE0mTXeX05h+gWjb
3wZBP+EFqM3tN/h/8WOr5XkQDg47iuvG2bBiLklWm18dikU+ibAgbQ+JE+ReaJpQBQQn6BCatnyA
Kk0O+FAV3wom2ljLIbExMGV7mfWBHR3IXJtj5wgXicTsaJ7PmqgYw8rxuq03Ma1bt+7iuKqrwWx5
nnH+iGiWMCzu0sBvK7Vua3ZkP5HBHYUtzG4ulMRfyAXRcMJwSdtnJMrtJhEVd3VlJw95nyY5Y73G
MjHUI1atxMvYIGvcIew0MRFaI7Ob8oNgIzwf7GDuGHnrRF4og2THZKY9hrmFZk522FUWs0X6EyGw
8o0kAGJiGnIUUmxqF/1gllRXqUsRaQvlneK2ntdMhIeV2frledPjn2hqlqFArKStrWpbES3r1E18
H3mz6a6CIba/CUqRBssLhyTBouWnqGL2czMj3Rs9O17XPi4sc+kE13GkklD62qZJyjFMsORzW+ci
JabwpfKs/KC3CE5lBuwFHjSonV0l09k89263zaDQfgnqLHrUSjfWjpFgjrMJKs/4LqTe4b2gy+Fm
hBwVQVnLjacexXsVxvD/ro2hEs+tIksvgOP3NW+tlmwF1ROcJxEl7G0rRxHZ+gHuoibyTFTKk72K
eqYYqyEyrHv0nMmZwCvh2+AKbPoMm0Ubepi87pu48sn00L1zSnGlH5iNB3ckfEJDUMR1k1+XLKlZ
sB/qrZ9U5Vf6luBLm9rfNF0uuSethf+Fq16dplXY4eBpUC0BuNVjFgNghUWb9R4Pq2qfes8GLlRe
1hDmVJPLro1DSRXqBKfEJNq06dtro6NgWYmU97nVCTZTfmtvfAKMOWs9dzWPROSReJmubUT4m1n2
4pjXBpHKOlEWs5VkPvfBznY1aZPZCjajF2pBo+9gu6Y35qg5uzrV82mtBX1kb2yv1Z/MPAk2s81m
Opp6o/CyJnECJ8KmOMTKEhe5vYTeBbXV3+ClYXNjvTJ7yNNMqJUwekuymUXDIYqnyid0STbPI5yy
dm9rPtWyHmAy6eiqu7Qh2r7UjleSV2hk45USSmNzmZNgVWsZ4c5YfY9bzU/EsyuVfEUTLJ+UXRnn
VpdGJQhO56uV5cDVCwPCSC8TFUREy5oNOv9ERocEV0YzpNu+jfOuWft5IM9o3knQKHIitirvaDeK
3qyqimt8dIo1WFp0yDBP2NSGLXYkz93FlTPsuiWyNwURGleEzrb44OaqCmFJuBuhT/N3KNZTCX3K
FevaGkoSw8lnWRW6n0HxNIpxOLML4eITZreySR9mLS6qvfJsUoUffZW7ublKWsvo+8dhwA7wEvGK
tsJA0r00MowVENa3N25Z6DeEVMekoBOo5vn5fBhjee/YVXUjyBW4GQxc3mG/ZtE91qbVI+bVaNQq
r5LHRMX5vY+og01K8lr5aVNdQcQtrwIPa/kuLpHVpLl9EcRlF9bjbKKIbomyNzjtwqlU6cVgEowq
fE+QL92V5QVhoXxdN9e2zJMTbgz4G686zjArA9/ZkzD4+vPUm+eOQ9IruuA+urXRYx2yNJd35M/5
SMbHKHm1Zk1dEgY+lLteE/VJYS1+QWx6cwsL1jvEXPgLpM8ZnlnrYNQihi0m7/NzbmdTHUKumvcx
DK5thkfxajL6YQMNYdhA6GE/wt5/PjP72cMKIanDUmZXohjalSNM6zKC+2GzyebRjZzJ9XEz8xzj
RQIuq9n2eNeG+iqevXS33M872H3GKcjmds924cHZaLVLxMijtTFN6VwXwZx8j3o73aeTJkkpEohy
WOm9Oiok8Ndm3sodxsLBYTSG7r6N6vJqNBBW8D5hYlcN0H6txiOxvpPxiAsLapd1n1Xgq4MViGtp
kYxIsqeFzwQGghsY6DrZ24V9OTB+OCfZZjp0HIzpCv+UiyrwX/Q6DV6MjtzAldM5AiJ+kTzrMsoP
Xa01oCGJ5mP5wFbD8ks4pO3CwoYdW8JtOmb5VRRQgjSeJ9d5b7hP8Lz8S5Ng5k0PplGtSJQ0oeVI
rB5glJlmfYs5/iMzc3waxgSTyjPRQdaGnOWbSTiWMnhKtSi/RafYiSuX+Wa3Z4okNPIf3dwh0dwQ
+gnKeco5Fhj4M6xUn6RNyMHPnSc7St22Il5P8CjUlnQdb9sErhfCanGjMIvlNTFNdXYGo6Yr90Ov
JY8OtID0K71IVeF7kOvOppVzGy920JOY3XNsaXAQ29UQbfThyJI12/zoYYWvdV9FND9R9k4Pea5V
L9k4mfdBP3h3hoiboxDpnSBGc1Naojx4omtCbxjLEB3DjVvMT2yAtM3J16x3n7xBDt+seonTtFuH
2AYHs7JAy/YkgRRXwiDFyC61Ew/HXPkEvh8qIgverNkZF72CyPOVFJaPldCQFns0Nv01nGamrwM2
hsyrWsLH7xhDtZtyNufrZKbeWfW1dErtR5v8f93TZ92Tbvu0Hf+zTP38a6uKr9X3X7qnH//o7+7p
PcLNo193UYJDZNJp+v8T4RaQ0KMzb3QQxUEA+u8uigg3DxIILCTbXeYA5LT9R6lueX9hWWvBFkGu
TDHy7yLcfkUcHD6ecbAO4IAmmyniO2HhJ/5RRY5BW6Kf3Hux4cwr2JlQa6dYfSkN4t1jclj/Feb/
/oEeJoUAHHxzRsQfmjZMy5Jem121JyqivYZKOIauK9PdTw/h6gfI93Oiz690mvdPYScE2LYdsjh+
A7d7ByBCEEq5Z/rOHm5O4jqvqRRTz242SCuKlcHJvrZFpi2F42dycugkv/am3NelBcbVD/yVP3xE
cjjMfXQ7Xr+vCxdTnEkm8xaxrr6HDu2fJjNpj1M2tcTXUUIReBpZKH7aJtWIhGc0dFujOY5pNn11
3uGdhju5Afven2W+ZTdb1EEIYGjCaJpwlmkyF+g7wkUgxLNOvYle5TfY4ufrGbLzPsG6P4wgZR3p
PgRhe0LtorGkt2hiA6cwkEYmtaB0815HL3LnWmZz0crcuDOJVr3qrSE6SrdrvvplmRKcXo/qLem4
orEqxvtiqNQOIVF1igzm622U+gYxnGZ1gmFSPzP2bp6MWOcfyinFUl9MJr2oG90EI7g+3UGDfQ23
Cke0GNzACCPftq0dvqlcpu515oboPfMOlyJ/TWucXDpirk7QXVpSO2OzWDVe2l7XTE/j1ehJhie9
5686N5nPZ2siEFAv5Ro5aXtEJiCuu7KPjvPgTTuXDfggeioeg4nyfaaX4z22Su4tT8fczJ1ubirT
KcKBE+NFQXcL4cKyhmSlsFOI6idCBXkyoqn0vSsD3iEUBJB/K/IADC3dC5GoNxgI6gucF/VF0RI9
uLXvn7BssA8ixnkeW8HuIXsPK6zr4FSWPnckyISdrexSgp27qHNwvC+aTUerSiM5mhvsIfKbxqVY
HozYDTOzbl9wJgmYIUAxCRGNzPGeoG88Zu1BvJBsr774Wq92LmXAoaZKvlAe3ieMSZGodWTbVxvd
7YpD0/mk0RG7u/ZsbdppRpTfxBI7FpdK/MLGcDYs4J++5rrSl7i+fEuBprNpGPVzOonxnrJhPif6
m19lJWpHjJa/1JHEH+AeeRFRMYWuJpxLHN/GkJAfc4NyNlj1QUJYQp6zFMekGl+hkSrY9aZ9Gds8
iWgMiG4nS502iejdddEM3Nc8bgg3CBymu1EGf2nS0mpdJ1F04+qReHECfT6vZKK+mLIkigSRyLpo
Rb7V8qr/jsWccZfaqVwncTFvDRIhQnwmqarQ3MHHYokW1TS+qparn3OFZ5qYeRK2W9PKGqz/Nh+b
pyL2omPR5U9S64ZjkrblZey/QZ5mxojRGQQGTNLMQ9I5z7qpxCNKzOE+hkuZrExS1HamXmPGYZNp
GXnja28jl2qwOD7w+WM4JTwo19P6bSTs5hK1io0BvnQuB1Qld1VK3M5AVMkzpGRWq5fP29aM6mer
dNRZZmnO7eQrv1kRe07ZWMn6awwfvgoZAKFRwuUGjyYuDj+ngqKw024Ila/6NTYg87n0VffQdFp+
o+re8FcYCqONxVPuOBUZxvtST/c9siMDueeU7pwpbV+aAsopqzbHx1glvnhkiBGcMh3p54aAE1wN
XTP2zQd6MSN3n8aa+cJL2g72U2pUxDntR2uu7H3azxoWxjoQwLkSElt9GVuDfWPlih7TntQXA9F4
WDN2oXlfNJkEwrlb1qGjr3oTMv4y62BrGqoLBI3mqmeFHW0tv+r1TrtGznGjOcOFXTYl1+4513Pr
sHd6k3VBhUa0Q3RRMilb6x4vEZqc5ADX4kvn2MZmKOgtBlt9S/2S8Opx+J4nZnnQqpjoZzs5JLOL
s5sxNKe6HCWWh8RSw3DvvzNjEJs47YgsF9G2kK1xnGaUKQYuWVgwOfE6buL0wp5tdU6LPmLuMkdH
N/OPWg7wmBaCAGpGD+IAulqsTW0iQFvH761M87HG86B4g0bcow5zKm83dDadu13dMPtMN9hIBmco
xAkQcDO5dRNeWJGVxlmqomkzEDp2mBUP0jRG/aBXpP6UXq1g/Fr+ppZEEDcW3t4j3gC7RPeaEPoY
gZNIYPdDbNxiFBZssTonF60ioWhjcu9fkDlJWMUiwGKunHmGqxgvrb3ZpJDfDRLI66g9oclAnWrq
wyGWAXlUBbw4jjD6aBV1L1Yth13sxJx5HOD+dkw45hZkZJPBZbuBl2Ss0EZ0WxwdkwnLNA3M1p+e
fYfYUmnl01mFLc5imJM/kf1ee6E7uWoXoFGXoecSPhc4PpNYCA5UiJa4pjrzt/YACH1o2F/1tWIT
STBaXagQDe/VuV10zRm94rypmasfzKnp1pBReKs6XD2ZJFY1K1D1hnNs3Hb6MksrC9sMcMzvqr0s
oBRo9dFo3flrg8fMAfvH+Y6s7zoOjS5g6u4EKK4idZXm1rweowE4p4T/4yLJYrnnZLPKGK4o7Nhr
r7NzigNlDKSWyHKlN/5WIDPZkAY3r8gRg/gfWNmj58YYculKbu1IjSsUntpWJCRPDHF5XRgaZ3mq
y0NK5ra1ssdxHWtxcF/4sbErUla8a9XJwR+naBPIyD5HH2OTvyK1G+bx/oUhZhpchmGENDhBYm+E
25avdiwuEvQ4pwAEAJWslC0DTEjH6xKa+XnD2OwAZuiR8ZK47VmBMxKhbZ6yV54jvWxlyqI7W1AL
P8yMTH9tyrIs1oit3WmtZ/p4gLIboN3T2t2AK/yTLIY0XaOQy052H3cvpZW5+rnR2eOMk2UFieIp
QK+ylwkyhpVeVx3+q0vSi5c447c6M2qsM+VSFzTimsjgYu0KcPaNP5bpmTYVGBMR4J55LL8yOcBQ
bU+B6Go7bCecztASOukeuCvqwgzd9SXxRel+Tqrmm9n4Whe2DSm/PBud/p0SCRMJzqHCmAGKu+oE
ucdhc276734aSbgh0qzzrZ53HDiIBdVbVRT+ulEaMWO5t7wDOWWCR3pytI4d8um8JCXBL2mcyzlN
tRsN7ITLhcuxHfIUP1qs+2ivKfKSte1OzbepGeYGAIGHZMyczihLxPFH8SVS07jLDNV9bzIvw/DC
ARhbQcbBe3BSytxQhrq3U47d2mopGIk+GW3CVhKzOGDGU52Kdp73tt7hqlZLNuMWH0c8Kk0RrROH
rBbA2Fq7IbQZHpdpYcZfUmlUjttcxPP7twgEyNUS/xEJsWzKc6neIG2DVAQe5UkghHHFNlh9txpE
wtgVuCOn9shWGS+OhWXL11Fdo3aJoQ33Sarz7Ayh+VWIQk3tYkYqZ7BzuP5hlOsYUv2upth6wmIa
Dy61lL+BWz95/VQczI5LIIjRuPPLSb35CioIRiD1pspScstS2amVIt7HBCO3ikNugtP8uYcxfp2z
Lk0MdimQliwIYRaTtqV3+6k3G2qrxuFT9HvghC4JmUo7l0iBzU3cy+iobIowaOPNpo+hiXmQtDZZ
51j7ua+fY1y7brTKEsfOGtUZAhYBwEgiDhlO0xdJlbv95MvSkP7ENfnxZX1jmaTjaI/D8ocvC9s9
90bN6vZaaumYvVbuLf4ZTqgbWXKpoc9fs/3zUI2RVZYjsV/rnA3HvJrqrxlR2fg6Unj8+Ut9cPVa
vhRkVQQcy5eCZ/Sx2YwHwXMhXXGPHk9YISIjRnD+IE6z1MYdWshkzXY4b5RlsdlHA1VL1tAwkv3C
q2GPOZMqWxytwp33Q+TU3yGFede+GzcbdK8EVGttLVaix2P5z9/8A4/mx+388fQhAC7ioF+ffWsG
eb2EQe9jzRRHZo4k8HmdV+FvL9rrYqlmZ4vYw5GX8rlTJKJXsuJFG3rn02b2H76MZ5k+4IXuByhj
Pg5anUEjcFtJzFSgEIXKS5tsI0pCCWs1sTullVzjDuK9QXUb9ykWBFvMiL76WfOAxSk+ng7lkubI
GL/nsj4fW9N+GklNPE9nKz/T9dJ6Nm2c7c6JTa/GszZJfDxPjHyt2ySfpxMvNDmU2T4OUudSN5Jm
004l9WpBTiUF5LytJkudYUEq160Y5LpedhiTuKUbLJ/cW83x1Fvpx7qDys5m9GV17LGu7VL3QpE+
DAMb2DIWpZEmp5PwxZwfAgVmtbZxyU78XqtP1SyuK5g47CnBUrbnFPQBFKOVrafuLYOnZmNOUXOR
Q40/ZQglt6MB5BCPyXiPgDDG+Nkxi+fWYgZ87IvZG084NcTcpBTzTG3q+mnjxHmikzVG2KG2t3Df
sNrQMXuts9dcUGXe15FtrDqxpIh7qC3jQ05Js47m5X9EFPTRWkeCitozRY4wrhwq7jOIu913co6m
htOYmr7VE5IKo2hJFYiroN5MbMI4h02U8t5k6IxxKfJpp/U93TdbrG93D3pGq2lWhhN2jla3YQmh
63xqadz8xG6+qWwgOy0lvm4Yqa70XPJ2zD0NBcZEw32fFs9eS/84T0bz5MvCStetIi7m/d4FufTT
44xJbsiho920mWkdDA6O69wa012UJyx8Et6LAxzi+uuktPqrrQxqQ7Mw8QSeeJ5W77dXdKLkJiPT
XQ2Spt8tqu6hKullpokUUqiU9XO/9HbIbQoG3P0oQxuLvnGlCkmK2RwTTtsRHJgxwlxRO3nXpdUO
97oxmBsUmvVXhyHQTrfpsBqD7nndVjMnQI+b9oOZASgJUTQXvQcXZxXZ7Gy4GPhrC9GLz5/t3gtr
RrIjntZDZTCw4C97fRYvdTVxV8oZlTrd4cpJ7XlfJZyJ+BuBypmSIwdfFY5Q7ALmraM8AKDSFI+S
HMWTIYFZuiYJTrHRtIT6IY93mSPsWg7QXUXuQMjcdrz3YWGueqnSnb8gQDAGm4syBx/C2BCEQFbz
m89bOm9Sf4ZZ7TKkmLzmWz+QKC91J740KjLSSkm4PaxSJ6y0pXBevvVkB4BY+M6wMOpieQaWLA7G
8qpOy1mj47i0bgBLnh1BauTUlhnse12aG9ToICNL85pOOg18MtniWsfZWYZ1RinyfhY3VQxDEqxH
neUYFcGdayW4juVyqxZQAv89dTbHrjqfRtC192VoTkAwLG+h76dBU+d2DOJh4dN4/Y74YP6F7yQj
49DF8wnSO11wURnpnuFoGRZoH05D5DrhOzygxRq3wRZ0tgCO3PoFyJtTRhF5AyAkk+QNhYs6n3nd
qsVDmWIEG00MEWLQK72Z8hvR2FAcKIAD+hRKsqH2pisxjIBz2EfNsAH14jDNXBEaHpIU45lXsA4k
EBzm7sB/TDBClAz1BssE4AyAO7mpSt6YeCqdSzN3nVsKHp2Bqjt2D6R7gwjOdi4eZ8sGKHN6KV6w
1TY3HWOpLxXGcXj8tMUB4uXSN9psa3T00fEdqdF8aguf46ZlHJbym0oTsIfk5GZjGXz8O37zfmBP
OdhtVSf2QdO1V12Hw8tQWOPxFSXFkuj0fPtjaaIM3iLiLw74MEc3zEarE8SQfC3Q4Z78vhOPtQGG
ZkC/bFbDUitLDM8uR5tOK4z1ns1dM7vvdRHUzxNWftg7ieCEnGPe1jLhFiaOaF/0yuKB5PlgbDra
J7zGKc9RvgenZT0zt2Mb7qK6Oyu6AkSSbDtq3rzln3Ogq7Nl0nuXLKg3NdJyCtCgPRs+S8Keh+77
IKL6a2JE8aU3NMBG+HKHCMBpANiJVgU5yARAcInv5a1PuMQ2zqv8ppTY2kC0Z0fyDPPu/WwweiDg
wY+TS48tH9wJEJWZvH0Jn9nhqJABUfeMHM+Fys072aoxDEocXt2aStimHSalPDPuGteCQTLwICG+
FwdV6NVptobq5JgUseXyDKA+NE9dJ1uMTOaa4hyL9Y1px+O9kpTJ+Gf4J70uzDutrNhs2cce6/cw
aLeIjuAXbvgOCcJgtg++2URHglPlOpsoQTp2k4ZBf5dvY9SCW1FPFEo9zU7Ji70Qh0BBaxSJodLH
+rkwNQBqCWaMYxutQk/hbCEVxu+7a1BSLIvnfZudPO4GyJE6a2s7fqCrV0SAmuXST3QTKFRrTVct
oM0XZpTzXoMqosIRsculp7O9JSPvUR5YnFpQRunxLNYaFuI3kwQvM4upTA/om8VRQlv66i1bJdYg
5qbNrfxyJlKMR5mS1BNrGFqIgPMhATLhnWxBp6veU+cQI407S3jDq1dF0465ZbGqKDatMA1oQpqi
br51JbSNlejm4pAxk0XLlCaXJtrPcXS4a/MS6WD6Ca8KbhkSBITkymqU4pGqJCMvdFJY/pL3GVC3
DE56ITWdTVYKyom6jqhm1ajW48ADVzACznMTSP39j+8vJqZUHDH4Z7UvjuRMbThUDhWE96vJ1NS2
JJF7VyPnwjyPCjf2HDYZpEDxpd14s4N2Kp3PMRimI5Oe2k5d/jbYc+1uko4G9h0o9rrm2TbpTOVS
BahJ0JI15jzsABK4YnnwikzuB98mjj1O1vMyiekBVDaD4/FheT34xz7q6/8bVf5IEvtkVGkgGfoj
0XNLYFD6/VdL7R//5j88T/0vfoWOKMcnHAOVLEOtvyeVvvcXQx93kc8sQjU60v9H+LSIOtSNADyJ
XwbrE+fs/4wqiTNzFmq1/y7sMN3A+TeEz9/aYZdjiP0XlVyA3PFjSxQj9Zz9ph72pjkgkSnygAEY
sfbByYYlQQPptBW7/EAVEaCo+6Qj4wJ/7m8dnTbSXBpcfVHx/ibQFyKegxFSy04O5rjxFLGxRmoW
a7qhcv/n5u8fPwr3AdgW9iJt/TAiba1sNAzEJgwaOGsL05C0LJRStInif3FV3MqlqzN46B8VWLMx
5Y2iMN29F/8TNkXrlrlO2E/e8InO8cNI9v0GQtJlCG6xKODs/trRQrYYcjwUe0DYCD2MMom1GNy3
aXTXVHcZ/AkLdm5EsDEJXPW/mzr//eH4Ji+rmIyaD+hET+B7ZEE13WlYr6yMbMIlBp7X6d8+OAeH
CojPzLVN9BIfPqWLfasbRTTsWsb6LWtzUZk5k/DGTdaUzDf//HEf+M9clGMSBLiIuOjOf5vdO2I0
rQTS0y5WLjyevH2ljX8jJLdcGUV5hpnk32Gx/59KY1gKfCIjFJOSzLARkn+Q0eEonknfqoddBisb
b0m6qEangfzzdS236b91O39/CiFRNCA48qM0+HWl2PA0q1zkw85ihE4ms3biIL5EVWOG8PKcH+fF
/3hN/3QXzZ8+7cNDQzcfC2zzhp0/SgPtNE3DSEhnk+XkHsJMXrV5/u3PF2h+YAe830cQMagdBBiw
INm3f0b2VJK7vpS8dkbi2pd2bRf3WC6hdalnfz/ASVoP4sYblR9C8uq+u/SPxwZob4DVuxuB8TfD
hNKolV7zMk1YtSnXDlYmKuXbuVVLf8JQIQeg+vP3/mA3/f5kFlsQcMnFoeC3Fed3sYs3LK9RKgcm
EDYeld5qmpxxo2mgfmlniLDxqTEt7t6GQst+1mcancHwmwuPaElcRuPgEiOc+JN3weGU+bhogKfA
SXnDHf5b/v4nsDQLCqK3nKKHJZhszAiHIHIQJwwd3Z55btx9mVKwK11Cgl+ji6+OU5W1yMxLxM7l
1I+rEV4bOZbZSqgK5JdApTXNO3NuBJBn8WC2CFtm7TBjrLEWY9+vsaJpiNFpg/uBNKX7fvQho2Jt
GrZwBLeQetCHWq2/Gerp2OcttoNaMYR95NDLF85ZYudfBul3kGoVnHp8QLZAQ+laav1lHVDVitSb
ASELa0UwRHTSE6U/aK1AClDlWhg56i1X1k3v9zlyhTjf9yi/L/nN1fbPT/33F8TnyS8qnsXi/zc3
JOgDzuDI5aF3yYWWIwgmM/dgpNPdMEdUcwNV6f/iE1H/u44OfPubDCpop9EP5rzftVF0YJKzKYz4
JajsU2sRPEakzuOfP+/3Axd4mN0GMRPANTPUX9cOJuEjRipDv8tUgYh3JHM+rqWFO0urPjlwf1+m
voPLr0kXDziNSvjXj4oHBpRovDgF/dE5qzVhHBh1ep/cwH/8FOBuyhSMdbiHv35KiZd22UtuoOa2
QAICzuEepYx/9ef79hEYZh/janwDByv8XLHX+fA5OSFihouScAe+Vq9BwbKtO5WEnnZVTVhO5+0m
i4WP/Q8Bgf4DGU272s7Tz7alD7OH969BCbMIyUmJ/k1KKERtz+nodTt7KryNFEGxJSWt39qyT/3Q
Yq5+MKopgEZfvxa19G7yPpOMl/XxvJxn60ga32eKc/MfvxO5ncRhEGiArdOvjyC2McyLEqvbVfFQ
oYZwNoE+kIhV9eIi6hosBIAQngpiwsJCwIIemlQtsk1zHfhVTVhc8VpAwbvI/QlSvXweEACFIu2b
W1UNELf61NmjP5DHShUXmt5/Vlz88wXQxjJ+Qh+OkOvXC4gM/DeVL7mpibqJW6/ZYkAXf0nYxcJG
eNk66gw9LBlIcWK15REfjq9+6t11rRschiaK8IVvxw3ZZMF1jRMojiHz6+xE1dHyk2BLlpdayzzT
OCv6AuhYNJ8cCR8UpstpxSjqpyv4sDolY12bGR8cOy2Lj9EcVEemIyhtNdjVacsmP8C+zjL9YNXA
K11jf6Yutf5xFaBrx00EgTtONb/eRB87Suxlhw75VtIDaxW+842y6sqzu2qFowZw1jg9IHNLXvAJ
7IcxDrPaTNa5BbtljFEb6R1G5jAsVjI1mPR75oDNKR+4m5wsCzHxN15VZRhsld4tupuNg8Pq2tWC
h8bHJt8YHf2kOVgRzjUysVG/dRUfxFiTbDlCKz9jd/5euvku3aBtUyG4+D9/uOUObnp5lLEhiKx4
qMgeHwHJtVlHQYXB9yd14j9s23AsmZW956H8Npbqityt2v9i7zyW5Eaybfsrz3qONgiHMnv9BoGQ
GZFaMJMTWLJIQit3ONTXv4VscatYvE3rO76TMpKVGQLC4eecvddm0Tlg3PkeEgrMUxv5hyCP8Rfv
tNYmf9yR8rXsNdKZISKa2x9u5i5OdOvHLleSTJ4KUmY+5egWaCDPVBPujD6Ptq0RXDG1+pWj/idP
X4TD0N0dwrhNNt5/vIJ6spnsODcVON35jUTiu8nvHkwRfy/9/gslr7f9xZq+nqI/fVcX6aoFVMj1
flzTkYioKSM+4EAZXj8wgLoBZ+1s5zolXmpYvpHE99Rk5bRN5pbNDbR5Om+JXAVTm3//UX56Ma36
XYS8PplcPzyWMxqJbjpw/44BFimzxfQkiFLdGBmaGTf9VXbQTx6ansnOEeYftTdF/h+PtEfATVIB
3D3Ms5wOSWvF0aKD9Bc14sfe/sfja9HJ4Eri8MLH+uPb5MpKsBi16kCNLCPENRjk6hzYQBwYpxGE
GhNDoaHbdLgDYoQJdANK8lcN3HPer9bIPxflAcYhdsswFX/Coxtn7S6pKvgwQ2/uyGAm+k4u13QW
EwyrFqhjVdWH1O+RORTa/MVt9UPWz8cKzboIWQZdlRf8iRTWo92wndqUh9kS6ZcWiLS7QS7U36rM
ckkw9hoPsJ3mBZhJhsxzBq8rXWRALb6pqoPDGo2khlwPqYO1zIa3b0Vu4qqv//5C/MlCE4Seh8/Z
JI8clsQfTxleGWhi6M4OZFzJPX3QYScU7H328tkvDslP3grZB2QEEsnNgDHTH98qyy3VdmRnHvol
rr4LTHv3S53ikzM883/wtVaBxErE417+06rW1mgG2wC3m2sjoA5dy2Og78dngOR0Ef/libj7+9X9
ezn+TxYx3om2CFtECCE/ugxswtDyRvNOaEOSbdzX7WOVdEwhTEXSwVSJDTSx+RfLx08PJfW1AP1h
IUD74awBMa4RFrvdYUbbGFXuhGk6r7D4moxY//33C92fPOjZaeCh8AmPx5yxrqq/Kz+DQjQ6gVN8
8ARzqT15RT059akYMeFWcc2YSOIuhvXTE4DiDCM6vF7qabdMvlPdV4HLzZU59BhPqPjLF7sdkGbL
ugjgupdMIzZkgqfvWHuMa0agLsJHEh2w9DGyBFXFV3Iif9WWw5R2R2s/OiaSCBcE8yFDZIpmUcgU
iFGRou7XNqHIpZjgjOVWNXk7J2xT+5VhY0aKUU6zBPEZFUx6nlIQmVuZFTJ9VmVjzeuMNHQPZAtX
YmeYrXVVLaRpHvC1D+rGrWodXIsegfK9p5jw7fm7MRLcKlUxAeAKi3pbF4NIrgMf0/UWvWUDwdXt
ysfBCL34StZGc7QkpLfNnEg82GGavVTKc8Rm0kQ8nfwExUSEO4+RP3DtOdlVWPvlJR8oJ7PIwxVc
Hhh2IW9mFjxPW7wKsXnGuB2b9B1Qo23byl03V1kQ2O8+qajzBpLlFC0Q7eQjYxIMfqQT5vPdiCj7
sc6E7Hez0YEHMhtkJDs9D4kGl5JOmCKBBOxFnQARE22yLJFCPnCoJY+oHZ5l2n+mgZSHKZAbPOdp
B36wrBonUiIdLJhorXusAn1Pn3evB7f9FLd2+VoagfnQ1x7h8VU+HVFjlOsY6lbjdKw7tZ+QQzzE
xAUOIiXhmcjmA/oZrHphUe0TPVwh+Roju1XveeGJjattdEH55IDWcr4Kxxh3A8m1fAbpHzxkbrtQ
ZN4B73mDxFRAaqxDDPyinb74PYMpoeccL+nwvnTgcQZngiA6YR3PyhfMRTvP8Lo7N6zkzjLr7K5w
xiXSZmadg6pMr52R80G1gH0xi1+mxXEPrmHdZ4AFNsQkxyekTUU05YVmU4FvueQpsVXKX+6LcsKc
IQDCksPFf4rbgu4S/nR8HNNkbxez6HYTjr9NnsZDVPhFdR6ddI2hCu6wkDyQhTztrDFI90SjLNFs
9HoLGsI+LGxdH+KkbD8TNmNe6tQPtviEIH2ZvfyOQaGOjH7ANUzD+uA3jXsC1A26nEnfyTEz+4RU
MECDBKvUmvaZ21r7wp1fK1N3JH7FR98Vj5meX0m+rqEUhzTqdPxaeUZCGGdRBadB+/V+MJBrwW59
KsJgnbOiiPGSJtiZ69wZQSrh83m4bFPqhodMGsNdx9D7QeHcReCsLj3GISQ7GP5mo/6murE9Bk6P
AxWH7rGuguG7UL0mgX7Ewb4tBnT1+AYblOQOpbltSqyamER7Eg4CqH82F8+nCh/atPU76ggepiwS
+NbHt5Zjf9MBi6I9EpOnUlgnE1YsMec9YQzWEpz5AyIibogdqHp3VpdgHpNRvc2p9BVWTjsWI3o1
Zcs3w3L2SIkImUfXNrYH37Cb3yCmF+3RKUpbb6tA+uhxMLIHF8PwgN4VBOegIJ4HF1QAlnVFk7Yj
1VtypDbw8Uuwj9XwRDbndGfDgXyKq7rITmPuyZ0bZghdR7TdRH6MC2kdNONSQpS+YBJhP0l/t8Ve
ZJZnJMnyN2SJibcrSUyKcjTuzmWaFNKuoYi/hzT3dcQuoKL4JuNqu8zB9Mycqfou21VsMVfK+ky+
udxSorm3YW23bwSuj1vyxedDz47lKZhF/jYoXmc2SsLBe6R9S0M9nYFgP9mCgTVdOMYg+Wqu6gfN
lZBiAH5Nk6D7DQlJsSdgpnv1Ozs75jJGEAVTvthns6k+uU2HPshvRlQGsYuNSC+Km+Nj5l6YDKUT
Dz0LcBTnRFAIFh9ayDuq0lDuUawN1bFqG36+zxAGrLo0ku3dDO9HmIxxFjWmQHUN08Q5tWRerdeg
MV4lYZ4+mlVabhpfanuvOJzGC3nofEWf5Kz0jIOCj4p6/QWzsR6vk5gRcxagXGxIxrpuesQHIhW8
qoPA9kMNNvQ2cgx2It2V16bpbT4yaKZ1Z0M0QWANUqTzdnVTLftFozkYm0lUB9/3k1tsUoMftW7q
3nIToX2NObs04VclfYiyIk3bLxJN4L1YpPWkMo53Bsz4ADhuPgQpB9WQYj4bXJr3rSvbL+5aYZI+
uLQDzDQm5hzZ7OhOCEs8Q093lmR23hKbeFkGhUQI1sErvLfVjuOj6rISuYbsphzWrq4QTqyKYx32
6ms4KvdWYGAnurAJk9spg/7Ffreq5q8L0NFgWq3cRKxsnNGK5wuoG7vdgshKIgNvTYewadXwBVqv
YuzGRAhize5t5jbxM86whHgE3Xz2Eg+upU6X1W60xNYGzqj66mpnlRAH6L6liYzc0GguK748nNIJ
oxiKF3zc2RGRNZN+00huddh56GsClx14bQZMLJyuPEnQfTHeLZo4W3z98RWCOn7gw62VJCOovHxh
XLvBAYIoMkCKN880rclGRtaVCDeK4xmRmOzXq1wDmmHmYruPGfzRF9Hgt8ZEyIcsXbN4CHrZvjvw
2R4Nwjew/OHsup29ComDErV8Lbtlugs8hVZvVVtl6+m2ZRxcgK3ED90qO7IKZA8ghdDrsclIYVBw
1IIc/pqZGPN3c2nQNU0C0SdN+/jBrnI8emaKlM4ZecVmKR7Ysk/PH2rKZRyEcbVIWuI7GHEzCB3a
fFGs0ZFu6LcoYoo9Y6yxuzV+zUoOOibKDBQa4N25ulutuvlUDQNitlRzJS1GJ1l6PcGVxpqV3pZF
3lgo95fmznBymrgDEUa0UhWKkRO+DDQ1oeq/N4QSoFQxoap21dh9NzA0vHxo3YZRWd+8Idc64tbr
7lktlu+Nnbcy8ux6LvCmuPobyeqoPWLi5I9G23JYPJ7k6mBi/pSblSb9tEAgewh7k9XM94ZvUxt0
98gaafx3+NN6lDlvUx5391YfJLf4dxB5hBgTMhU4J9axNZk94P6G8tB/6siRMO8lNBDW+KaAXU8A
IQcvcPxrauJ43xJSzSKGFZW+ae9oBsJO8HlRQX8TV20Cu6QcjoL8nFPHY/PioPjXG9h72R08zjWH
SKhn2Q4xzIn0ew+0cd+qtm238dA6X9wwcfeiLZeoFTOpms5UR+7geAcLbeCGiSapPECASdBwqvmB
kJ3pjk3IiIsSroZdJiIqjeaxD8X14LMkTqaJ8raXcjvqML/BZ3Bl6nS4yqtW8raFd2uOlXWT+tgP
PWfBPmBmxjWBc+0tIM340Yvt5hROmU5YdKsFrwrDxs5yzZOb9VfDPJcESOnh2kxGeakTv75K0nre
sNVnCxgy/qOF+h6SI3UiDW16KJrB+Qrb5arLTIslLeA/Dr6z2rMIM+zFGcO1+MR+G5OSOTVfwnGd
MzX9PqWzfELY5jMtw0hyHODOfwpICHkwEXrBRWqPXlN2W5SB6JSzrjkG4/JO/696KyoynnjmcJBs
QyQs9FQ4kT/PIo3yolCnwjCdzRAb5m1RiXavtGbwhUNuyw51vBNBYR6cPFePujM8lrowedCKN9Fu
7N9pEy8fjWl8Fn4s3gExeS+e6stjlvkvE25dpMarrshkK7epsrkBZzim17iPYwiK9il2FutLasbj
fggMAsVsa9kGmXa2I9Znur1pvxkLWoXJPHtnNhfiUy7cQ+1OzZ7biQW4yalOE68LD2EZht8H7MOf
ppa4l7AKF1QLlXhq0ynHAxmKPamf7rmKVfliub5/Pw+cJXdQU7f32RduZC+TXTJN7beFUROuuqTP
brqcy4BQZ0xaOJJalrUW+JSocpId21xGDBA2wOltAmQ8NvQiyd/zeSqukrE+9kVX5htXGJdmzqd7
ZMifeiyne27FfeYsORs112VD5uubSrjxM6EzbDOg6hQsgfmmDfrsITDlsi0qJzirOWP1gn6dumjw
Cke6t0SjNU2UYs5jaFEup3luhmvPNXjsVAF2SgT09VWbTPltmTtpg6lwwSgkiVbIQXnl3EbM0IZr
4nfz1zVm5OBaNOBprTU8sZaWlobODPDG4HsuM81sqjp/ADapZV6gQs3MBywdVzL3p2M8EOEbqGJN
wmnOqh59Vv2mZDg69hsigfoLfV9YYSo/WpMRvobMTKlz3iUhrVGFNjTqYMVGOSlAeFmH3nqdZiFP
GFi/WIv3jfTa7jM71vIz9JCGRUsZz37pGnvijpJd7+vqfvbYsZTo6xl6h/2C6JaIYLZD05Gk6iG7
MjAsChBZoJeOPi5snjFYhW8NHHtYQme/uaV90xCJHuQJ7ruyZBECcp1/rpDp3dtdUN0DHitKAiFZ
QKG4919LZZtfMKulX7vYXFbjJS/YoQK4cknre5yFHYyvkh0P5y2jyKlSr+QpYXjOqWwDnighmnKe
lvTOltKyNU1//lcTY6Vnf0xlWlSpuEqKSX2tiqb/qrSiiaBmXX0vxEqGVWB7PpOPan0piIYhmkbM
0x3W6PgzPBuKcBFnBkY8wpG/Gm6LV92GlenvlsKtH0tCkzlJ5BY3ez/pgeqKcKSjoaeUyyMl4RIk
aV02j6mnC5c9JmhWqNj8TthOpSTzLizcragJ9NzUztwX20HxKUETIZciudnmWyEM5k3zTNTqnC1u
T91o1oMFlawds2TP5pVXXgwChE5ipP24TUU4GwdjXrcAPRPSGI0lFpI8NcGvYl1k00pKIGfJWHjU
ReWk48+DHAA1J8Q2TJs4cavvtta8q+6c2dqOwgE2/HEw3QGKETpqx8oiyAEo03xrmZoN9URzAAAC
xa/zVBHRC+LQQ2WugeEAzMFnCc91VRZkFJjFVBxbiy7Qrd25E+l27gIkXfbNozuiqOAUMm+Nxrjj
+xH1Rj9EtmaRnxUqhuFQrXHw1+HQD98Hj97oRtuEZF17hpU+FfNgH2pd158qK/TvC+A7cdS2gfk0
pi1JuBNt+PhWaL700R5MPiO7cj51VsecPG+eaoP5XwMNgXPCvUvvH2AufRmO4mD0/PxSo87OqF6y
DR82vMxqUN+yXOXlIdSyY4ARrjAx8oDtKSpN7p8NXHkTowP9v6uRTEJAB03Pjs7FUJKfTE/SRJHM
VnIWl8wFUlQTgc7vkjw6RRV042Kzwu+ryF4InbxNB8fEHsUWsvRrGzI02sBnK4fi0JWNecVMmrBn
uNz3FVrlC1qm7GVZ0vF5tJFVf/QD/xeX8wsNKtf3OuL8V2t4+96//5+/q1dv3qtvf/vLSyaTrM5o
H//9X09f//aXf/zSf+FyeBjwOgz26MB9ON/+KUJ1/or8RPjUIa7LaHcNp/gHdRRejmB/ZpmY1Dxv
laj+S4TqeH/l1ZyA/raPIML2vP9EhEpcFp3c381vGNiEAGwI2kAEi5zxx/lNMHhN08yJdQyCuS7X
+i2IJPxUWFVzd8mQjUx1/HmuAxcXEvr+Z1O3ScQApjlnaaJvnIZubigHZ+/6pIPucEUFd/id2zNd
hJUaOdP8tETAlqx/igfQndGsu3cTh5fENMUBfoaeV7/YvUfyfDUyhhxsQ35lst6cmzRBDsvj9B2G
Fs+YyVbuO4UcP4ScK3whusT4VkzUeQXm0ukb7ezQz68yJcYbMrF3slKYVqb8bLLcBAdviAlecERC
G4Y6UdxodlEWefSN8WQIt+Wuh9exY9ScbPwOcruqsk5smedNN5ac8EcB+fxcQie1zwqBFIelsW0e
0mNyyXFQRVjhMF6ypW0AJYIT21udCVVQFV9EtdTnZGT9d4NFbF12+q/Er9Y714rF1kA7xGLtjC+2
nc9A4aHlnITSaNrbqgVfxmPvwDNanEwmZ289Zo+tVhMNG1MxXWfNhay4DJ3/0qqM3YXvsW/Y0SZk
VaKaoYMfh0mZRQQ+9PZtx4aq2xtAB55kF4h3TUgX8azl2L6JBPfKR500jZj26KNZHIu0Ca0nnmA8
aGZ7tJ4ID2DXU9KZWIuLEt+dhKtxoxCJ0SjpVas2TluXFS2Xgb0D+ghWNbReuNRH6HBnS5Y8mz/+
WFqMnqMYxIC36VjPUd6nFb/jOnPhX9rVSGYDKq1Idavil5wtdha5GjtTT8UKTDRlSkHGphu+BE3B
E6/u4/DF0kafbGQwNAOXJhYYm71J8ncTx+g3ekFVR+fHSXv3neczi7nAbpdtsMAv57BGmkn7y2rO
dmIVS5SLhS/0YZGwOynAshVkoV9hKuIDjFY3JTs/yTm61RAjgRlxqWwSUmGrLUBHJ98Gk1+KbeA3
nn0Tw9eN9wQimcmpX7Mz2VXm/dc8b6iniR+nS4odMOOId7I8EAm64tONGi/IxsORlG1EQOdlw+ON
PwdLD6p2ITtliSQGLUh79DpPH/XkNKWclkX17ZsHoTASlMN0GrVt3kFy8jDu846er0mo+NhjkSrL
tdkNNsc3H5MVvFj0q9jIhZUqRntYDlJa4t2cZxXgKZ2as2fK9q2jDBk2PN2Jn8pyV9zDtw13Bf7j
5pQ5mSQh1dOOE9HiW7fQTsnXmiu6ZGlcep9En8/Gy8enJIRbJ8dyFuzcHcvlw7q44hV9VYcKRZY1
LpYCuA+GsJHzXFRDtzwiCmNw0pTrKbXN9fgEOc3Dm34Om3PoqYbdRsPfwzljnxaEifI2RkPtCgSV
C4IYeSyiY8kKRZQBXM/KtOY90p3y+7KgRdjknrFeU5YNYyJxjaA6NFjtm7PPnAnJE/ke0eQXeLn6
0F6OIMLHB3Nks8r2vX2DDa6dyGxQi3Kd1sgKcR20lz7QUdO6AD9d2+jATdoq3OkKZ3E0S+XfMB1m
Zgle8YWT6aVbBE3WA32dnqRPCSSnF1rFhJ7b0+PAVXzIx6DaL2iqI3NI3Hud9eq3HDKus0GdA/0i
LKfHwDPYwdmSC9uWBMPQt2+g9ZvC4NuxESVcqCGDGTOTLJ2tG9bAbjlk2PkmsrGOI3ss+rU56BsL
8pCzEzGyqY2tCnFKEhpLUHs5vjOy9BeJAfziadwzvGE13o6WC411SOxkZ/QOhXUXkx8B26Cl2Zs5
B+xUaRpJnhj3tdXWDyUhsoyzinWbhJXMhqy7+HsDx9g34VcO8T1MBfIhsL6Wrr+8BImefAyZ4DI6
YMffHJC/T9p159OqUN8xa6J6zoxnmRvyJbWF2uJrwqRThkHGmB7OCtvu8mJN9ci/TfXeDCoCZBNz
+cY0DmgHzk91xkfq55vhA+tRrYQPmNHqDLYA7Acxn9ZJL7K4rlYqiPsBCIk/YCG4wvzLyqaQK0nE
/YCKLB+AkWnu5iuiCYObEvyIVRn2tMPJglqiCAZlXcqC1fx+EU56GszwAJ912i+DM2wVjqPrkYTB
TWHo+K4eJKvJDIaXNBH9YNXAUpPRSqI+VAv9JUJ4L22BZ/Y5bp3mZUwJqmcodpe6Q/cAeS3ZjImy
HmLL8h9rv8egpac+uO3wcRwzH3aUmaTma2KP01nEwdOS2N4nrRg6NZPbyIM71k3I/YHv7DhIJImM
y45TG1Z4vu07pSgOvapN3V1ppuZlbJYymuOuN+9Vuo5YYOrtylzS9MwdCfZm6LGFlKNZm6T5peNn
It4rQE1Cuzk9DJS5R1QkiI4NvIG7wenIomDG9WQzV37LCPFQPAod81bnQm8q02hPg+dwVUOu+Uwn
FNxNqfVNb5ufRxl0K7plhgs7Tq0XMQzrL8pb8u0gQvsRcYYgzSm37gvL678PYpKfZ6q67n3qzXK4
zzwZJ+A5l+KUlEWNgFC+2vMS36e4KbdgcFFvBNZ0oTZ3IqyZgNw87JHKMW6l7L0dpWmy9oGqb2U/
TpduyXJmTbN9n2f98BZkHn1sCuC7sA3dW+YMiU+gb1p1dPUwOfuwR6/h+dj4i7Vp3IuicUGc6XHH
4fIZo3rT1Sp0+YzkSEQwsZ9j3ZpXJL+8ULqiYaSo2KrcfLPs5JSPubqQPSVeR8hUNCuLWUYWYshd
bKTpWSWCeJ+ggebty2Og6VAUPtVIalqaVbNpJ3Eh5EPwDTET2ow+SuhPtu55+Bk3HiDbg5mlF0Dw
zdEurU9xjvYvKb1qI22gM0Cziq0HlWZrtUyQld2KXTp5sN+cMF62iegIYfV4hO8ZwpjTxrZb5z6g
9L8LQtk/NlLQbpQ18Y90FvqoWKa94ffDdSMplludPHtmZ53XAfbWWoEBCa3KPanq1WOWNwNh8Gw/
9mAAyE1i1qZ2rTmRrNV7LmM+laZ31SQd5knm/GRKOZxn5ayidX5xYLh5zQoEIGIC/7rtq/De6c3h
0NY65a+2aM8ORJCH1K1Ass+1GlHOr32IdGysKy1yzdTYM7cy9k6A+oNLQ3L1s6ko2TcAJl4YIbzm
TCQIqreQAibTkDwPbUjsulrl/Z1yGCeRJTSZiU0TJw32nvY4D2BqRo+0KzNc6EBpT6IrSF3uhAof
VDu53V5kmqdjmYZA4PyqPLSjCF7akC8+tJN8jPPG39Poi/Mdj8PxGBBZvSWbuCBXjFTJSVoPaezV
4B3zVDA2TNSZVopwNij69XmSgsQh22Y8z+9M1341pUG0som+km7gfQ9AX+8y7N04xcO+/A3Da3cE
3xbvynVr1VZKbsoB3PgirKrBdZ17u8zoWkBZQ4ZQItDXY2vZW2YtfTQPHYMsJP7nAjDVzYLN13nm
+Ub4al06CPyqEDB03mc0ggpiE3Q1Jd5DGRrOErkGXO4BK/UmqEfxpbBsM9mHXl1zA5nsBQuIHbcJ
D9lkKKcLTRG1mzW86ihXQXyv2AZc22XbsvLOTvLqVzCWQJjk7LFE+JZoq3lYEG23mypJ95h/5gvg
YveGZNQOFUjXGVvduESrN2V/nqyOeV2dMYBze/WUjtVVN3bnNlimbRfa3W0F0O43hgjAzvtOXqGC
jQ8yCV7YqNHQVpJOnRT3OSMVnPGAB4t9jmy9vGLsingmC5dl3iA0aHPQAnWD6ZgGDVJIE35SUZUJ
l49dDgyhKuZzteaAECR7KbQ0qt/mYVJ3Rjgvt0bKfGiXtJmrvwR9+9TqucYuIzMtYvuAIgXfDukM
hy51/IfGKj/BEZrSM4gRP76ginvvx7C9nlw2clnAtXDCah9znvO52AVFnq5xVQi3P2UVf5KIDFDN
3K35jLS+yo1krOy246clxUwnGGkl/l1it90dT79TX/EEHY+/q+R/IvL6Qa75AdtZte4E+ZKj82fY
Tjjq2U7Y1/pSitPoUIm6WWo/gZdj4CmtXzFe3R8EXryhAKXiMhf3QW78yX0AenzGQaIa5A4yvPQI
Jd4UC/N7YfTgruxG/5aWphA3yRBo5ySl58RzpMj2q67JrIDKanBj74hGFfK2koMF+I9J75W0rfBl
YDC+A/3PBlAsdcy2rfLUVzMxnZCCXvTLo+0Zsdx1UyGPmUbK30NufG/cYewfFRoptV96yyKuvvbo
kn1eqCcKyKYTBVsSuw57/YRapGDFeKp8pwVjBu2CS6b+DoOmfnTChB193yl+3rMZvpkVWfQXOle+
sa6dJgUW1Mr7BfCk2oc5hcMB5588zvygxFLWWt5BppY37RQZVG8ftXAF8fQ/ynpFe70KZQWdmgAd
Ic2ZH/SKBTvk2FNmc3TntV52s5zaAC4b5dq/v7rWF/p92+XjjVZzTkDvw7F/FEZCj2eijxv+WKYl
p7gFRbvr647zw70n3hUt8HXiMFGEYDZo3/7TdyeDPsAcFAgkDn/yj7YGgR8m+R1Hmbf2kzeODDi7
jCFhXcpjMxm8q9ejdYkMYKO/cl1aP9gFOchkVWM8DrEQOPgFfzjItElBGDKlOCqr5dWHMdHi2i86
+6nOoVxsUePz5QeGmuc+admjmgRWUfgxNCyPiZj+kVP1v+3NX7Q3bUyvCDv/+/bmdUY0mWpWeex/
9Tf/8Vv/NNnTqcSURe9wdczjLmUZ/Ud/M/T/imsYQDhmA4dph8d7/TNVKfwrsGycXKxzXAGuzyWg
Gt2nf/uLcICIh2uiOf5HmqJY8//f//2D+1X98PffK3UZRa1S1d/daSZRRXiKfQyeq6WfXir//3dS
VgdGTdUzejnXJjqJTlNPeMYWWFEMnNWa2h3RRRSEszMw557Wwnnntb3zbcJ8BR5oyWo2krO6hl8h
Qlr3Tr58oj8vxIvFYK7Yokv4kgR28kxLwI+yxHM/DVjQryGa9ndrRlO8z5ocWn6TGv51gtJCRJRz
IRF6eVocJcEIZz8HNEJw5H0pe+eLMYK3PJvMpgDQenZ/GXL4p89OEWv/opZuAalVeiMJK4Ihz9d8
mZFn2GqKPqY9IPT2ywy1cCnUvHWk6eDNcvQbt90IW1QzLUZzm6Ha6GSFDYrBi/sIELfyInJEm2LX
lnH2TH4gqpwUiFIks3zw6CqhQ/cZLT56QqMZpFg82FP+tezCeZcR1hAps8sokgfbPuR29jRDH7nz
CJrJj/yIcw10Mq62/QRDpa8dwqEkXuldbxnvUyGmTWDm1XiiAWKsKQnOjo0Pm60Bech2ScmPJcfF
UA+WWbrXQ8gkGKP4WneHYccqsYTxy1IF/mPru/GT7Gc7OKEnc4xtrlq3hI6DwJ1UnDh/HcB77AzH
9qOC7jzHoGUzraf6ygub8ty3PsdSV4TG2x4a2w2Y3vEMMioJIiNp052fsXXq6kRk5gE3gzxSIIIa
kjOdjX48zvm41Fsfo1TKQJGE+GCO46NoKvu1XRwEbYsylqewpCO46ZMRmYowzKBkzsDk5xmiMdPs
nWYwNBk7DF+EGh5svba0TlB86mpT5SWDwPdEwSDhzJVMl9wy3FVKRDaCuhsMaVSBJkJNL6ytUzYs
DwG79R040zIqimbMI0ZP7PiaroK4s9rBNSrBTbkYDppW14bzuyA/JXaLSaXhPxUToFPXPiVaXrtz
kG8WZId+1tyIbunItCowKSIF8wvE0V6hnglIup8QlG8kb7NPIEwQNza/Wea47H0/i/fxMD+alFpE
RKXpDlAmjZvKME+tixwQVbh9FRo1Raay1E4ZiLzZKGRXTPIoK4ImOxvlvJzMjlvT9kq6Q7P9ue4D
AMIWRTI1IK3OPh/2Dd2M/oosgvyksvGLRAt4JTORnDuanjgQK3MHyvTQMPJFGqz39Hg5PgZ04sog
m6kzyFZDCZdGSZp+cxdEihOpuWHcEDbdmeCVhKQ5RHICrEA9Jxd0FjyhYMNjFaMvmRmKeNwMiZrt
xpGQuXXHp8/POVWx3NAdak84FfU3GifzNkgdDg4327FbhXl+62zqZIG133WnenQfO6d8KILssljx
IZSaiDJ7eco80j5MFV4hIX9QIQQgMma2wHF3Sc7RT7wUM454Vl13CObpOreNCWCfnvayLfvdEC+K
JrV4WZU8m7Gu1NaqsGgKlFl2PXpbUOr6MTPq66CzLAKCIBDBhWQRzFDEr2qHvJqmDc94i06HLe6R
CtU7quU68kmj5tpqlUV5nXoHm0BKVH6hPgay/G3x52zT2WZ45bFcXmkE+fjBnfyGajCHroPimbvC
uk/S7n6gIDcCvhQRmjcT2U/v5bqaFTr2CbnOlXFuW1s8ZHbnXTVtn0acMKRK9J/e/C59NQ265qU9
fU+pD46JrzR4YMR2kARnyr84vNJz5uwUy/o9nUm2WwtWzyL3H2JP3o84iPYsE8iBc2P0KSC9/hPr
it7ayKWolpw+vyG0bIi6HmeyyYnam02nbzDspA/ORKKvnMyHRRr9VuTVGyQ8O8pDfTtPFbJ3xkRT
TvW41OpBecRL0WyhPW/m+9wpHD5eI95TkUFfTHk6MNyeCgvzQ94/0Qn39jZdyEeSlq9bhHbRZPX5
s2/kzy5MSdQqw7tawleiT0+QljyuY92Cti/psNnjHnLWiXygQ2jnMUexEze2lXSHMfj/1J1Xc+VI
ul1/ETrgkYhQ6AHmOB56V+QLgqYIIOETHr/+rjPqGfXMNZIipAc9zbSpahZ5kPhyf3uvrb5qZ3Vi
R239QR/MpzbB+oESCxwSS+x05XSzfpMZ1sOIil322QttTzit4Y3qCACYfC8uUv8dZ0R/2RuExeUs
bTVxJ3pr3+dyeVj40VVBO6XAkt1NvBdJavwqHeFGyvJ41DQb3cybqF2f4qmjv0aYA66jzmSXKAXb
CcqTQqD8WVispQDyMm7HrBkO3FVOU54Ue6BTeZj6WksZkLbjZVaGW+J7gZgh+uH4GO0vxm4IA0Oj
iZt10+37rMKvuXmquwa8TDMaptyYqw/xLZYs4WyO5yXnyl7P5bNhT4cadDbgHF6s0vdjEw2KRN8N
bIPqa1rqgy/WX5L6wnjiz+MubCdC2/Hyq2mFAKkqY0fiT5hh6jjbzQKlDqRl0rV4mzPjysmddLdq
GMT6MbXekmZsH4DdFLTmKiJGXJI5mabKqu9SbeoBZivIhQPvtZYKh8PaODIyDKMlpNKOZxMITZgj
lx180gtBYmnPmTZfXs9wSxsENk04N7PumS8aDW63etpOS2SvpY15a6U2/qGWmjj6fbGdlsl6thfE
AoQvLT1gR4eN6Xi49qk4N2YV2DZ54wPvWTNmI/FF+dudkXl5OOBneuid+m6mfD7sCu2+WrPxtljy
156iu924uM2p29xX0dvl05IXJ1MzhtjgjxeZ6AbvHK82y4c1+ZCboeLZSRRLA41Kr2bK9u4lRyQE
99CK4qkw76c3CoT6GEuvdp1Oc4GoNcyBP/Xixx2h0o9Oy2Ixs8qPRnjrozdj0itG8WYVkC+oqvBe
oK/llBm6emh6mXyC06gHy0xa1ffwiFvW0kSLfXmI+IHJAMo4jDgBd0/6fHmp6qu4kt+tKj5XXUPF
8OvpFYROrPtjdgMPzYnWiVe2x64YzmiusBVurbKDVlflVb9tDdy80WZGqNNrdk6Y4sAHwXu9UCn8
5kFUZge9VWTjPUh/cdg8t3vVNv/QDOvyRGrV3hnYCvMQ2ER+ptDiuyvEF6dzuetgHEejSsZnInlX
bm35+9aHBuFggozZvvKCwI+IbAluMIMKRGSkkeZNDfEubEynOxPkY/809Ou5smf/gIaJvTfrvsq0
MsJxKXPjrkXBfeSA7JfYGq1ScIVk37AnTtTv7MoueHn1Wv0GvcG6Sl10WCp/8xd9VtYK0LPEQqWB
DnmsMsv4rEvH/WQVCLJ+G1I/SOiH0oySgWHke25e2uY3UA4MwNPJGzctyEf94qO6TbioWDy3wJhw
cANHqZg8SJjneCtxKxngPq/USNspC8T0ESVwUNQOl2QBIIoqfzu65vzdJC46FuC4qBpaWgWABh6x
I5jBtkA74SW556d2ciRpHj8nWVM2iGqLPb5PBHyw7+D9rqnAiZwSEINKOt5/RUNtTQ31L8Fl0Aqj
PFhoxEGm5HSq9TlOlHUjM2k956CW9mXrCuwVVXMlB2B02Jse1y3blVOnHlQ22Xvd+KRli4FJQkSU
VfKMN5/K0Q5hVLMtSgMxCfeOCgRV1yflrnXsdYTmaz53+IB7VqGmcVkst2FuT5Eol47jJHdYL7ts
JNlKiq3I3md/OLsM+CzF+BaDyH1eGlDyYI6wMeTkkzD5RZIYWsRVBZvkoOHwTz08fFiUjk1jP/hz
Ze/BmX+V9fjctHj60aTuh+riHRwcQHwzBBTV0hBpYxW1WkddaySRIDtq5gvNEmhGZVU9L0OPLQqU
IzRSzUa1p8sT6TSUmUOzskkl+LmotmcqyZcd3R9+mGMM/C6UERmEce43eojipXRxCsNEcBeRPHtG
ee4yLCAKA2Q4dvUPwy+UxayPDblhFNWI5OIvvV1gle+2cqye0adzcoZjuuvs2o9tm2EHq6NDYkmW
1/S34BqYiaz5utPduCL51HuVRn6BJprNxXJPjam283vXCDG2MfUYrX+rt/KmXtbxxtSp9Gu6Gbcd
vpPM1tcbk6IPzRB6uLlE7LxpmjAhePMZd/l3w32DwoM3U2wfaUu7qdGPZ665K98MTBb4WxNRTPGm
afsy+6GgcAwMdK0zSJP20BXqDg8InRIZx2PWiRC6pb5rW663k6msvTVMexMPSoCZ+eoCKWJO0E96
IZ5BHVqBlW8fizd+JWP6SXCRz09j3Y/DtUdag8bFAR9inb4TO5nCEYgnNEkcppZ33nzxC+JdpHy/
2eMNbAIzBaSUwOgMtFo3zrbd3rPOXkON7VQ4kPhBh4d0fVMkzcx4pt2B958EMuOy8UqQCX9c3gSs
xbQ2261C9EfFJ/h9VXQxFjQXWsm8EjkyWSrMNqUdQFWrt7KRVRPnZD5veGUREFwaq2TAa5SHFUjV
9/Nw6SbWli6kV6fYy5ykW9iacKbDpkCVxQKDXX6eHC45bfc8j6I8TmCxj0zVxdH3snpvg/fZteuW
Xs366O7Qr55WtbFwafxbX4zyjn2t8ePk/Xi1Zbl7opVEsR9bi9NID8bOQa1/smtc/UKZH9zh5XVR
21zwU/1221IqYvsmPVuEbSkbN51r2GbUVRBd3VsNCHM5cVuaPFvbDcR7MVmlDAB1vZ9qy8Ysw9K7
6tjX5/2QRmgbGp5UnW6iUYRuKymBzMrk1jUG9+CV6yflMOzrTQ+waMl3jKH2uh5p/VRyPTpqog9z
nm7Y1TBW9JnHu9h/p6WNlZHwrEiSfgm01qkZgzBnk61h4PbpgeTZSYmf83GtaPMwcWEPixk2mPp3
GaU2R+bGo1fVMizLatpxXDkxp/nKj96p45KuIZm1t1ymxAMkGXvPVRjFxVrIoxW+f6FV68U1r2re
QizpKYjq/au6r0XQFhL2eOI5wVjgSZq4fiCKd1fe2uuBi+Z7wNRghIplSQDWX8fsQ0N931g/3UaD
j48n+XK3IAZ2Y3C6xwuQ7Tup+DE2BX4Rv6B9qyxnhFPNCNwmHwhaCe1qtuVdblYmltDqOnW9l0b4
/Z75mghoe+kyXZZdbej7dEbvKAeHu4yTrZfSC34rMZpBng+/t6a9d5vhem1JsKpL1TY0elQG7llg
B8IK4G0wD6wKEpC6gHRDHTs/XSV6csiaUmFlbh2GlvWEByoJx0sRhj4OnJGOoVjaTp+TJz9zzzkS
or8DLr4cc1b9EVfIK47oF2KC9c4m5M1Vi0+yQQHvMPXkNoxcv9mM0dyTskBG2Xjp2gMbitZ4WKV2
FJI638ktwq4jE8JFZ6tfO1tDNpkRnndshZ84Ox/MFYIOn+0hLtyZm5eYw1RxHRww0m4bsBkUgchI
cjpgcVkSFag/6wEYj0zxtjDN7tmZZeySre0Zzf3O23zany6rQqvXd0Pv4LBWSrohg7IGSt1byT16
8qmit1UY3U2/sUUU7gdGml1bfgwGeYxB/CgCQVxzczwhxibDvvKjTtahIVsZbd300w6qwMJbvGed
lsWdjQGub7WwMBs8JptAK9mkn0Z1jRaQGSTXOLXeZSPvVMYBHfajchegg7Z3W42TedKY6bHspaUZ
EOvoo6ljG9+PvMlbDGWBr7ckYPqlVlE2wNDpXDamxpUCpu2y8mMQK8pxh4qTnnhlOUGxGV7HG3rt
xjO+J7W3qSnyCSQRF8jLLrkDCaYPQdMbCj4F2RsCBZc60QE7pFv1u0qwgdoprZgVpqwMqY2NPk9h
1ZljvpO2b3REA/geOUmL5gCYXD+PnrA/ycfji6JBz+9RLIK/idD/t/X6/e/m4tLt/9vlN/5iuOCc
y4b//s9/iZj853/3Yu79p7+I6yEf1vvxt1offvdjyS/9Hzr05d/83/2Hfwrn/wsl3sIhzzrwP1fi
n34vH/1fVfg/f8WfKrxv/eHoPlK64btIhPRE/kOF5+i/sG5ZDvNU+BcL8j9UeKzEEPD4R3hlbTYy
PpyLP1V40/lDWIzK7IcAxF5E/P8jFd7+GynpLyo8urzDrsv3TEzNLAjNC7nlLyq8Pmja1DWNfpw7
U71OGi6Qvly/BLYLzg6tizPN6IOlaoglzuK679vpF2m/7rFttMdOVz1iDeFCXirbNWwKEJHw8pP9
1Mjsjg517WP0vCag7kbvDrZIKCxwHDPt72rPWa17284Ls2LIKA3vyFVSmDe+vekNFAg+yUwfxdZY
+5aXe3stWqV7oBXJV6NwFeQP4HnAcZU2wftUJ+nXzkp1z2DAB9rpPbbmBjeNxTXRtRJ/iD0CGP0u
w6/fngbu0zzLIA5hXAWLua5+nNN5YJy8ZjVfbNwTXYH5zmggiduYo/fC9FbnONK9pCeozzlHVLJq
BOcCwyumLsoah4aZOhHfqSvxZm4I/8TiFG/NyaWby8v1x2VjrxcNfAk9c1ZjXrEN3PpwdEkwJxLD
ZjgPHivdSZeSIZFmAsEMJw9VyqZxqfOBqwQS/UHSuhjPrGneSKvbAZjLjEB+/piSTOaHNcprPEhc
Ws35RTZ4+Wh+lIFR+emhmFMsxR3mh9d8yakhX6f86InlGnDHVTaP4ysdRTVrjP7OwiFCqGjiTjGl
7tewJOz+x/lto1GK+doPi8U6pkvxskwDsXTfkCfILJ9p3qjYSorxcePKGdSbxoHNt1Sz8MZxZZ73
vZd5O0EmBTTrw7TlL+jFP02ZD1dbzzjpF+nNlnVMLOPw1lT9qaLD71AMeRt5uRUtyKlBv7acsK1u
7FS33WVphe3ORFfAacptmvYCbpG/3bx2ryt3S+5mv3GD/mIh8kkyBz2wkQLTCARxWk6Wbbo1peVG
DPIL1aBUENrzlJ2poFfXYqA8AtCCfvSaPKcBhhTrCNyf60AnPnMYzftqcvJPiiuX06LWNaZJQ3tI
W3rGapn+pm+1uXW04dEZ8uWRjpByr7cV8WYo7QcEQ5d0mk4ksVkdpj1n3A0swI+cC9lOUc6zSysH
p1im+fvJnX83TlEdMSA0UcLZERTkhYjTLflnY+G+mFhEUBHHFsHXeUU1Da6xvh7QVDcEFSiEZWxo
TO7CXJ4MBwVFlcWLVibHbcNkWQEEor5Be3UAmQRWschT1jmMBa2d/1i86d7HzaMqbQiorwfKCoEY
6Me46sWZVNB45boDT/yIgS+ChKj9NANqBklwWIqk9gU8Hq7UsCHWatEOZqGPD6sxzd5jaRftHVQ0
ZqQuUflNC8hpZzW5IFOYeH1olKN86nFJhYNOcwpSa2Oeagi1ONIt0uURH6yCRmFaHseS8iU9maY7
Sa44nCY+Fql/UXbEsqzf7GF0PU49ez2NQ14f2AutMx5OPlpLqK0uaZ+OrxYBr5+HH6PrWDYBJWh3
KOJj9rPK3udZm/0LMkPv2vkGLmD/1jt8WkxuhqAUjInSwqz2q/2cC/h5nYbLzmz4kxVg6lfJfRB/
5YdcZkZq4uCxQ/SP2zUXEAYIKyZPAMWEUDxi0vZrMUhSUIK03JRS++CRemW6BRRLxDKuGH4HDY2Y
3FERYduXV7WWfye9UFFOA+JLpSTeaLd18mvoolj4qnGzos2ojLsOWaIrzQLmAh6Ec2uX9AX6ww5A
43TGmdo+kDfTHgu79z7MysmjtPC7cKt8JSn0y3iM58WkLpU2mR1Dh37tJmsDpGrooxRo7w0SdBPz
+9S7RtPXvbo8tZcG+ntqRCxKRlkSYrHI9l453ZVo6XG+9qiJOuXkycAk1omNViysbBTSr2/kEpyD
PVX+lzL7e4+7wxz0hTUdLDH8cmkQCqgj0WIEsqNNJUxEJYdlBYPRDj9JY9ux1AbtCv5YthPTaES1
ThS3bRbUVOggO2qOOA/EepPPgk4GDVTnmvtwaNbRi/J6QWvoJY8WPMR4AFi0z3x2ojqkj9CXEpSA
AVTsAlwR1nDtj5xabBPXgB0pn8RhqY9DYTuBOyuHZuX5YRQbVw0SEYCSKmJlY+MfOm6HUNj8o9Kn
S6J40ZkDfRxeLZZQHSGMq6SmRSS9mRirhsuBL8z+yc+lT+VPsUadXfpRP3RHX8M6qLT2BxT4c5V7
TbxhltrpfZuH84rvUEMRjjPkhR2e3YXWz+57otKhHJLxysDsyRLR6cLS9Opbk8nkbC78YGt9lbs5
H/Tj5jjuAdmTHpsWtxiV9zj/UtKkRC5W7m0S6zmmdYqT3fdt01dic54RZ8XwTttgceUA6wwMwkxc
ern+c1kyznwGenYQCK6UqfyMbunvlnZ7x11SMiT7nGWSGfY6ocvFxOd9uaj56WfVGnOolwNNTIWZ
hDCO+hvMkhMvd5M9oJ6+EXr9wZT526YRagcOfgmmxX6tFFThqug7uif5rTZlM79jrP5Ro80SqJdF
BJgBry1d2HeEEOW9bzbtURfmdp6Aue5mr3gfq0SPOEwbTu18ehUrehfXqkdco6wB0mUM6CzhXHfz
8tOsSVVX5tocR7tyd3Ly1rBmj7rrITWcTYO17rBu+A6s9bPPkE0mCI3BTCwnoEeyQKDuxAsF0Ru8
o77hG7rhGQpAuoIUmIuWL38aCvnGY18M19Q7i6fOuwDtMMY+IrQe6QTnnkqZ8v3Yl/OdMyTyzZPu
o0OAHs9hemObTX+wyI9Z9ADT8ef0qD5BBlHs2XeKOVwclxDmIGJ7S1zAsL2X8pOeZm6EXbUGuTv5
Rpg25rdT0+4VrfycA7M1mtvJYFGqgx07eIsj3uei199GffmSbTLcbrqlyfgizRwklo5bp3KnmGsc
q1pbb5GDuGPj358ugoHj8InQq4dO+M7DzMZdDzk1NUYMszVDx+7LH5YWAnBXL3Hcbp6uYxrxlLtv
W8PhkandAT9V72/EwGiRiNbUegSCewlE6Wew9/JX7/pEoFMYIDONopEk3RZ2qfVdur3zWLu5+WWk
ksvsZru4bXHzLcd2bmCu5EUmx2iB//Wll6KMwJD0j9usumPC4QkuUCOUWrt3m1tfAT4YvGjidbAc
DG2TfJzdyftOUo+lrNl7dC47+auDgH1tjLkTqWouY9hAbdg2LVd3hScYlI/VPCjLVnm48q24WQq2
DoGeNE7gDdiqo02JoYrwhq63tcjLfWoouUu8edgZVALFLV/XflCutseZmFQQs8r8ldOseOUVN/4q
6b54LOSQHHTp5UfdmZl4E7a4XT0hTrE8Jwu7ujMYeTOX69Wk4ZzwNxqGfO0SxcngecR0F/ons6OS
LqsWguwL8nrkTqkebwiv9wPWg1d06/Eb2+h0EH3js8mVw62dZuq5sRxkVq8nfBWRZIYacMmyMV1t
L/jKK+R8x+nnp9TghMWBbY9+tPmtBbGThf0U44gZiitf2Lj2BEGm5zkRm/srLbScrlux8GYV4OF4
EBUGiJU7fhrbhe3euFaRvU3e7GoMK+Mj4HZy131Wa9f0c+dvCerWDs5LZUeA6C5dfkQhJHFENh12
oYmgr+bqVU+W5H7iXz0sFcerqvzHuWI27utu/KwrjMha5oGuHpAfVc1IWtZTNwRDNVVPRjajs7P3
28+iKs6ywV+7VohGTQrNrdW2kuCVap3dbNTzfYlqpyIHdmMggRnEkzSQmettJK0u68PoLekdjvxk
fRCeVM3tkmb4Rfx00Tv0HgH4hGGBAIhPaCygmNBs+2/GzVzg2i+8brYfmwGoD6mscWUnp/qD9LPK
J0m9TtsVvH0yaiT28aS0SB60hnCOLmwrGJ1c6zBkeK1MkVcYOua09Q6q4Fn8xPVIbaAmk/ScT1OO
k5+qehmbIgUlxcIeo4fmzZw+g2pIaGjtYex942HpBu4C9KvuAaoBMR1WDRu2ao9sPWU0DlZ+Zi+c
h4k5ej8VRU5fel2gHqscC9cehtJTX/hJ/gbQG0oDW/DrgeeR2jGiZBDEhfjdiDY9uGPFCE5dFhvR
XHkvm4RYl7uczrEPAnhHHGz70Bmsr+YVua7kftx4rb4HsjqeNrMb7ltMk78olqseZsJVp431b2iC
I4kclvNtYGSVFacFEfZGT5gOugKeeTFdNE2JbcfuqugCHX/umSLjAZ8CfitDYuyml6UC40MsB0Lg
WHpHjfrKqOHi/gC219+pQjc/HHuxD1Wh2iApOJkohhIXO1C2z1PSSaqhr87KK4rDiz6bP7HaTzS+
2LfWkvnf9ODdEuw3AjXoIENMcz10BiSWYhzTM25vNoAU88wxn5tuRyDBiSkL437Dh1Kn5CTPAMhW
WeyXvMaTBc2N2uhLqYVX0dLKuo36hplECW6KQLCqDAlMriClLWtHzWQV1L6n3Q7Wtj60c3a4SGXX
GBJg5qS1BcmORBuoNNw+beva10mS5xy0HfvuRuPZ7S/ERgz0K37dcFNkW8lHTrx05vU+G3T/Zlpo
s5Z17h4KyrYoiwASrfdNc8p1405AdAv6vl8aglHpB010MqobOBAMdp24wXfEZqvSC7TjhPVW6Vtv
Kb5GEDIXw3TFJvBNa/u3zvLYDU1ib0NT0Gnqnb5B3/QHVtAATSq4XAYXT7CyDqg8djCkrQoL9cFL
3Yh2zQ/sllk88dPC47P8agWXiBRW4NZ917L81Us2GjDr9CYeh5rtzGJhhcRbGZS5n5xkTva6oK6M
SIMOtQFihB5q9QLNUaF6jhhzuzPGkppPC6R8Qy+80FR2fi6pE79Df9D1aLSXUcRTq083/cC8Tf+1
GXUX+WcRfXtpRC5jWFTbIZVC/z3XXNEkbq4DevJIk0RHQGrwUARa2HbZMpxgEUnU2cJDoR9hC67t
UbQuvjQqTk8moYx71pjY0PLuk/sao9has7G0KSM84pKYCtjE/fo6DRcSFYEOi9rlF0apJxInF7vg
4F1l4LJC6B8MjnSHJ/PW9RCuNEW12fiO/HmNPcEKSFS91CjawI1t9j6uEuFMWcprthjYBjpFhZMu
aAOldPeJRYFDF3RhXtVrdsZihdXe6w/EjR6Va/xYnKS7eWU6qqmPfcwa841WHMh4U21/9w4wER1Z
PAJQ8rIAmvppqQ6nl6+mGCRA9WD4XtoRmdmtHsQ66NhOU0kffSuAf+hgTYNlmtie+uv8gLPrwsgk
1oPsNMzzzuntNWf4rwzuOIuzL0bLf8AN6bCytpzG5Y+XeORD1MVmt/IMuHqhTiaRmXnL04WrTnKR
/lvvupBOezshM9NZXmgs+nAksA8xt7KOJ1Hi7Rv1rMV55Ioj/4d/VNTix0zNB1s2HB4iz04+LJDT
6vByNaz5KynasdsXWpHGi4tJwvMkAetyOQE3wSShGy+KV1JYGhcuvXnRAqnZDFefMgrPYKnNM8GU
B4d5D47PDmmy/NsqWE3zAZbvwZu691RgduEDH5Z5qx+LVLtO/J5Zp3S6WHYeZLxpAEVbeLFXuCUN
Nsh/na+TiWDUh6XIAiuhhEml070v+2+9yvnEJ1iqyJXed3YLLLZavWNts1r2NPyz3F0QEGGp3c6m
/ZobNpnSRAOMR5I1TEsLVLXepnHe4F9bJJcz5Yz9saYgG+UCzzKOku92Tvz7USNJIJM5D7NmfS9S
A+VsWK2dB2MhkFiKE4L4j7OAk+guNB+Hcmzm305/AcJaygxc11Ghp3fjSXWIUbohiQBq9nWpBJZI
K88pE6T09EA+Ch5u2Yc09AL1NvPZHwm/GxXWSz0rTh3vR1ovm12BE/KjN5rmzcEHXkWFtm1fhZkl
S2ishfbRuJWi3JBWYMkLTwUQKpYDKSB19gquSLSbyCxacmo24HDF8MvYQyYlj1baVh9YWMQthSbJ
9TZk45eWuz+pMtjT+JnWnzpk6PttwRHk5B7IujbX52exOOOdSTxxu8Haiolz9qpmjwpagaQarBZH
qO/uLo5NL3KLfIlaMweVCKu13eWtCcWKDpIbI1fOFDq8DA55Mj2tqfPMhIBBM0mbXdqtw4HnYI1d
1VNs6IuXWbDkarPafEz1sg37zLoVRp98VOBnQlwbIoS8bF5MBVXBjtBkqDmXNdJqN0zZFTPEsOxS
VzWw7XJ3PNk15w+uGkwD+zSZl4tIVGbBJczKTFO5RnDZUTHezeTLL/xk9aJau7vqOiFYfTdQugPy
ov5+bWUSrpwLb26z+NbNnDv608Rv4EaiG7fXEaxzwGOcIBohUAMMArB7bV18ZR6fHvbi7UxzXFfj
SW3bVkW8sPxgUGPKxLQSETXMgc4pUIhMQpwybxVe63eQzXBSi1EOB2g7OOnZsDO0CpAG0DgISRI0
WB6dsR0Qn/SidQOuYfRxmxopdrNPvx1gS6zS0iRdIjS19WEtpqUILR60eOuwpjLQc/Fe2F9DtNIr
sGxW+zMzXmOp7u6pWca+3Lv6qcXLGTntSGkKEbT7JZ3MVymZwCOYLHi0lWPc9V1j4KXEboCFTfE+
5Sxr7vBJT68aCcqTRYcmKWM8DdcKFu9rQSPnjV7N697E3uNzee2tezDJ3gMJAK4vdFn7oDgz83Mt
cbphup4eTdNCDF3Mkae0qTlWg8oRNcAMoqdR7vT4XbzZ5o01zqiCgaX8VN6g8A+8T3xllVfSMPFR
De7s8JOuyBAPKpXRUvR3W9rbMnDX1owtZKgnffPSE9nbIqxL+I4la8O3xOgZ1Nj2YfBEYMKCS7l8
kMq8ex1dB7/1BTGcNjYvMz5SEZednDx4L/etNtMkhTR6pZLFO06zPsRt7xbnlgA6JhrP0M8N3azP
ZBuGBcNNXkW4D22o4XbCcTJo923RtTfOOotDlRlp3E9bu5973Q7hwlxoumoerkVZWb9QbzVeYnP7
pDPfnQkg4L4bmP6RMz1UGi17WDM5hcAdJkT7RtLJ1VfXI0ZEbTKMmMMpObiZM1BBsBl4N3k0LGlm
cd6BD8sMcVcv7nKk1mQ6uZq3zQF0mQgPucGHxvdC9GZFkNIfMSZ5xVm4/mctFgMH9arvpFg/0rXK
QoDV3AyERFY0kgqtTK0vWm7BaVBGFlMjauFktsU+m9o+nNRqHgtyN6izRb2aCG2Aka3FiFwDENjg
NMyy+qbe8tJeQ64K2wHOHMjSi8vnDpAIOjDZkzKqHXMqHxYny6M142Ujaf4Bdwch+ayx950d1jdo
rASg1ybbGXRjB9AUbpxi4+/rpFgxA9zOQ40OPBUvfm8CD+CwdrQ6zm1ri1BKPvyaMJifsvCY5yyN
eq3EaOdpzc40CsyZsGrh+D3QZMlVAaZRiN0UqEm63VpZDoJCdq9EOOUdEJJDopkHBqthP2329K4t
rEFMS/uFx1Xf6RsT8tJp+b6FAhAsYvyofNndz2N3PzY4YwK9EbzaQUSw+y61W6KbK6g4Mzt24A3O
9qR901M2XjdmTbSE8z/IWYMh9Pj2r2F2xiCtyOO37QL9unv9f7KQvs6/VNM3P8M/r6D/tlb+n/vp
/4/W1qZtWsSp/vO19W2WN3/dWv/5C/6eHdP/cNgt6Dp4O2iJwOT+sbUW9h8CpQi2pKBwlQosYmV/
z44Zf/ieQ/sqKRKX/7l0F/y5tbbEH5ZPnR8jhenyyynl/PvO/s/A73+ZHfvXQC6wKIMqMMczqCI1
2YX/884axkk6ZbVDeB73cxKZEmZuVtIY7dgg1qzV6V990mC7VuXsZGaKnLl2tm8+G8BnpxbQlFxJ
ZzMIildeR2b8l+/kf5BP/tcEKV8dpQU+QWEHOfHflS4CpVWJMfv2kTtH8wFkjgL2C9+XJAocnC4v
1z0T9KUHquES/V//t61/rdO6ZP4cbDSu4+qecO0Lu+yv+/wkI/zujjkKZAoLHqxtOM5QBa8LXzVc
NlvHO5u6qMmUra53tdg+kTKp8vdlq7dvD1ww5crbap3SEsc2Lbcl3n01FrHqGvfey0S7huRDHG5c
FTjM1mp3KLZYo1Gb0b0r1GAbhOJtZq56C5sQeUOHI03M3fDoYRg3RGMxZloXWIOLKC9d8y0VLBMa
OBEMAQKGT29vsWrK8SHDGUZViF1jVRtYdTDK4SEL/SSTIXXSF+KD0rDfe08jRwoq/NYRSvXctsY9
irKn8W67ILBYFq1gGJGXNiuQ2zCuyMTzRI6OzvuQOZClAKuOX7UUlRNoiE5n0IJJ5Kp1eBX41Kg+
18GfBLqRUdLND8AFgl+sO2zU7h5Gbs5mxZy5q7pm9+CPmrzXe3yMcO07HVuj7kbEnnRFoAgUyzxa
1DDQbwBpiLHWfVgSUGhB0nUuCxg7G56MsaE3dvDm8egLv2S0Yo/wAMFXZCFXrj5Bd+dorowiEQGA
lAJ1yXFbAz0k3S72UaXjykxzc8Y367OPUJzrUYsf7+CQAgT7j5c5mB3nl4fDABarW98VtVp2fYoJ
BCouFgH7kn8MUh06JGYEtVOc1XcrlPf9hmD33WUmiFc9h9kxTRFPqo9B26seNhMiLSmOUZ429NFI
OIP3kaFNH0h2bUhE7XBYc9WAnTeHlDenNFc37AC5gF7tasLlvOCvEmiaJ5qjkhcmAvJJc0YKqKQ7
/Lc969OtwZKMqoYaTIvpAVnhFttZAXcc1iY+mRl2e9PmWIHLFkBGPHuPWapJ6wbXHlGDAOHbnR9J
feQLZC2vhojEmr6jEo0iBXbF/8bemS03jmTZ9lf6BxDmAByDPxZJcBJFiZJCIcULTFKkMM8zvv4u
KDOqlVm3syrN+qktX6IqI0RSJAH34+fsvXbZJvRdQj9yKZ1j+FXF8CNJejhRfRJmfQiQoezFdVOp
OnrpIzQXewwF0rhpmto/zsxZD6kwY3QyHJQAVFpG8YKNr+2wyHQjpSO9zPYt9zsyy2rVVhhS2oIx
aIv4UvMK352u+0nPYQgIp6Xa6eGE3k9IBKY9YA1aOpq/sMaKvCYCkYlWUC7eHppM+FDAiisyhAh3
GhKxn6sgZCto81MdgrjbVNABX5rCWTwvU8qlPoriMCVNcqcjO2ExDHn/0M7ym3junLNBjgMCAEPx
avXy3qbQt+5rf9YHr2JSRMellw08YJuEhDoi3NIbgyVRtMA1G1EaPje+VTwzHic2W1k9pUg4cCN7
jegWnIsYu1eBRlNgcqgtcVb+ANWrNMripW5SZdFMSeftx1JOCD2fE3AWw4PJwjoKfKE/j5ExP6YA
LqJinQxEm9JR9VFZEoZDdNz0YqFHEOXRRUXN/ySBUpLraNIDSvBCp6H1lAdYJICZaVb+0k0tygzk
wIBT6tk+V9jg+w1gnkLbDigGYoJoa3yErpHeLDFlFNBFhDa9IRECvFdggEMouLEi301vaivFyUli
CwggXKf9YWT+Y9DNwjdwyihZY5bEeeDazUp5IFnP7bFu1uhCZ9Pyu03e1M53rc8ZlPLhJGqdBrSD
N4VrTxwWw8mtV2hkBgadWnEO7UllG9cGzeVj8T8EBtkAydAUr43efjXHwT70SsXWTm/VcGHKCgxI
YyTfk0bgVnKl06vvkWwrLJHMhbZ6h0o3NHswIJo25acQxf+DkXSjvXLgyr9ZfW5jWUJ5uC2Y+MRG
oc10eKzxJMGDXfkh8pnOmReXQIUGe6zc0vJcCDVXppa2B2UYHBG4gAglYZ8BlUfNuJEKc8JKrzLH
WONpXgYTQByhl7UOsQk5fU1Wv96O66VpQTBbYMnt6LPgN5nZ/F04/vKhmvw3ekfAplRt/3Pd+I/0
5fUl+x124NeH/KwcKQ+ZrlF/cMH+njrgul8kI0ageAh4fq0Bf1aOpvVFUGnSPBKmtG3MEv9dOYov
hsFRiLE2vS6oJ/pfqRyXwvCT2FHyLC4BdCCDDNDN5h+z4WMdW2pjSm2vNI0lgBHmvO+UbB4+fSb/
nwrwj/Xp8jKYpRwGWrASjEXZ+bkGm/UGxc3ca4AHpU7wDedOsxPuTTb0MJ3//LX+hYZjLdRPE+Um
FbaNM//3r8V3gSwJtfx+0rEwCLte4Om6eURFCbbVZkTxb17Q/GOaHp+iYyqbgAAIKXhMxIIR+SQZ
pYthVTqe/T2RXz4OhqpoTwU9JsD4GoRUTvyDehQu4tctAT79YrdK42lnFwOav8oKiLfpezksbhRO
laxuewXahJVX1Yzhx6g+VaiTdzTv1G6Y62iX2ZNBCjwsAMjo2QXOq9qleC+/YoXIj6qvy63mZ9HZ
n4Ddc+q18o1JcMluqkR2iIJm8ip8ShdDIxkWhM38GCayfnTK4FrgNPYGJ0XxWKbsl4aZXEsJGWWN
5au7GA2U8tmci5vZHOKvhmAPyIWfbq0qRGvOoknUUT7sReET1j1XKO171Ad1NQ0epSJ7TWs2QCnb
4lyX7oBnKjFfRBpoezARFcN64EgVpiN8/6PyUYkuKUUNyJmTPWfjhZ5A2K1ENdB4qV2JkMeg95Bo
RKFsxl8zj2j7BUPzvJxGyEMK8zLeOrmjUIf4XOcYDYi/WQkzy1+72imf4y5wvy1miDsVCEppLJTq
R8yIB3moqkkQWbQqSBziCD96j2iPIY4ZAmYHWQmjW6Y3UPZQttkE3p4cThYoq/Lh0Z0ACCZ+RCaR
kXLtxXS5VjKKSYoxoZKNODH9MZ7uQuyOcIJE/ZzRLNkWo2hRZdkki4w0nn/UWRbuqMbfpkUmG5A/
dxVgyqG5MFthBpyveAtzP72u0mz+xlFTu8C3nE9i9l12YbQGBzvvhbZwd5EwagiUJSM/tBhC7vsh
bzxzipITsVDdD4CjLWwxMJTejL0897Q2Ukc+ggbCof1WEZ836EN9zheILpzYH4JdlGGIpDalc5Yk
wVdMkxEXaZnuNNqmK3Su47rBN4cvUwoOKRGbZdlexWT9EK3eBsQuCzd+sVz0w7PmfDd9MiLCwmaw
y1z1zh9S42SHza01Mj7GP0sqgeq5e0aaSdcm3Xcv1slFyTCrWZjXrxMjn1/bsZjWfLMWtugkuSEI
ytgkc9veVUg5ge66d1WlIo8smCcNT//ZmEPiEKe5OdNSm71BUQnnuYLar6sewYG85AgZHFSrxj5K
XKAo4DD6cHpDBsN0xO+7jthf6LRovSZ3ccjMjCc3JJomlscQn7yXKSXF5+QCmhoPRA/ThluHnIPE
yte0YH5MmgHq6NJcbQaanFpRbbqpb+IHYAxuQH+basrthwdnahkp6wiOIBaGmDmAK2KEtCrksqp1
cU0xj7Sdp5FBhLt1psSwDplLq3ITpdrkorACKiDpLrX2NkiGObjrE4ufNEssp2e7onBeFVmdD7cB
iWmuuWI+2YRXytf6AuKGP1jPRhmSErESOcRFbwCjaTzG3aBZ22qhr/5wsOlhHkGPqx2TiWCe+j6B
u59VO9wVyTNhBcm96kllqQmsW17MIfREtOmjg3C85sxhIPgaOpukhbHHeDnM/UDKzBKmaLWmeRwM
vwKAOlp7AxCHsxpRnU/oT2A+GyHTQ/ygy187vu3fT1M3QKJjVs+sIedQnph0UdOR1+3wqzHKT+Wh
bER+jMZBeS1qUIxJFfJ5xHuAcyspFxBL7+hb/IjFJq0jENglFsy8Ecz/tQm7q+b76vtY8/+qVsvv
mRz76HFybclZgS0BX0SWv0gbUjW/yBIdYMjiqqQ0nTcdFq7Qg8ZSHFyRqhtoKfZLCuaXqUja61u/
cbILfWT64IkLknut2SX/ZoFYezfgUzyaqClvCSuyCVeZs+I+yMKoZHQPxZfFg0YF9226+dhb/7f9
LP/n2oeIOf7U9PIP+mZF/vsq8OMhv1WBYPG/CCksc0HY6/KjKPmNPYWAhQaitAUtAeZ9NET+2T80
HapAHuXik/34F36Hn/1D/Qu+MlfwdAiwaf79lSLQ+PC0fCoDhXKpYPTFcyP4faS51FSfChgCfVF8
YGY7gdbGYW0zr2uzdEmywaZyhXrDNYhDrpx27nbYU9JMfGtph+peksPBfEDT0841hyaT3mFax3UJ
vcfp86p079GAMnBBsovi5CP7HPXbVpqAXNYssxPOjWHQwjUDAvJcDnWXZk3frGhJ5W15nacTfkuk
UWxnyi3zk+XH45GiqhcHBo3T9SR9/yE2q/KIqOFJa4p+NxS9E6zFqDaKbJtTnDXUS/HIXWFZifEQ
2hE3UxSybEHVHjgtgTmmB2WibucmnynawDWMd3PSWy+iNFgP8rbpryMRQh00wpYVqUbLzYDCZFa6
y8c+3Y19nbobSxXRwSZf1zkTb9jjwZsEG6Km4bCzy6lFZ5igbtdSCJEhmIF96dfDNp5rh7aPlvPE
S+DVuNDZMWAQK/DM7FC/G+ww70lGRQAYNg07BV4KkjyaYJrRfWc1w5Sqf2oJ0Hv054L8lDqoGB6M
hTsmK7+2eKPSF53x5DPjOA2WTk6rQUSj1PFd20FZQbPVa5jHhY6hRDqDhy8KjWGUIHa0WYceFeFH
J8wBGEGjWFYkVzW1ABXMpY7ZAMfDBRGdZ7AEZjiy4Vhzxh9nepk4/6ImjjXq26zHm43MotiIDgF4
aRN8WBU+s/Og7/BW4rCEI4WyPAuMHrqI0Qo+6KBkCKaj1H0n+Eu8zKQNEPm5dLGX4soTuZxeyFVR
xlbVmbXrirG81/M6vGJumj4VuKJXvujRRpekoO3TPgzExqixMGZTvemY8i92JNDYZZiCohb6qPcY
RlKUhuiWvdCp1Q0gWlocfo1wqJIB/ikGiSucJMk9XQOaZ1bYUQzFWnFAS2wc2szJNjYJE9+5G+oe
z4uuXv2sZ0Q7NW2f7IK2IikzjbrDANUMUykAlpXK/ebelf2bGPB89hNjNt+tGcZyB0QHZHUm5g7I
ugovsqufMpu4MWC57vNyqNj1TWj7tA9mIiLoZ9IAYH80N41fPUBuqc+VK+bXlFiCTVcF0yOGhmzv
z2zMa00TaPsRU5ponbTmZirG/FxZcUxpjgZ1GbdFyBOaxN3oJOx9tQPkmYOm8kPOBPZbS+HJcL/1
wT5JxMcNxt0dNrRdS1uGKsyXbN8yERcMm2RvglRT8K7oDLOyEMGBYQkYQ2e15Q05R2rLxDv9JdeT
6cB5p0B/XdFTGSe1tHTfYhHJjUl62dpyI7lHeqbWhTRe0LV9Q2xkoW0J1EgMs+HUyaYyLb7HYVWS
rNbZt0Oj+QEvm1h2B4Pu713xP+qNkEz+6Wz+L5kz/6iTl7z5vRuU4RmP+dkcUV84oNvMhpS0Pza/
f47VlPyCiIPsd0M6H5kzdC5+Rs6QK8NDaGQruhYwaD9ti+YXNjBgjO7SbPiwkP6FsZrlsvd+bo/o
Os8mzGVr1pFOW/bSPvm0L1ZRBR3b6OTBSl3YE5bWn+sc5MTsh+MxDSprT7keA4UZhumHVTQw9BMJ
+cbVsbYURUdjEo/1CxA9cZ3ApTxDtDUfbG6sgB3BzjdBI50zyKoG/3kfPWTI5tCy4UDMAlv/XpS+
C3aenBg6SPgimuqVc0G8H7UlAySKh7FeNV05v4kyIZUD+Au6LhTw93WDcEOBS7ryHTPddQsAaWzz
64LA+bVKoRtq8A7AMzfDIY+yDOUm8WUbQwucY1Zx8l/56XiDYhbmdurSsW+CPmaONBqXUevU2YkS
ca1PkbiezElDslaY1daAVLLTCyN40mH7nHWi6nQEcNe+QZalgBCh28h08koCrBNVab7jC0ITlDHu
cPU+N9Z1Vre3atJpv8YEOEDmgv9Ss1LurFSUPwb26K1ZE5GMHJmNtyuSr5WMbXQpqUTqkY3xXjVt
uxnkkG2EM+nrVje6b4Ub+TeEsQ6XtojmN/SEDLbqzrwQmjDtzSmuEbvTsLZsPhyBymlb+VZ3JUa7
eoVaOW56cK7bsk974CUJbyPAPCOJP97TjMZKm8juh6bMFR37aU2i+5WRE4nja+B4IuTAiShyCDf+
dZaU2UFztUNKUb8JqoIje19Xu6rqrXcCfQvCBdroqrXlsLOF8g9GFma3+uzM7G4a2XzhRIPYI2Kw
uyrlFD8GGLPgx9mZRy1UHoEjDfdlP1QPypfR9Sxscc3pj/kc59zom9/K5hR3Ir2XhSx3mXQN5OtE
2O4t+KEwJFLTvICMjq4D0s62k+Ngf+Ig79xhzdTZyOhcEy6KI84eInGLE8k5FkFr++t4lulbR8Ti
GRpRup/GzryyW9oAWWlHz53rRE9VGepnZKLWJSM+ZT+SQH4WWm9eGYOFF6UrgptWFs1DTOMbfXGT
HjKtI/DYHzB35ZZ7hhlpPOdKt6+rQCaHSGfGhBAKZSTupXQ7SKKH03K4MsIBwj+ZNHsNqQ+joPYl
7GANEvmR6J4BSOGlMhEUVmN2CCaImtm0hKFWvtw6bonEmASzR1Mmb9Ngkh6lBdJ4dtz8gYzP+bFp
ADHOhD5citBGMU+KiHa0tAYBNZlZIOd6ABVrYF3VC/H28a0TkBW5kqap3hiBhLu850HBHKVf0UFn
eJw0ShhoCVdxwJc4gLA6MF9G2ibT7N4xm/bVdGnmkbWtP7RFzhRjgB84VLscES2wHbAjqyiNkwsy
+fTO8tO9jabtaPtzfpBJRtRA2RFGx2L5DH8CW7OV+VtIgtXGaejZ+Eii7zgCy1/mkYQKE7T5eg6n
ZBWXVvLkCG386uQlCigDvj1fqINBNkyQQdt6eQv8CHqPjWaPtli8VmprtXG285tBXLvMaHdVeul9
v3/SfBRZiW3ql1gE5j6HE9SsmR3351z09ZsJEWyBoGwGMTp4B4bRw5/aaRRfpvvUOlNVQh2b0wgh
5OK9A+N/gys62Wlju2SwT5azrvvRVvQKGR4F/oQaam44QhQdabhK9V+DmfhvMnkU/CtqY5a5Bk67
wj1/RfVbXpP7JTxd155i8hXdRRJkelh26C8A0FyrGm1AqkXfaP4I5piN8KgrK3gwSfGa2uGMkSlU
Fytz7UPTWKTEz4HWXpCOJRvHQbTP+ecFuuy4iznq3Ypmce6WmSnOvVuItetnMy5BN7W9zCzUo2LX
ODP0Dr/R4IxOOES/k0Rq79kR5zXaOvTogYy4lIb41MQY7HB/qFPWyfoWxFZ1HYuhetT8KD1zNii9
Qm+Cra5g3swGkSVWU5nfkiEz9nhuTA8DT7ENx9j4BdEdeQWWKl8kKnA2l26WT2GWRl8JHutBUUaJ
2kISDHYA5TBrTgE2Ot0Pb3WdrgTiDrKQg2q8Fx0ffU7y52aayABvRsO9cmmgo/VLCTk2nXjgQqMg
J7eE6IpSkIeE/6zbESrQHhI1l1/Tzt9Fehl7yeRj8+tN6ZV9T9cWkThgk07L5coKxq1Ncs9ZJ6/n
yIg7+Q6uAcQxnepVDwX9OuIWv2qwxO2Zv5AHmVS1esZeHm2yfBBPqU+7npUJpXxrbCbDtm7nLtbe
SumgumxdbZvB4bzRozw9kPXqb2nwNpcUGeDXYHAZCIpK3IeMUXk5x0djPmmYtDkwnOupIj10nt7E
3LH8d3U7k0A2ymA3moNO8gKdNQMiKH5zoydasY5AmiFytjLMNvmCQMySSFyW0wN7fxwHD51FIbKK
uyrFK2mq9lLhgNoXZJ1Fq7F0MBjOTT3k9L3c6l3VZXLoU6zDchy0Eygfb3Lz7Lbv82TfWt2zVUN4
Zq1FLEtISveatPYzcQEvwu/enXR+dovxDnUuZ4N5KHm9KjvUuTOhd4keoPqVxzJ0nIe+TIzHJB7y
NyYj4zdG4M8uM1CNSz2aOOcSUMu76I5lhYCm3XGiBtZyTanFAHgJAhOWFxlFKz0mxuFpBLyNdBTL
xW3VVpONAdF/76IJdGAKBlk9020zmGkwQ1r7hQCfQNWzy8KyuI7KSiueSxZQai/Vb3QmoMRYTEF2
JCy33jRDbGwo8pIrPZhyMK6R8ww8FGSj4wfxrT+G6RWhH3r9sMS1+7t0JqQsX4/NMJPpFbRW/AOR
SqN9tSofn48ekszHWCdKikO1+LjzD0e3KvJtbzffaM7ChICKsxGc/ekUy2+jZgx7OyodjP5td+Yn
xy1YZcpJotkgK546hX4EMBiWxSRgl9EcBmXUIl/zOUy9EBXJkR1Euw9JgT7RecdemuvTmbMscU18
m8e55bQWRsOLTNR0rBWWvYa8rJ0Orw1H9VJumbPRITgw66soOiQ+QGZ7YpDvt3s3BUII+SnaNYwb
CT2SuNLJhYkrLTjMBBDid/Qh85FTf8SkcbKBRq2Fo5fkoqFNngKn+t6ZdkrAkTXtoqqHttOSE6YF
gsN1lBZYoWSJDy5M2Mh8RKUWX/O+o7XC9MfIdtBDxLvsfMroMilhcNDpMfUfNpIs9xu6iNxp3jrp
VIn11a8kFccaNG5EAMjfh7j/5BDn2Eu3738ecGN6LuqXH78TR/76mH/2Ng16mxQiXD62TleS893P
3ubS9uTUxHxVLuCzBZ7/39pIwezbYmz6IZo0Ph3i7C/IGQ3l2pz8mI4TKfoXDnFyoeZ/7m0CBWL2
TJqmy8uhof3D7FmwSuCImLUr2hRVrNgMQd92T3UPqb4+xiJzWFzJtHfDeEdZxHzsZKo0G7wgY1dz
2pWF4K4MjlIBKjSvc80whT2hv6OXRGqOy2CAiF08wqO/ww1kRRFBamjpGIDxtz5i4mrmtb4KEkoq
uBZBlxHGTHB2Zk0zZDHX0VYhtQuIN6757Gg6ckkNJM0tmgCA+L14Rijst+sCfXc53ccVbR7Tc2Uw
OBeWpi5UNzDXaJ4pSQ5m5hoYs60uJ4Aw7epZm1bOxKQIkm+B6uTvu+Y/koU4dBf+/K4hj+Ktjd66
9rOq+NeH/XbjOPqXpa2v2w6q2OW+ofvw243jmF8cbhe0JyDIdGQTQKh+3jjcbdCujEXK+luL4+dQ
QIovND5sa+FhfQwT/po0ZEFxfb5zJNhDIi8EemLEbov2+ffdDwshIpiqqN8XebBkz0bsRiQerK22
fZrs5NUVNAXKYm69vMOcyygK1NIIGdLVicwWrfvg9m5yROAE4bBLT70rCc/RbA5zNYJ7oVGyxLQ0
J8yW1CL5zFwgExtqDHyKLjDXUmm0K+xOrR1lXKD6gZkI2X5jwlU9vXJGECK8JlsNGfMM+daCqmwT
J81TnyrKpgjrTlks4qn41dZKsSE6AtPHgpViSFAfyr5+0omvWc8WGs14tjQv851HbRB3sam/4j6M
eGz5lBbROxsPQ+sCWDRa74seMpEwct6PXY6tJ+rqydbjxVmEZGDQeHuwhA1Osrjie80hA8k9BHCO
PRJ2y3VPiFjQZmRZxsm7kcC7tyGIrQq3bjai4knTno9AMlLnLfAxCPeQRU2z8Wt+qhf8Dn0pOSH5
aO260MBQR2QW4aKUHXaFIa9P5GVwO6wuPDImDnEVKdhhs7EcPyc+gjI1W89q9fkSFOlFTWnvpQ0v
ifTMurIk2lHUZYbXVfxCZmknGzEHX5NGcVJzlkNVkb9PeVXsKyx5a8ufKLwTIqhWSHPf/BSeZFur
B+T0rWfmi50MwSwTDwTosgWFDP+LZk+smgff9RO0LfQQPoSN5UwqOXh3wK14dDaD5RxcXXv4uEii
CvTXJKtmUzpcB3hZL1nvRutaqIeB/tHaSPgjE9alj/ilgpjET87XrPdxB/oJT8XRUS3cb5SqG9Hy
swzXzlGj0ysuGpBWPRpq20eCPRtcWMyhIG2Tg8b1/D6qhJqdedwqHaJX9FR89zP/Ffv4KntdyzdD
6zZMvAoeQ5Ib8xRaCYZTzteiatQaqejTx/dNADqBfBwm1y3k220Qcsk4C0WoWDD7ne2mR6EH79zk
XNXsBnAeuDpd0kQxj/Mouu/T1xTb/Mp241dsB3z/o+IIUibRuePjYnzzMM1880PFfeI4g3+EnjBf
hxzk18ppnggqRazi8A27HReTy9348WHkJTfFoPGjZZK9ZiiTPF84AECMxoLcyUVLpi16V1owdxlo
3rXBjA9D34S9ABbdds4AINVJITYEpvKRIuv0IKs1V3AZxx2NSf1kVn7EnHxGiOlwU9JgIbQbSTWN
PK4y5uNrtCLJtWtwo+KUExu3p/6lkk89QrHf0dlElz6EBb/cXrgZ5r3QUb+OktFbx7BrhcYap2nG
1y1DlRyDUOS7kcrf6/XlNoQytP74brWMt49k+ETK9rKEcAnkJbpec+Cz+bjKZyeZt0VZqx2H7cSb
Mig8zMRSnN1czh8XwHKFc4tfIlLKdubEMqZ67m85K/Jxlq+57QZ03zWXER1Zcixi3X8hkk7bWwip
17PGa+VwjPa+gmQOruGV4w5fgZ680zUyaShx9wiNuzkzW7U2ct0/irrLT04kxrOF59kd4lctoEiA
EZGf4P4kHseKaN3NQtsHFvdpwbzsNDmh2hLqiVALIv8JMT+vnrN8YUumfc/ioM+0kUa5UyFIDbo+
PJk+YHJsTOJGW2Fu6trC6Wk09WGwG3fj5L2L5TUTyLwIxtHSgEUxgIfvD3x1mpOoHfHNl9BU7m5G
tr2DaANpRfY4UhnHrP2eX2HooChyixR7Khb+cFLz17WJMB3ItMtN20d2TwdOA24CSc2quSRqS16M
adHOoYgHzkamK4dQLqZqLBkfRXx/BbavsBL5abTleO6c5J0yjo9m4g74+KxxqiRgVHjKTud7laTB
eKjtmw1oVpbApS3hpJp/a3AI3thFle5cv3qvHP4662KPm54Ajoj1RGpptNXr+s0VmuXlGhPEonIe
swKmVKKFt9rQnR3mtthc3eA4RSMKFY2MVdxzzEw9IxnQuOSjhlRjTufviQVAGIm+K0nBwX1L2AN0
xFeY4eOGdghB95EwHizwUpvGHcr4GiRjd4wGwVdoCtwtK0IqZOfFgrFZCNAXDKC00SNyZKOBXTcj
I+kpaYXHSI24a5pMpb62q0o7ln73orVF8QPl5JuMSIJeBeaYvLuVqc2oAfBEN2uW/4FApLrYqiwh
FWpVw/Zfl3HNPR/jatsEbEUbgwzQa0WArrbFFj40Z7zULlZyRKXZHrRTqz1NAaakECFkevJDZWK/
rVMdz8OUVNHZ6m2DZBj0MhqGfsqH0LEfPpVit7/W/p+jtpaK/9OJYKlrpE2bBWGtsGl+LlOfT1Md
UB/GLNFn7p1ogsY2h+9RwuZiAovq8MZwWXHXyYgr/c9f94/K1I/XlfQ3aUIJxxR/qKfUJI1JtWW3
14ePxY570IxwVgyQ4ccyef/zV+MA9a/v0mGIBshUofD4w6vBmcH9O+fdPp24QJZKQCWMDwLa1b++
r79VQf9GG74Ev336Tv5l/sk0pK2jt/a/ivf/4hjdZa/R7yRCvz7+52mAU6+g0Mdb++thgO/z52nA
+aLrHBUcYf7RYoiPkNkpJ1Y8hq4rHZtr7qdEyP2CPsgEGeoiNzAM/ukvHKOXw8jvLieqNWuJ/ST1
k3O+ubzzzzcN9puEpLVR7MG0otF4R7N7Q9DcIXbdTU6qCwiJI/I3T/ndEyCNVWw2/+b2WU5Y//Ir
LP5BTiUKLi+ip9/9CgWK+NJ1A7Ev6kmcffk0Ee/T9ImXZwgaDWS9bdVtVBngpU3967IMONEbMvcG
41lScs4h+7yGxnlJ4ShckPMwDxz9XC3qCWnBrQWVrRG/AXvyjbAwfoiijGQPAD7AH5grhKtJSnS8
09dmLnZRhshW8yZLkZuGa4msevtE5ZPjphM4vvCGN6a5EQnSBzN/nNxkVXNN7CF3rDKTJqxBvAgJ
H0xy54tsm6WZQKlOJoxlxazpSKW9JjnRyrukYd55cHJWIAbai62edVPzmsB5YdLBoSXWAQqba2nD
haoU+cYhEc4p1LNsjVXxbtQQScF/8BJyX/q2/E7LUeyitLuFf4M1P3+d0aC3MeBzUGY7ADzA6FuU
p6D437KRFJEE/ziZFMNbLoNNYHfNiZhoGDxYGksbRAr2tSgxb4IsDtYft8zfi8u/WVywZAj5Z6sL
7us6+P2C8ttjfqorxBeg2EgXHUESJk5j7pffVhTX+sIEWeJmXlp5DED4p5/qik+NOPHFtBwQfggw
HH1RR/yFBYS154+379LH4MmEjcTQsOxlw/q07QKOzF2f+Bw4pcHzkITjqm0At7JJPyHeuwdets9F
Vz25mf6EzEffds60pWg5tpPjejNMpYOJWuCAEW5G04s4TXVJumMtQLamVUzCelW/T36PuTQkTKJw
iRHRgrT8To9S3GkGCe/zAoowU+BDpQu92IcK5XWBc4f4wr0FibJJoAVe5QOgsrbvuAGGqvIazWBE
NMj6KNoaa2Z2MzUGEraWVB3SjJcoyPmCecvaFA75a/o0dA9GpGi5TaN/AB1Z4pPTLwM+th1BFt9s
iasOwVu6I9Q8vG5FpF/FJr+TQBZ9S0ej9ixmyLfIQj0ZpY8dbfzORFA3VbZFpdy/oPFd3Gb9sKnp
rb9GuQquYBDPKxOkDaf7yt4BBSQ4UNbObgCJsiZUZPSY8P9oYwLPZWf4G7LNwYU73YvRT3Qf2/4Y
K0JhsgghZDzjRJnbPPAUcNOB4+NdVjXbNp22c6Hd+ItNoNOqcV+aasAOUOh3qjTSp7a3ym9WH28z
bHWz3mZ3CfLWU5S6Na5bl1nVGor0dV2awQDnrhfrKq+Sp24uogsBchzZG61dm2aOt6AM+vqeAtS/
p8KxrmQy4ZHTMqveozqoKB3L6IwrenjylUHONbagxzEzCSFDeAM/r3DcU9grXBIDrYCqS92LMwyo
OYlCDaCH9da+NbG+O1GMZjJ2+vQxT3LaH+TNwyhO9bPMZ9TkM+kZGK1FCfEHYs+mxMHBh6cMFKVh
V1WI7cr8WIMJpcNSoCevtLmrVpWbc2KI0iXcRS/w4rAjFFcTow20jk783TF6zd6MfoCq3Ij8xxhc
5L1r+pk3ZlFxj9BEP5v2WFzJIVYnJCfx97L0MQUp3UFJHhGYsM3Annsc0MZbmCA0ANqErW/Bm3kN
8PPdPJD6abYDXWEr6ieAma58qYSZPiKbF691h+1VM80OEAmFzD6oC34GF+ctH6C2Rni3iFyF0B/6
wsqPnJAitlNGbxuRB9OtAS/+0YIaleytpufNV1Mw3aF04nckNWm8Q4JeXDXs2oBvkLx7qIl4Qr1F
1odIGDX91OMDG9usfAaLEu0ioKPM3JkObSB4Q1p0QqwBgFqi80RT7EdEH32nd2b5izXW463fFYC7
lt8s9uPS3fadztOnhuFcghlmYcRoDFO/H7oXOXINykU5n2ahPOIJ7h6aWAJ8tSfbXuO+njYt6Ka7
CS3iVwdW5XuaLmJOq2cR2bg4jT2hmn4XDzL+/nGlxRZhQUz6FYJefTKsqw8XAZPu4mYol9AvCEDY
uuYqfZRqML4RLBeBhM6kc2H+Kg9F4o93+og0oq6hqxhB58h92fOldtgTjjRi+NYMDtTbFK7Aj9YJ
I/QShQ2WyZ6uKl837nwRu3dDpWUeOWTIlCHh+t+VAeuQWXIYIZrEH6b1Lq/oTHmyTYNQuy/mCvka
vth7hshqV6SkrX98W+A6i/soAH9JgKSft2u97d11QXlHB0FaJ71qyDykQ0Xsix3w9JB+grWTLv7c
mT8iFzEqGuS1URUk7MbzucnDc19Nt53WPPQVuureKr7neMgD7GtraERG292IIbgNe5FgDAv3WVy/
W4O6UmYB1YlwrNxw7sbG3JqE6LX2/BjUjb2xxOiebJsnLH2LkkaDrzsVa/j5xV3LPtatDLNg+hnp
9p0s46+4kfWzjc1/k+husLER0651hzSvKINyjU58GGO0ssXRzB3/Vm+18UYfDQJxi2CixeXaBPgV
Cb0y1Utvoj2Giwl9Ud/TCmrd5P+xdx7NkWNnFv0vs0cHzINbzCZ9JtOQSVesDYKmCt4+mAf8+jlI
tUbdNTMa9V6bCoWiSaYBHj5z77lEuWiN8YVvGr+++QMwLOYRrBh3OMaJ+DNB1Fmm/dkY7a7w7Acc
AjjD+s66sEwP3rTQ/CY173PsSoQjhcw3WZ+RRDsW/VrLLULL5JRBEG6IqKocp3zsrDmVOUqmr7y3
SXCLChB9kdxULTT9pKsOvpturaSNgMFOfMGAETaqnlkUw5geU8d4xi8N1c2v96ka8z12TWs3cAiv
dIxl1JgpWTs+i/twYuEOFq1Grw2isdSPY6q7h4YLf5vAhkdpHLzpRk70eo6AwRjR81XXKvbcH7E5
xwUPtf7ddTQEc2n61JLn9Y5Iwlpzr0OPsMjyYrcrF4H023m3JupFP5FWqaye6HR0YOj1cW4vJ0YK
fvBY5/IrGtsAyTdscrx+Q7W2wj7GjtOaM1gb3sZ66s3iWBoOwPUhfeCyQl7lBAZIx1HQBHQFnQss
il1apNVKSISL0jCrH9JmdMYAEzAlVj+rqt67rETm5EmfRJr+mx4wG9VLnva+Wdtb5jWf2Dbe6sja
6mMdQP2rRiIXIRba1pAiSra1UyNYV4+FvnS4DTGsF+E3L+E5XEhr1Rq6d2Q+Dy/PT70vBLD91SUs
+Tkd67mGwEm7lMIh/ajFdLXoTXij8B+T58RFziWkIEqGQKAfLXMTHHog7Vg2BKuy1yBQoB7cEKd9
GELgqoxb9DO51uUDOlrFgKamsrJwFw5V452rvhq+AzPPvg+mYZ0dFHhLmwprAdRvWmXcRZzkbUxW
OGwZ4kzT3PMXjkrCY6+QpB2kGRgktcqJjY5fdxsvrHPC0LzwBZKJdnEM4JJQPUknm8hTWQYNfP8+
TUCz2Q1BCeSag8uqbYQAYhp4DKquPJfsog4Cndo6qO2cdUkdvPh13F4HKAzJmpCJgtGqX2jnNvTs
PZVCujX0sl7HCt9BhppQrKNG/SyYR1+MPGyfhyYedmhW6lenhkRInBKy22m2eroDMz8BCl53p32a
U4Xlfa8d9JIDrCJqa1cGBHtUcD+WBLgFG5h7ZDDUWb0dRfbhSrokGBDDJXU0/dQERcPEq2y2tRnh
gh3SAPhcc1JlshGE24VmiIzMm96SpikrINx9xrwbmupkkF0bR4gYc6Gz5W1SsZ3K6YRTjeFUqfEY
6AJrY2eyv59mjG/al5InV+9dxqHOHutEDjN8RXtjTnxmCyZ/kEtMAeKM7cavnHDTZWQeaRa65KaJ
5ziQiVvcAreKn/XKE7S8FC6Q9soHAyMxILxYldqqQcHQsqbH0bHcmSvBUsfzku1YGFsEoEj4jGYN
CSL8Ac8O1wePPGJziJONCdFSulKHuAfu2CUyIEknOMZhfRWBba9QKSX7cXIUAS8eWcqrRIuQZhLv
fPVTTlfjzu0Ye/frZDZlVNs0H5LwwXISMGF/s0jyhmfDJJZ13JPhzUmZ/s1W6d48lor6dzraN+9l
cvNhjrMlU93cmfbfrJo8t/Ft5sjayE65+Tkj9H2YO52b03OGVyu8n9gj+k1+s4OKbngMZouoMZtF
8VSXQLNtcWrt6Vs9WYD9Kuca+yW8xKltr9FsPAXZkVzq2YwKUHdcJrNB1ZBGexpm02qMe7UJR3M9
2BhavR5rqzubXBFuYaO0cb76swV2mM2w4WyLNWeD7IhTVsyW2Zpp9Psw22jjm6O2QKaTg5iEi6fr
SHok8P2eII9gNuNWsy1XtSgHScJ+8mfLLlL1u2k28WJG/3JNwECiztFCG8SEwYwmOYCN42wCHsPZ
D5zcvMHh2LQfuhjaLze1k+Mwm4hND8ykNRuLWeo96n0HvbGmlsF3DHycMJXZjTxNYjyKuEFOOpuV
ycfOTjLKP2lAQzDuJqpzZg6sH1FjlgRNRJ/1bH4m0iP/cm+O6CFo201XxGRuzoZpyhdnDZdQXVtS
QpbUQFdrNlizGcJrTSitddAhaKzc2YqtZlO2g9ztDuF5cZxunm0wmNklLWrXXk6zqbuoJf7uYLZ6
50bEo0C/OcBpDcExDpnvfTF84uDoQ9u4xrNxnHVv9TbNZvLp5ivvbx5z5+Y37/SheCL3rVzbxuQh
Em3LDfIStfaMaR+PrOeqgSYLSXp6jhkDvRntxGagdhG420XEZhMXDjQU/vilDilKktIDQ1TEfvsE
y6EJg3Vb1sVklTPxvJ3AUMUYZtMVumGcU7Xsf0Yyz3eu1ca7ph4qbAPFj1QhmpVj4NI+ymPadKRc
h413dXK9vyeUjCDnxJ9WKVIVttMETtth6aETtaDt+l5w4IU90/gFK9ePyg0uAm+f4Rb+t6XmX4tX
gxAyD+r/bznWHfKU7jMd/6gq+f2H/j72malz6Kds6BdYFv4xRvb835CFCIFzBjGUbdjMiv8+9PF/
M+aJqo7iBMvNLLn67zHyHL3GeBnfjjAcff6pvzAFMhhh/WmGOztMsfrA756JGab5yxiZyXLUeFMQ
HnojoEa12GE/DEY4bXCEtsgHXf/Q6x+YQkmUqAVMDK56n4dU3+4aKNlbqzbqrd7GnHB/+Bjv/+dS
yP7VBIumhjdn6/N6hoGC/iukRElkoaRHOHuXIUZ58f1Uv5CV0PEatIAQJCBkj7EhNLGOmwBpJyBZ
rerlMld+F3zhvzceJFO0ullXo5u7rxOz5vMY1UO7FJEELRtFLbZLtB3ThpRJzVtldmLqF0w/LMlX
wmk1b0fZMK2EnhYEHRjZIFIFrBI48nOEI3EHFSRHQO2DUrp6gcxgBLmSUCstLfwDIxaDg3RM1ord
dA1UjpLYHzzrfjKc7tkvsfWAxGXH6MPqD2ngEgwuY67zXLY44XpEJAnO2JJy2kvhtm/6AEDtgYQN
aP8MEPCDJLQfD5yTHBDhsEGW9sIEQ9tiyGwOBLUa2w6v0Sde2ebi57ZagRVEd1seqtKRTy4a73vD
p1xwZdfeBVCRDkpjcRi7E8H1mZ+AmBLWeCzCaKPFCcj8qDPKqyb8N/BhSCJiMPUrBLrEmgZB5RIK
ag8nLSy1B7R2vlq6WGTWQ9yrI9StR70LwU6NYObV5IP+loODfdRLNfHRyDzBARAhWML4NS07S4+d
K3z26trHhUX+tpff2/3kUspZjZGe0LFI6zkJId8qQ4vJtq3XAvb5pvaz4WnUdYXq3Sr2CqDgliTY
YlO5bZQujcYhZxPF4HoqXNjYVlCtCfwk8HfSYcnrVbkX6HeXRh06D3zq9R0k5maTMEc5hIYFgQPw
+CEyYKSsgkLPvlV0Uk+lWyY/6wHZ1jLttOqxlvF0tgpTHS3kQV+hGzkbEbQ1qVi8e3rHdpmNPfbl
mBAyIsp7EgLrAd05itvoPeWyX1hmo5YtVxpi8nC46m4/nH1T9Hf2ILt1JmJ/K2r0GK2GWsAcYos3
1FrXqM2bDSBVE8huHHFJ044Em6GnBVlOtXC+2fwSSO+ZBogLBLftD8a7GeI0yZNx/DH3wKeaocyK
QLJmJxAJMHlNEudNwuQACeFGxt68Ma7AaMO7mm7sq/7GwXLtmYll3vhY9o2VBS5pXCGDgqDlzDAt
DGSMlNjTt3t/hm35lV3a9Lg6Mcg3GldOUvuRtU1xB7qCTw8d8rQUPVt+2ZNizmAH2YQXiM8cU5nD
OG9onpDFF0cf+ykfH3zFeVkTQDkHFTYnfHB33QhiYTbTxHo8wtnKbJmGuoUe2wTpls4+bZtnPxqm
D7efFKoJKfb+jCrD0Q61rJoBZpyEwxuYEahmlTcTzvIb7Sy9kc/CYaaglTMQrQhcv1vZ9cxJK7FG
9mcrB5+mbiS13AfRvzBuhLXxRluDGtfvyxuDDashPLZkRrPZN0pbHwNsk5kYHmAmIc6YbkS3sZDZ
Bb0d0GOSdaiDbvS3BoUTAMUZCudwHNzlkY9Dh6De/CVoi5rqyGpLgsxN6xSQdnvUaL3kyrVq/RJ7
SfmEAEjLVkaHpReYYH10uEb9dWOM0QFQYXMazCi6B9eYPoN/Lp48tGpM07sc/DN4NY5nDl9cyeln
EuI6X8QihpipWY1zL+Mx074xX57IagL1cjVRX8RrV89D2CdV4zTwOXP/RzNZ9WHMjQHaJhRu+IL9
lZFXvVN0Z8QDagRtQJ3c6WbS6wu2e+Iu8hlsuwNTadsqp2QRGE70wMLUfC2BmlzdUUG/l40M74UQ
FSGRxGZkS9ON5Pdy1EExCrozm4UFw/MAZMw79B/M97ah+lPrEeo4J6LZ7Bghe8IuBPdyweSEjcju
JX8uC9v+J+e7D6c7Gja168jvjubzJ0Jfn46gAK1NMlrJvklNta4HsgA4G9Q+cdPg25xmwj9cdJzz
3OTQUAguwpqYLTD0aEsCEs0CGVLtHo3QJjXNHc2IClga9QHdRxzse5ard63nOLevbad5cN/1RmND
avEme8Nd40L/TCx9WA2eQIhTK+slNtpqn1Sue0+gByRFK/80UcQBkrZZFyoNPkPA0T/Z2TEcveBT
yZJYcopSx9bm6MlcW3l6Ua2rSiTn0S7drSi1ih+YlHkhNoTvlGDB4Wx3pr40zc5c5dFoYrrhnxhZ
zndyD+uHhi7hDl2PyJYSuOmbsJG59FYm71IWYKsmL9V2rks+iEcuP7lKbXapOCE5OtgLeGsoj9ER
tgSkSx6nzZ3l1YrwIew+TBLl5Io10eSjWDFv963NiGy0BPDd6S9O0rbFunbq9EO0uAHXo19YSM5E
yP4lkXC+8UC0OerXyB0QY+GNJNs17rVlx/DqLZZR+kIJx9cVvcNn6y+aLtLrqDuPqQrsbZLk9E6E
X7kTg6XIOsl4IFzDoPC6BMSw422Kyu8jNo9N22n5qmx1vi/mxmPJzZIU3y27zvmdcf9lst+fh2VE
t7tRk5+8WhpHyXHGXSTHaRkyW+sX1F2s2TOU9Fwgrpm+G777JjVo/PZo4CNhVVEdEi/Q5kAYTxML
iw1YhNMlYL4D2IggoEhvz5AFxgeIefGjynr0ZY40WIc3sFQ32Meuoc9OnKLIPkV2CSAC17KJkQkA
28pXUs7LrBh1u50TuECsQL/CO+J+DomqPzyfxhOotuYfXEFmHQWmbTYsyEt/PRLABpVzaKa9lzgu
uRtl5xxbKKxiQURXR7KhNs0qL6JmjzWELRpSzpFk2RQ4HJaUJ82rmSCmf8CSlottx0MfDWoJiB1m
vUD6UGbOoU+aGRoZx0W9S7GVqpUagijg0Sqov8rM8h6VgpuBUkwDCcYk9c4DC8IczbeqrVc6WXJq
ojFV8N3c/JyAcH9pGK9d4dy632uGJ9vSCZt2kcI9+ySsUTt4ECzgyMmGdb8W5jrqaWPikVGDpkSk
UBn3JnnT+KGq2L+waKh++oUu4mWmh/oeAkOmL0G+YhqyOsa6qmOw2d453miSo/LvZf6/YrIxLFqx
P/Qj/0MqtHsf3uP4T03d337k96bOsKEE6QiAXMu25tbtH14BmrLfTBhStGcefhR9ZpP/3taZ5m8m
DZTJzt0VN8LCf7d1BsIh3WeCjlvlr3sF7D9Lc2gQQc/h4oRyriNDEt4vu33MqRkpyKH5iEW6YpQ4
5ZLoRoPXuZyy3CdSNWweMBA0n/gVgfBEqXblooZiKrQRbXEMTS+TCn06MMFhpTl4930Nv6rqYeYS
YNgsmTKgMJ9ZZPdJg1yO5suG6BWpdNMJxMcV+vujqQF5ZPQ2rGgfxi1Py/Q6Jda080O00pGhdT/I
X4ZVFIlB8HSNo4sqMtzAkWyHdx+yzrtrRUQLIR52jWUU9mwzm7SZNhTk9cEeteoDbEzy3obDeK+l
ZOKZzPXfYOQ2S5RHqcuuc2p/9E1osJYCMRbSED+EkfPAYikmPCOT5vO8zE//H3XUTbX4D1Xj7Stw
ZsqmzkoWeehsw/qjvCKfhKBPlc7j1Fj+3iagmDQH1cCGo2tkrWHWM43HzP17cDLmEXQBb61yPPiU
0BxYCkbJuHZdmwfw1PWnKbAjeMei/DI4aF4L8MbXaGTfbMdJcmJPauAfnRe0bEq9LUmFFWe3VV48
r3luAePsCDM84oY0QbOZpPxCVeQ5+PGHm+R/adpnDuofxgm8aTELKWcBC2oZgS/mz2+a0tgLA70q
YBrkwZsxf/shHKNvQPLVvQZhfN8lVrOnaUaaHRXkauVaO20kQ0IsKUr/qFK6OaqRQV1C4o4OQ2nZ
j8HI/6ot0/wBedm4C3FwXqLOQcKOxfne9oIXduzm1o/ZgKcFUmknhZUZI4PbRlqjbfEsk6pZEk43
6TnXtNXq/Z0+WV+F0x2HxjR2LflaO4p72cJmslYxLoO1shHd6yyPN3b8llV+chCiHD5pyFEltwRL
VYzhCE3Oml2Df4E2jua06knIjgd15aZMzzhHuZlkGu9S60sncqwhI6RxaNcxt9xhGcuhhHiqW8Wx
rMl1TFA6TLglTEjqyLoLdVUF39KCoI3klEdWfRy9zHwd26L64dEuNPhCWMFC0vIplCfYeEUk5c5X
VXyXta1+CpAI3nuF0Z9sBtDtwrQwUqzraEoIBsHtQGJoaF61uFUX2Rp8oDyZNvHkYfuw53uTeHse
qYN8ZWJSf/hhGh6FaPyljgDi/M+vnV/OLAxNAC4cg0UHbTTfpf8LKNYMwROEvavRw+rTQ+t3xVYD
NfUyqsFbNS6uI+HP1w5s9k96n2kpkegR0zeM0VdCUs25cszgULd6/erWArZAlOlbLHbflD87IDon
f6b9RqDeg75mRktIVsZ3fywZfCBVDKe1xMaOuaA0r0pn7UPNzVsdO208idkjwHE1bnrBIoMDtUxZ
vdL8r+1WM9cxQil+p+rVGdPF9HC7bKsEEwOhu+OpqRH+G1UZkCLv6d88LZevfmLIVxIKa0wvMW4A
wi7zaMUCLf4gw2hblw2+QdwkUCCtrnO2Aneiu07hYV88vUYB8c8//tuk7x/n1fzxWwDvXLC3DCkR
mM239h/kYEONwj2cmuBqNpWjsRR1DVDjtfaYTD7vwGA0hjhdak/JGFN426ryq5NqikhtPT3m8WJx
D7Lrz2rSLNK+ek974gkWPpPukPVdE7yhRuDNzFKefR132uavvwEUmrwsx+S5bP4KGi6AqxOZg3gs
c7DAqcRQ57oKw01NLA9cnoJzht6X88J0OGJgImhrLD0VRnvdvjMGHO7cezhZAMy+W8o14Koo5O5m
1QWbmqy7p8yt4cxHtDne4p+/9tvz+JcPX+AFMpjAYp1D0fvLh5+TBTqJwb6WnQ0hf5Ay+MnVHHi7
RsKWNKZ4OiVKqksGxm/b5jNg3iwKh9DCuD+UOTaTAanJPrOHBjxZrT21Tu5v/YF46WVTd8Vl8mR8
ZKuk7oeceSNav0H+7HlM8BXF4gOcaLfXp4mswbSe1H0nhrTYgttscBTYEzRUdCxt1wWvZmQkdJua
dwBfiivJc50Ns7hwU2WRemucYto2Qx+wUomaechWeMvWNNUPI5ScV6AJtTlZxDTWk1WBsCjTDwNZ
FN1SUS+stKr2mUDIULjc6tQE6v526wW+Fn41UE4h5KX8nx2yiMOkGvPKVgwFVJ7g1UENEH3plZw2
RMoFb1x5/Q/ILfMJMn80iRscyHyfTgLBcbwQgO2QRzT6YiQT/EknagkJMHa9b26efFplDlCAUNp9
Ophy2cx6D02w/YsUW2obnc05MVjD/T8XAkXin56g3IY+UEodMTVn9lwO/lI2cFZjmEr7mrwYg1hZ
5hQIM29nM9nHbLoDUgZcODfxAjxCuKEUq94ds51Q93EmYZKWe8JLXJKOkuxAloscFoyU43RJFm2c
A1MpNi3Brtyuhqt/jIOePXP8tx8mO9wfXewKbYWlNXdXMvJKuCaUY6e+aO117uq0x9AirWzBEA3G
dGbAfiBdOScAg4XYapwqd0+67DMyKsPiVcoxI5wh3vq1AwmZG2tYyU7vvmpypB64viJiX3EtMhyT
W8FduyPseS455++1ItD9FQjmztZStHLKjAnnsMZXoyIN0SqBdvB6ohxGEzeEHwou1sSUBIXhPv/E
s52vmr5PD6WRQM32s1FjkzzV2wk1QHkyVSD8JTCe6IXnQPwitWTOlq8GCzdknCevZMv5iNfS2gl3
EXULEEiL02AhoyoCLuUaV60f5gKnUeUB/CyPKpk7q4Z9X7iwIgx/yOrwR8ku5cjLyHbSGXfPRN+g
7bgNxsicgqXnSCFWGZ6spzBs5T5gmkBSjZFYH5EVxCMDF6dK77S2ncsff3wI25hM2YkV+0dOgG64
bOscFyYn+xyoOhnH0B5IvuRCQNUFQPJOE2OEiMSwrG9GOcUe11M3PSQFroCF4Sbq2lBb7hjZMWGS
5A3/NJ3U23vdpK3xT6RYjdDrAMNopmGNXwyoD6Yu4kAaFpZDo3EVxjVV5kKFzaplhsR+siJ8Pram
7Cduxysb0Sxe2pStwQJ2LimbQ5qfXTeP7s3cHZY8DHw+GX+cHm4n6r9l6k9j9eM//+P9K4+Lv/tZ
/tSmUoPz5P6/F5b7cnj/X37g977W138zbJetJPL0meP3uz7ddwADMtBxYMb5LvCdf6wqhTXT/wx0
ECAn2JbOrvXfHS/43xGzz6cYN52Yt59/ZVUprF8E65yMACMsx5wPSBMv/C8PSXAtbV+4sXfQ61zd
aYkk7xSX5VVZdvqVF/20R5IgXESQsCaZ1wbp2bLy5o31BV4OQpK0eyN0kRREJLHfC6sNXtLJDMRd
HSv1GZGfEkIewxa7DIrOImVbTYh1SF9cBxDZXka7JZoEqTQQPByowSFKvOyr70f72Ned9xIhLWIS
SvJpjjTHMEeCmpkA0SnsI1/E+97us3VCEd8tnMK3KUFyy/lCPwpjU3f3YZZN58RXPXE1tbjiDeug
UvdV8JPk6fwSav0pzTrkhSQRJ29TYNXvgnr5VaHyWpqEAP9EO1whwwltRNCNcu9hurK+UKMl75kF
qNPkNiR1+5RhP91c0x7KIkFk4vZ5eO41M9g7onJRq0gPNioFrDjSWKfJUk8mw1+ooYveJ7w8JAME
co3YMHrD9I3K0vJybytd0CEAfJ3scTSi6NLZ3d4u4cjt4iELtwi8vANWpn6rg4S1VlOeO495BHtt
y1ojc+GGRSaOYfiA0yJKC4NIKVH6XyRFq2pJY+bqS7CM3Z3jN+0SCHB96IJ0XgsZpBua7EuWWa38
u/kAXtgM8XiK+JV3FiNQpk3Qu921d/N6F3Ic7lJNlx+RFnjt0gdcUxLL5bCzy0C1YfvSwOMrPhxi
EltmGkV2MdwA1JoXTsmFYr4ERW+7/besYy/rdDjo7xCnwIyNplFhyA9ZmbNfDNpViFIKHz/Z5QWY
9iUoHWLGLKeqV2JQxJhSNbcHIG1WtHAiFd57bfVT8lu6nd5OdYz/1Sp/DvhLmdsOE/BUvM3EMjWW
g0uZPdFL0KlkTx9TrynREws+n9O/V3Cl752hIVWxKmxIhVZDxq5VW4TUgkheqNgYLlMrw+Sl1lE9
9w+T5sUoxQzMGO2WRLT4OmBSvs9N2I/ZF98utQG4APKT8EWKgqhcEg2asURD77h5cA4JmlrlRkm2
pGj7t8EmzccbDfM59PgbSAZXSTY9Ckng2VBYhr2k0+yLHVFWs6I1AKrLHQqEAbDS2AqC7HMQfMRh
NUt69iVDnGHhFkYzBzKWa6lXM93dCDZJlM5eaxgCiIZnNjEBlFlq3LHdM06lTgi6KsUVzdEOup1N
3izBvqPeYLfVi3EHAIvPfaYk5mxgxmBFiipXoChq/ayBmHFWUnYWy2Y4uPjB2oOZN/maQBZ3byl/
OHYW7pShzunU7K5rgedP9Z0jCUI2ky6/4s8T7MFKx94SbN5eNV8+TBE3ZsqmGHXTM6MvwNZe+uU1
pVgljhNReSTySevM7Eyp5y5lgYUtVrbxiIOfU8vLWQ75UuAncxJkZBh5ERGH3rI3kcL2XXpvieLF
F+TMsWwjka60dkkbXiEjRmjKSWYOEGsuk1jvibNALbljXZjjhnfmT7scnmjNo5Xej/7eLUm4MzOH
+CUzMa9Ohfub44l9iWhssIWCAG/K13lzIruTjTJjXatEHcfcnl6tTAhqaBBzIKYynLRRdHC71n1i
mNXdVYOTKQ4pyZnilpwdi9gONOBs7Pm484n/1Fn/kp0GDAxVRvYjDStvVzJN23Waj8LN0Hy1DiXA
ucCccMkVkBsHOvdlGKf1OQfWunWb3LtLG/OdOShWnRCJmgLrt2BK0q7hmSNvt/hQHoYMdB6B1EW2
hP7Pp21aCTeqp/kAIuORh4hn9Ug3QeGpJTV3cYxRAV4S7N5fvU7/CMMN7Flr6msdGvqKlNwOX7eX
f6tLz7uPWuaXkC+K9lvi2RvT7jQSVFVxMeCVr8Ys1J9M38x+ylG0by6ZX49uPed911HIcqTWN1kl
ulM/tUBDdCHR5BNivsYXlnHoRnH3SNRqefAiab1bkkvasuoBdFtdnDyjksjLbIPENztdKlaF3FXD
+MgGbzY7akZ8xp3VHsGa9kc2z8FOj+xk2ScyRd/icWRm4YWQiIS4ai1msNq5HkJXz2Xra4Ur9Owm
WRvkyx6Ip442eZrk59jMgueomAbCiCtbfh9jM8YFofXxkZBYuUOeXLPFNtRH3nbpkvZverJ6y1xW
QeIiN8nili1WLZ9rppRH2G/DcWK7jTfI0ROutzq6Qos2HhkUmbieCGBBb9sSWsJi9rWqK4mu3GHa
LMvZYz+f9jzR1XsE8/MJK9PM5nAMtQZbm1J3IjJBvt0eSGh+aDsEqZewsQxIOnrt+OgvRgf0g/5t
xLBWoPNxm/iVyc9sxGhLp+NJlJKVcpnKiEjdwurydWc49QpkhMJZo6vpy2t7Zx2kY0HzGHMER5Zg
SNg0EFTDaOy2g54/DYqWDq57iOmNlS5fZbbqiiJ7sMDTr+zCPXQhqe6108T/3vz8S6AoKludofQ/
qY+5zooyln+ukW8/9HdBn4sCD0bULehhjtDi9/29TjYohm1CtcgY82e+Gt3777sfYd4o2Tr8KMfl
RYg/RIhhNXdcsGjYMW/U7b9k7HTErNn7wzBJUFuSfzWPErAqAKX6ZZIXO7FIMkNGB0UKFqVcBclw
ronuqtuOc5zXnaJDGkyUNlPLNrBhyuu9hz4slHRsOzKsArrTeX063Tap2W2r2s4LVgRn7FoBQrN3
TX1WsPVtG9vfNrNjkDnoLEzZH7FJefUig9zM+v+20w3m9S6aMja9tMLTnoEF+99iXgVPGeMesDCJ
YkM8lMGB+Rd7Y+FpDJ3nZfLN5tSS1L0OJ2JxqeCzVlIXkioF/3kQ5tE3UehJCtDTwI5ikffdVc4L
bPe2y4aoxF7bnlfc1bzsVvPauwnN/Dp79oq1q0pCLxJPhfaisPXQWzhJdc3sCodbONTURuW4CwfH
P5hk9lLweVsk+A2kuDIuN3aBs81EHMCHOcA9IhEpqGErueZrNp8lsdVkj4ap4IhE4nvYjxUSn9Ff
IRa27jszafY9TLtVZJj3kTMxXiocd62NSMcVHKZ7y9Uy1GTD1dYHcI1ZxlO1Um706YBT3QqeoqD9
C4CaeZ6tYgqba98wIAVFFYcn2UlxHqJ5atN2U3fUScakXj4HVZP/THrH30CnwtdrMxwIG1deTcf/
tAM03waJAGz5ohrtFv/AkH318c0u0H0WyyqzD/1Q5kuXRKfHpJHWlbJI3VmVO9zHUq/JaY8+EtOK
3u3SGVZTqO4y3R5X9hxYxGiTzb9TsbqnRXrMmpT0kTSTZ+LNIsaFxNcHfvrQZEl71hR+/Zg79hmt
NFwAaarzGEt0WcoGTGPzSjU1hBQuQfg0Qe/LEUTMIaRJUfr8WrJh2eJUJDtGtX5g/vGV8d+zdxfZ
A8PULFqhifCvbmxXDx4dyoIZeBKgwp6msyAUdZlUPSskXZW4lbviqptc0a7TtUczFeJuZJZaNZbY
GFz2p1JZ01vf4B5aU0xHBI1FxqoSacZs0+rFqk7TYdslQbjRUO84li8PeuSc+l7WOFsdCjwqh2Tp
JUrbUZZQcEuuwZXSxxw1F1ZcRtsvmpaR+DFdPVyjm8C9E/2MuKoLvERdch9ZzUVjD2iwvFj5mbhS
SWRrQqU/JbqfPdKLl9GijWRw+j13m2yTxiZP0Tw2IY0NGYmgfFPjlxZiUimRC4FN1F9Fh5qTyjDY
VUOvnQbok+ugq8IVhckbh6G8mPDeN5psSsBUob0fsSe+CAeMokpcucoD5qyaZXJbaQc3iOxFEJtv
kHrRRLl5s2W0bu4TeZjaGAUIMe5wqeZG90wOB6NaB2lvw0gPpDxc7qGKNynykqVIE4nu1soeKs8O
933Cx8yWxNr7voMURKHeKVoA2VVVNdspVc5JND0RfXTkDUk1EM0MOTwwI3/BLqfttHq0z4MwooIb
rJRi0HHwMfT1V7XRmMn9SPprTi6Lfc7RJjG5JFDMmXzybkbyrEwUbxFo+3vkYvGFOvG9QD65R9FT
L6bYeHeq3m4XUaO332XDW55BmKumysw7Kox8o5s2l7QeIn3LRQYeKcruR47dRaRmcmTZlOXSLcbv
UwdlmE1ZsMQx0x7jUY3f/ZEc3wXEj/oR4eFjobMyBHmVX0qUnP6i97Ouug9J+Nhb1RDJbUXIA7Ih
GyEdQrZyX6V9gNqxaLO5Z/SvbeL+rEp9WBLTapAh7WXEhjAVIGzVaWHXOEVezpqavFMgljo7YSEW
O9rGmKJp45ltvkFmzYh1UVRDprqXKBulIXYjc+QDBL6o49mi1Z8pXcfI5j/p6MmiwXQu4L7BdCSl
8nZp5yXTUYnGeVA8sB9pxLhF0oFLb99ga/8mjbg5RMR1k+GKk/+j5eqPl0bH0H5paIGLEs2p3Gud
aZ65CnCoHEpT9w71GGib1k+KEBBou/8v9s5sOW4j7bYvdODIBJAYbmueOJOiyBsETUmYp8SMpz8L
tN2/pO4j/z7XHR1hd4RMoaqISmTub++1oa+HN1HWZQ8eJ053BfXA3UeIL7i62cm+VJ7dbDlg5QeJ
Z+fNWzqgYHqSBWEn3NqXEDdyvMJLhHIyDx22vApeyGD1PTXc40y6hqX9W5HaFF5TkTlctX3T3DKQ
AIwI85fCCNRfVJtEYUJY2bjUnsUi7dRaxC88kwmQD3l3RfArvwl65X8TY4QuFGWBhQSd9s8GeOTr
HP2IuVj2NV8kJfWhLsUfSlO3iE7hIj+psj9irMvX6DtoU4ytOXv5AZ/iKkki71O3CFmZ02RfjEQk
RJc6E5whJWfDHZxf5xPPEX9bfUhi02SikrhuFawJy0XhUS8CWhrHvs1iFJIQTIv+dnRrTq35FBm3
8YcCZ36IcR+yXMZgjrt4UetM2tcgR9TpF5vBBLp/8QCTC4YYsKTgmMo0J7Aa8WWtYLrczB/6HLMr
+CdmExPPn0xfXDF7Gl7UMA1f4frXr6iU/a4wEl8Do/RD1Kt6Mk7MMPvbQrHewDPUmLXERMOOLiB1
WYbXHDp3qvTBNYbq1Q9H5lbTHFB6IFHwNkmcIN74jIaeYTPb9sorrfYeliNQCmO0atKaVXbkOxcn
e7yPnPsmGz83r9zfWq4WL4HfBva2iAUJAtkbdCPh4b4P/IoZtTW5sOe6gsy+R3MGyzO4GQWRFjS7
6V6moa1PkrDCxqkA80/9cho3ueHcrJrXIynvbS0IhDoJXDsVgfZayaa6k13TbhrGTJfM6LFwukSe
NqObVMfGtTVNmlmhX1KdLDaUsGskw+am/Aw3siq2re1P2KmTev66mAGvAjFUG8t0frfDyH9ycW68
lWFT7mDw9dmGJR4VZ+pTwnaDn7IiqnESx9gV7pU/2+5rr3R2qJBdQ5L1CsP6ZE3W7+5AMVQbSOuT
T1wxRuCwRntVa/LIRQmDLvRG/m9KlMA7JLiA7r00qPv1yATyradXaI2+Vb2GGOvvlE8GlXp0U7x0
HBrBeYqh414STbcC/CC/+LVZJ1t61cPFn5cEn4ltFU9Yg5xmZzFiO3dNN+37xDCizaxpGszJfR2T
ML0FG09fRuFehxOSWpT3694ztsSFKUmbWv/Obn0B1m7h8PiwizcK8MaNk7E39FCb9wwUMS4q3du/
+zSHOKDeq/ATPVkuvdm42KFRGJac8K3GYg+vM7xuWpPeS+ZDRzOh42S2VbuZKyvD1i+6i6Tp0el0
/jVKzEVU7Bz3q0NFLXFPAv4UO7T6CX0y+N1h5rKjtRFfMb9NeHGVRk1AZU3xQFkpSe9AAfGPdUg3
epjayZeKcGUBEol/VEaUsbRYw1XJwPE5QwB/jJWI9njmDc4HQXfR1UhVlUydRWrJKcIS7BHzITx5
c240ZFFqxoKxj6pSmGH6uQFpg80rGPAORLEiOV5VprOtg3k+p4asTgOWugvvMLuYuDXfgzluYZ+0
7SGv6n4X+oQ56iykFCednys8Id1amlK/hVbt3lIWZ3yVItbH/06R/lf+SKwITFd+cUr+8hb9gCCX
f/zEX/ZIKRcGOf+TNlo3v7l/HZGldDFBovKSb8Mex4zprwMybHKOrHCNHWbf9sex+q9BEhE6HzQ5
5shlKo6n8p8Mkhg9/XhApj9KWIKXtYDrbUkTzI9ui1QGdcdXxLlWkW0cQ3pX6jOVCiR/DU9OykUk
xxJgwViBEJc9zHGl/N85dH+NIHg+EP+yKMErKY5CT3pOXSM+cwwfW7bUXsbJAVA+T9a58TmZgDpA
/M3MkC9HOAz1kyjqwFgVfZxZ+Tn1YZUDrkiSa9eMCLAQIPd22MyLYx5MjNCTjpVoWqYheWZvyJOo
XRRjItkmfneX0n7Kw1sMwSWDknBpOrPdT05fn0xfD18A5bzaeQvQwG/ESzZg1hdVXL3qPBVrIv3O
0bGaN0snDHhHL4Kt4ZosyPMUjQdyUPaOX5RxzQ44GClO6XeR8HDxrLWPAKfXbtXJvN+pJiPdagKO
vTGiyHzuaSa0O6vayJjBTRNH4n5qFhBIV1Mc2YpnelX9p5HnA0bP0WIr6j+Po+dsezFRONvnd7gm
64PdafOatmX8gjB4GEFBccfaPRyVE8VXvpG9+S26O581nlSAyGeEeCq3S6P/vUnd4DgFytoxRmJH
lNFLOCee/Gphf6oZYOvy4Jvx167DiO4P8fhZSW8AxMz4j5i0F67rPPNeCS+gtboJ+TKvfM7j/Lk2
uDQdmjM8t6F/CVogo9i1yq2dxu5aVUv7jzsUPLLghioJS9KnNWge7aXzMKqOyx35VPeNs/NkQEkL
W4f0AMCnxsrhunRywMCmvoLY+V5gWJw2VH8ODAlSGd7b7INup6mZbwIc++totutLRL805A4xKq5i
lZChXHuP8oPpirbB+GFgL3dReTVdIpgBV0jNyc5hAb4ldKh3RdOM7y3NRsUKTx59oKmBD71p2Muj
p8h9TjPMBTJBfBhV0VzawINkNTpD+CUyM2OdVZU6RBIi1YruD/cs8UlyhGhdcT0UeN0d7VOjowtT
FEDsep/zSNN9skZagFfsd8xdaqU1EWng2RszjPpdH5mE54zcIDfF5Onc5xz2Vi0KOLF5zHA7nzxY
XPOiaNiqTs08NU/oFaR4egYh30qQVVvPy3wgolD/tDK+OLMSeDGiBMorVWwrizJzMgUzpkursqqd
mwj/mRhluuLAfq4CWF85rQNweZT4vQfSujNB1rwTGpixGuU9toc+cvbYHtRKy3b47Je2hTQeuBvh
UkHTQb8NkTGG6VwOht2uPfBqJ+KDbJ1yrEvbqTPnW4Yn5Xau2a04zlhsqGA0jw09R/eoI2rvZUP3
SRGzuCOwELFDCLBUuH4Yn43KmohY+F6+9nzekoNML3Db+QRe3YEjpu4nZKo+gSpA51I8ePNTP9bw
sHH27SJytpsIsPhKt3ZwFXmFvnXQq2Xg6Uf8xM69b3UHXVjzzUBQfo3gfUK5i8naZuZ4ZJ8N02Jw
ytskN42t5NxMRqbypgfKvqorRirmo8kG6zUWssYtDrOmG/TAFDCOgmMB2fthTGpz7UPKsMZKXIFb
gBxTDnehXevLlBB0ZfEU1w274DUMKfZWOZHGXjBZDK1BHOdafpGDcq4ruy6OJmLLMW86EoCyYYRV
VCb+8yDca5MG0yCuHg23mgKcXVb7AFtk+pojAQF5dqfDlMCRoMYqx0hOewyOS5MDY6zSvduN1SYO
WMiFObdnOmnHJ+rV7V1dFSHGot65EmNhwDNjIfLDaNgE9FS8WKWIDhMn3TWxSkJzNg1QhImU88JD
cD5AC2VvktQGI/TIWk+O3X1LAiKFNjD5+4byrnVFbRq6q3gL5zzc1jS6bEzSTXuvb6jhrtiBvWBO
ay86z+5J3HaUnlI0ZWlNtx0ptNu5AH4xjN58KySRkibS6WLWC+atHTqaajkAKkSuvA29of2mcyP7
K907/XZwx3dab7D8sWbSMZgS0NGOMi6RAf6nrNTwzCYP9q6s5nvHG3yoXKXz0hHQ25kMsjez8rIj
fvTxigm3wYJF286gYvs1zdhEei78YBlQhD6LUr4NJP7Ai81PUDPIZg6TeVC9w/hVEOd+iGM5on/M
3hF74v0s5JHdA+4yhjLONhUTv+DCVP7Gjfu7oUrDZ2NUxCU7mJ9M+6PbJGumYmUwO/okQoeQHPvC
E1HCCik3DfwD66aBY1hcGtew7ue5u2Xk0q7qTGRnktnpWnHv4W0181MAZ4evBOY3XwIln8Po6HvG
fUoYdD0OugQFagXh2i5C7xDTqLgLvTbbktbJ18ILLuSkUzJBTYefi3Mc0DoGxVWOFERSYdfluOrC
Fvy/OWYkjukbw7WlWb6HYHiLYlHtjV4457lv3HfpZhnZ6Iq5YaPvGitXD7NHdclkw3H2KV9nmOUi
hxjz3uvcbltjTHhq8qg7KSd/S+akPUaJiwU2jct934GG65DakZWNsDnF4EvgGYb2fRMW5e2MK2/j
8eTq0QPuZFiZLwa51ovPUxkLsgz6ZxnHxiGbe3XJqzg5mbHalVZSM00TQHfsT6Mx2Cvh5dk2Lqxg
5UKUfvS9sNp3rVffVB6h0bGprJ2og68ebDymrlG0B+tEsovR16Eps/kSQRk4U3gXfu59tD+36ctN
NWeYJhw1f1MM86KcMbaZJu4DpcNq18q0XfP6cGMk1lXPqrql3fA1aDhbwf6ObjCHM47AxT06jKgD
aT9ldQoXMKHJzDZ0v+f0xJB/TINX3U3j3h5j/QqcAy+M3/lAdcz+6A5Jt0MdeR0k6wrpTLkLmbGn
CywFV86b0aFt68kSKxfd6uQzd3bTMDuP7dkt8VZx7Mv7azsrw3XkiXJNnCV7SgyneGBTlZ6L2uNR
ryS2unhIGSyWZSv3vhtW12Qqd7mzZNEwpaMs2cWmGJWxjxIb1TAyw4uLn2+LQNkdQmApAKqGxLmF
4zQeIzuDNuZ1ejMliSKnN7wSFE7QbrSq9lBt5psK+OGaCmd5Kmdd7JQ3jG+dh7sERXlmk5I2Dj1Y
dKsWK2eq7Y0q5/G9oLXg1aFrQLDNfctDP9jwQr7lXV7vEvA85XoqDH2cGuGRK0/B3886BV5fp8T8
JV2dV9VogiFMQasPfY6l1bDDL0GrzQ2QR4YcuUOiTvkCamGa3LDvXRN1pFbSdOadCCqeoEMgTzPr
AHgvdpsRutwhsAzxzQO1sWqZ96y6FpofJT3hVsZIPmw99LbJ0jvlIhEDVpogHgXNQrw0k6PgV/26
lPMd8IYGW7foKtrGpgaXPxOUNai+ZlMPGei1GjfQ5zoSS5VF56pVPIs7l0JOcwWAL7mWQyvfx8rN
buYRsU30Zgb0MDV3QTFnhXzwxgD9fxP0XlS+x13eA/3E2OHnj+4Ypal9CqhTTs/t6Pnl4zD1fGpl
+2U06A3yC3bKq0Q7csbHk0m3XxdDolAc4tTdTFFYbAw6r/GCADr9WjlYVQefV8geQX3mZ8pXIxwo
nDT76gg/C+1R9t64EY0Xn7req6/qiv+6bJzyxeKbZ6WT3nFF4yolW7/pICPtY5esN7HtscCNLbDZ
xKN3BGAy8w3mMHftds7jTEcGKo5yvthZ1QQrClOrc6D8YQsAT9/rnDaFxMk1UMUqvxNDFG0ciI6w
x6KhO9gZCjOrAXVoNdC30mYLYw7N4lyO04OjM3uLv888i6KxT1qQp0KXoH4J8znzvYkqDtfgeiKt
yqcx7u1nGkUwqjR0bBNilQYFsSLDAMAnd4/dl7BV1k54loKbMPH4WEXmjw/j4IebPmEmv2ZoJq6m
KjTXSUvli7YyZL1GeU6H1asii8FTGFYHSD/mF4wJV01FadSYJ8lj6GXtC9FcmreBVV5PxRw+YJBp
dtTw1FdBHiV76NGcvhTNstdGQLPeijY6LO5dJY5T0tQPQZCLdgP3GlURnuQxbXRx34bomiHglU86
0mSrKq/+XJThpwCL9sU2cU7DCqBzwjKX7F/ho/J0vTi7fl499NHYFBtgHYV7Re0V8JCofgO9ANOw
mkdQ20Yk5jXNmjz24zkE+CKyAGE+m7LnREBv9JIhwBXkU64wddLccxRqn+AW4YgxMH0zWgjPTR5W
mB+xmic64UtISmRm3NcqUHa1Zq9DfyKafKSG32d2fez4DQotdDlOt7XrpWDBoRfc69BnJ1bPBA/6
hGKRxjNojAXWcQQgGx+jeU4uisrHY2757nWmODm4o8PNJIzfM6+cn6hbCNQKVytvjhFNuRUqnZ5T
lgqcav0g1nPizjfGVALX66pg35p9dk8enOqBmfuKQAbZbTTsU2CmEOjY+ZLm8ctDkQRynXAsg3hZ
LBtZqfRFWWyu40KoZQUjBz3VA57AJk7y+nPZUvpyI5lWWQx2HA5jNRNkQS8uJvt1FzlQ3uhld+Yv
xlSI4VZSL3xwIgiUcdEb03NbjNX4OA8GvFOKzjjwtredaJjxbrvONZnl+JYehzMfifa8XRlCUF9b
jSzBE/6f3KaO3oaiec0Mdk8UvH6EhzJ++k7++Q/Jvw/Y+3emAzA9GA7IgENEI/KqFofw9/Ghqh6H
JLPkcB0ajdoYPuY0SUIdeCsdyxBkw1cztxBYzZOVqp1h652K5NZz4cJ3JK9KSqsYs/pzsqF1Yv/r
F7ekXf/ttZEKkrbj0m1uLhCk76JNuezrQgTmcM0c8Nqt2CsGh7j/u/zaf7gINCfbxdsBGPfnD0BR
OMehF0pLbApynRyBGdMWbvlHzOm/xva/NbZ7AM9/JUkWX+K34idv+8fP/OXbsX9bzOhkP9AR7e/t
7Z73G5Q9hsIW/W6+IP/2P6qk/M2F3CUE5kRuH/zt/7K3W+5vLn+w/Nifbp9/okpyo/x4A2HboTOC
v43eRpQ182feVYeBJJ6j0TgG1jxurDrL3iDZ4GXrPigP0QfxYVrgD01H+mSdhoQXnQg4xPzBiZAL
MiJY4BEu0tzNDG741f9gS4R+GkKZW5AT4wKfyIu5eM0V6VWc/eYNQE4HcjqmkSs0Q4KVuPnY1jZ+
5gCB9h5cnWb3euz6G9G/5Qv+IlpAGO2CxCg/6BhznxH7SkU1vqEHws+IP1gahrVwNcYPxobVLryN
akFvRAwWSMnonP6dydTBAsmiBRWxgqFE5ndXC6fdYtwRzOw3tenZ26z0YHsQpE4k2PLE2tc+8ael
8Du6WMnCBGGGBh/EKDJ6F7BJlu8VyfcXCBvzdddMYg0VpTmHfjO8c8YBOdLGilG7F05nNtz13VQl
4ZsZ4WqME7NcERQFYE1XlMMwD5AfSJNZjeUtq3wJf90bazI8+eDuszFOrz0rH+/szJp3i21vgpni
ukOHmohzpS86Qr/2BK4ndm/lB2wlAbuCAReJcMzxaivJfqxN2gdrIltGsVyztYfJOgRzJbMVGdzi
pNrQ3SQ0iZ29D/jL3MgaMg/+1ZX4wMPECynG+4DGaGPKPkEd6h66hSyTdBLITLfwZuKFPNMaHAyq
hUZTFL5xGWYTma3Aa1RC5V0PYzBf5lB2z1k6VfVa+bm+DIGuz2yxe9qMWaHZFy8UHNBE0U1vF9m2
Qs5KaB3xOSSg//dXOGz0UoEBU6de6DphMwLqpaSJR5qZDM0rVfHU1g5BTZt4WlvhbeH5hTywqMf3
UZVaz2aYx3f+rLgaeXP9ICvUS0gY9ll+AICihQWEOwe05AQgyGwhBQ0LMwiwBm7ePBlfjCLUOPFh
CyFFuXrnfCCHpLXgh4aFRIQXDSgRDQAlVeOh5dxGH9iiHl5KgdF6Tt/tD7ARlX4E6wTtUz4xe+Rh
8lr8HtMnZLDo1h2T5qpZSEkuIUF/Kxd+Eq2INjoYrccbbtfy0bMgLUEJAbpk1Py5LEP7qu7trtzy
mK/Airg4nBj18y3/PBYyWQrSQ2pX+Hio7BZgpOm25l8l0Yi2XY1+PyUOYpA/iuxSYMwrCHfD6qfs
bEBiDfpZBPfT0FvTKVJRcqgH51Z6CVN0GzgNzfbotgS5Ab7w7dk21EG+BAGHVpkFDHTdjpnBOq3M
Eh2uUQ8dcQ76vqEHrVt7quEPx+LaxvFzaRHkAZElatWUDSBt6uGonKEDxrNQ8jTfl/ugQeVdxYw5
nsYPBw3eKZHcujEkbX9jV/iLHuy5AdaT4asq1LUpa+MwdPqTzVT/zkg9P2ULiWnHwr3Th4VzVS6G
nnyx9mSLyafq8ukO45QJXQALULmYgbypye4GbSGs/mkVwtRMkeyWFsB8Q6/PKl+sRbKOrilCxKKI
6QiO4aVPTmyg+Zsso953i0HJx6nkLJYlhXcpSfDV1aT5AD7QkvdhcFqsThGzsGOw2J/kYoSiKbS5
ifFG+YtJiqYJZITFOEWUJuCUDtVn6sRzsdirKArjlzx90U1/bmc+w6AV5+TDkyUx1u9EEz2NH4Yt
nFueS/4gx8sFnDnbYkG8F4vNK8DvhRPlxhmS5LbFCcbGl2PTdKZRS+xyUT70MVjCfHTb9bB4ycSQ
9hvzw2CG6OkdwLqlSJMLfeoPKxqmtBpt9aSt5kyPfbibfK/fm4uHTTYUg61s08XB4qfRSYeuHfP2
qvmFw0VzBZ7K3uGeXpncRmdnccqJUJvIfIt7bqzLvaEKY8mzczex+b6ePgx3TYk92ltcePUEU4st
OAcBJLrsLl38egR/vrhlJE5pHMrznPv11mjYVq8ryIjLMgt4H0ziFD66sFg3MFvKTb04BOfFKxg6
4XSdLf7BqZf6aU7p1zEUKprpx3dKGzVfCZyHREYbzF24EZFa84c+C4I7TN9UDC2uRQWJEZprf/ax
Q2zSxduYjcFbtLgdzcX3aC4OyHjxQjqLK7Jb/JGt5ZyaxTE5dtw6iSGe1eKmVIuvMkrGgD5VXqmZ
AkzC7XBP9sBdz9047eCW+LtucLNvoPOKawKYzeLfHFobK6deXJ2sMcYlaWOsnnWU1/c0ZWSbenGC
WosnVC3uUABN0bv9YRlFfKcTM+3uuQkzes9FRixsOSAtbtN48Z1KKW7BNNmbxYF5zBd3auZZ/sbo
FsfqIF9VrxnZSyN9yBdfq1ocri1H9F3zYXtlOVwssMiXa+bFxY4EADYI6qv2cnHNGj3+WdUME+D9
eDw6LY/IMZ2do0HdnPyDv/LfffLf7JMtJcxf7pM/fYWfVrTf+9v//Jk/98n0INuuBQ7WEhKzr7L+
Z3jvWr+xjmHbYaL/wZ7lSn+N79VvnHPZtRIRZZf8sb3+a3xv0p7sEzuzFS5Bodj5/gNk7XJY++4w
BzxJUQnu8gq5iG2L5c+/O8xRLdvNtIWpg+cBNAHiiiQWIil9d3b4D+fZHwFKgGsc+GjSWTA+HAis
JTPw/VWCju4IqwyDQ5cAkqXkl1ZXpDsKM1oKWXKHqpYM2KSm07OtXn597eX39f1b/Lg4FUhYCfnY
XD7sHy8eOVk2Wjz2DiH9JenO1c2w6UfJdZVI7xNplm94jSofqEVsbRiFxl9Hoy2KraMdC+SnxDvb
JfGexhDEx9ogLJmW0U3jJQU0dDz5rLu6oq8snK+6xg3uiW0Om/+PN+Fi8pDItIob6adPUNCEZOXt
7B/ASSytsFSS5QZTkNgdpqfaoiI6kKlLXWmOjrzEPF8GH+qNouWD1xf7460DQPW2bCj2FT1BUZ8t
/44C6+zI7idFRBvkYx537Q5hjVJPI4fe/ev38JNu8PF78FAMpPeRX/4ZjtxQ/N5N7uAfYnyzGy2Y
aI+9BpdLhu/XV1rUke9u6j+u5AnyzR4aCuX2P/7GFXxPuHBcqbdCcZgQyPat49Un3Vr1nVCMrH99
vZ++RB/XQ6TwbJNbHNTOcgd+9yUyZVMUucG0vA9jfceKQjCrC/3Lr6/yHz4/G9EFZiOJGM7cP/ls
fM1yweCFoKE5xLD0km/UU8FCarzHX1/o42z80+enwGSzMC3rwr8tCkkoTZ/hgHcwebYdZ5d2wMjn
npmYy26mnPzFSiKzMbpt0/upV96lymi0tikBvo9oOj/nStV3elrIME6PGFlJYpKrXoIqo7EsOJUZ
vbkx9+ZTH2LDXoMLZrwUJsNMLjXkImNlk0bwzJicm9M8D84cH379Jv/wJf3wLqFqScnHabpkhXy1
KAjf/dYCM2DUNOvxMCSWhEDLGNoNg+Zo1DrdlWmDvZ7E8Ij3cKNSmDfcvMkhy5lc9bJqd2ml9TU4
S/ThtrBIlRXiWSJtXiuqUF/dIc+fVe1sCYmbD9LPiQbpIZNMhIPs0RSpv4tmoAQtEjLSKm0KRRhP
+zSk0bsPX1nOkOdbpUhWmOrQx9AneLpQIlQFJtUwTnyAMjEx3I8pSAL4vYcb4T3qQCXHBG79pmAr
zjw2DN4jSZwmb9LwyOGgv6kyib8B9rN9IVKU7fvAAaWGJ3vt2FXHCd0pszUyOsFuXSJL0LOQ1exk
i3wybnBjTl8mnDN0OUbtNkxba68CG3h14kRUUKaVQ0PybN+pyBKP5FzzZzeM0m8Vme5xlQp/ohpJ
RwX4CqyUyPPR+Nn1inTj5qY+KN/PjslE8hVHh4PrM/U2rRcX/srK4+GmA737e5Fk6k3UzdbAL0mK
NP1qpIZ3hVIBYzyMw63h6hNxeF61I+ttavrHsTeK6zKoAmbExdCCcmYbZbgF/q2E0WvAWCSj8htZ
CkhkOdCukFsvKnKGlU2w6RimeX6xg2p6MrK0ResmfnUtO4MR/4TNBqwoZ2+8p9beLH3v2M229aYD
B0oAn1NxbAWQrNptrMfUhidWcUf0KOhdbVlvZU3dcBqZxsaqRlxupVnoJ/rsunWZjgO/Gjw7VGuE
nMW7XRRZd2aQd1vWtv7YZpj9AdYx3tGR+QXfGYgWR1Z3k86uYuh2awNM9aYPs25Dth+RiZjoWgtx
4ujPXCa07RV4hJBMRnjFUOU1wmN8iKCc3QdynrbMxQCjpW8m0+HNoJtkbSSO/6lVgbfDKiEvdKoM
dI2l/qoE80w1PSJUt/gy2LAyrAbiyxLVgf7Oi2RtE0I4G17o79NmLNaT4dENVUUTL2YMdggCJOJT
qyxXWmDpWvEwwrs1t3DZQ88hCTwsxS6hY+510xhnReHOpTUo3dGjmt5QQMRdFzdkaouJPC9+k6Qi
SwprcSUbWZ+nSdrHqBizg7RicSCOTckLgwqCyxiZ57TbmhCZsY1xiJhbaKajSIp3PMbhZ2YT3RfH
babPVq+HE46m/pgS9WUoWNkXLYxqX7d04ahA9McOwxADkJQBUTZNobUShHXkkU4LCPAbWTv5Nhdh
jl9gHp/sXhQ7S5jRUZDJ3jLLttfJRJMV1qF4L52aePRY4t0WObNbqjAuSdFR7LQk0k743FM6APFY
Gw7tI3Uj0l2Q9NO3vtVDeS1old8EFZuCucc9pksTpcKEbROHPDkkjSUrU1CHJXqYfLxjfXIdgv+D
ntKNGYnpPLeieZ7hXd2YfFEJiAmqZ9OgJVYvqrLHgKMH0lBixv+T6PfIHcOdU8bupyhuiwuhAPlo
CPYXUHWiG0Ja7E56tnw4fRDyQz/h1TH4W3q1BJsZ4aT3zOXrz0li0V0uZviWBvtCQ1XTHgaBdRzs
Ot1VDJU/lW2TwTtTzZeZ2dohS2zWHs2bBE42XzkZacfZxyc0TVZ1bUVzcHIbzZMLZwdt4KBNNkmJ
y9HXPe88BZCJ+WAgRmeZW0JS5hYKY3gzk8XAKm+DACRQkTXPoQMit9MWrySl/wWTactbguMZrlrL
nSEHpQn2RT9SN4RlMhroaROscJ4fROJka5jPwYm9isJ9hFTCPlKfeqrQVxIf/jf2wP2nuNes66VZ
nxKm7VRz4vil+imv90FhqHNLVdL9xAWijYFvYjUHLj2WaorU6xAoTa+LE7X3wiX7EnAav9fCrKH8
RfKz8NS5SSVdwUyA901iAvRlv2id1Sj2bc2iIHVnXfdWbe8qckbHPDXBR2RJhBsliLYlbYJgeM31
0LYxrTqD2rqxuKUQysewAUJ0r6t+ivZ8/G76rm2vji70D5AsSEC8rNqxoHcJjD7t9hbqNAaYHAe/
PU5NCHvetKPrcTBHQisfj/f/Hlj/5sC60K85Yf6/veZnQNtvP+ax//iRP8+rvv2boozbxcKobHaz
Em7Qn3lsvoy/cd40ARAxXrE/uHp/nVfZjP55PrXIX/uYl5n7Wg68Hdzq/+B8ylTox808nCIfTRpv
uaPY9jrOT9veOmi9LAlH55yblcf30XEl/adyAFew7hqjamuc1kSLhlWaW2VwXRYTUBSthIGUN7ec
Sx8y3IBGTgzaYbC7ZfXVdnDwAhgDDDKW/albZ3N1nUb46N1drskMDtetYHkYGam48Fqo08P6smPx
yZ1Lb9fNexoOdxROuYS2TMOlA8VxdxnuRMK/dchqO08PhjcDEWN9jat1jfmNSMdiG573JC0o7y1G
mal10oCZX3EojZtDRq1JfYtFPH3QdeC/NNlsIaOBQWHfqPukOjuFjpjwTP5nwyKSwiUmZ96OIAhZ
b5ivQWOdCqDpZezdpHXhvNTMTpgfl8Mr7g0YIIhMO54bGDVwOyxjKhODZmlFhodnkqdZOufswbAx
vjqNqj+bjcX8Rpax/87m5j0bp2tP6ITMZEpXMf8IrvrOsW5ixYMVnUFu28Ty1yODAv4by6/vOPFH
kMmmSWzagUrDFeE+n61OVwKpsANnWg1S9QfQnfltR8jqE6Q3sjp6Gvak5ac7vzGnE6iSZUQUmyNF
GyA0DlGWxF+4H9RdkmLx3vY0LtzgZCNIrhz4h+UombO0xWM0u0CRvK68BXrirntMGRCKvNa8slVv
PhsQi2lFQ524Ke1wqVcHYJS7JHv7WM5QXxUxpbizu6006SiHmIgxCQv/zho4y2R2Ql08EMH51Zjy
aufFmbHHjTEfbYh078yP3GPUyOphFlNw3Rl1eSmNsMv39mzg2O9mp5c4ynq7BRTHYfiPfyPE2310
ZajFcLKOBTEo+u563y70KamoLylOiO1DVm7cNqgTf4csiNKJ7R4PxACicN4CbJTi/b8r6v8qveOb
3i/TO5eSzeW/Dcv/+Km/huXeb6yEJhMmi/zMUlz1r0WV9VYsLgdO9YhkJmnRf4mAlvWbQAEkFeOB
ikNY4IT65yJr8hf6WNIhZxDIpPjlHy2y1k8ChuQYbKMoAKtjLO9CDvvxKBxPeujof9RHBZbf2ySJ
Ie9FVM/U9sXVrqwTjz1oBeGyMdzgEdw1bsS8CE6GjqFLMKiDEgfitRROsWfb1C+NGRkDBC81Hr0q
pxslqgjxl6L11xKd/kYW8JATzch9jMLsk22CEqoW7ioDx+CqFDb+M+pxe1qdAVfJUOgBTqsxH2hZ
cB66ohv/xm/y01OGT2BByP9f9s6kN25k7dJ/pdF7AhwjyAZ6k3OmlBqswbI2hGRLnOfgFL++H+rW
bdiq+9mor7e9K6Ps5BQMRrzvOc9hdWcjb8IYtfz/n4oBKVC0oRrgpdJqpVZGbuueRJZgbSu1XBfn
/dNH9z9URD8Vcz6Ox3dtqa7wTbE+V0RtgxpdlGX1cTSg5E5R/rpQphZ+9V9smu/T/4remLXyOarK
/1H2xU2Fpbz73//zkxBiOZJ0bAt6CqUwi2/yr1emwfRosktycH4kW9nwOlbBjOIVJ1Byh57S3c9x
Gn75x5cnwbqQhsZgos6yXP7Pt9O06UCSrXPsBWkPK2Np+HSmLb1NP3lYav750Tzqy9BgfERJn+t9
UeCPSVmkiOfN0cvOZVvoHfIhyGx9HvyhOGYt642fykbL/UTmyUGkAxKG6vyvlzahQ47xfCXHJp5y
kGYxSWWbpimqjb+UimMMX9d92/P9ATx7QCCu6i15390/vmYUYnClXVMuViT56bFCpJFz0ZOH0/QZ
pOupmzuSq8PwPhDABv5wsL+PIY9S2dKPIM/eZQX46zW3xIA5qhUp9m2tbyu/7TbK4A3GhJzFCJMT
8GSyJO73D8f9+1viUYS0LGLABIF/n7sTGRXBJBJ1eizHZgCFw9McnX4cyYlE8v+PBpFLvgNSs4Cy
J4/Xgrf/6zW6iTFaQxwkx4S0Mpqds0TEabbzRcTm8eH3x/o0334ciyo+txJ9n+tZnx5eWigSmEim
OepZj9amIgvllCfO8Ffb7r9891mr/zxW/3UcVuHBkp3AcLV/vaZe5F0rqinBO+ENKVktpCWt3LmE
NjY43l2cJBQXJoQUaFwR3pI/XUTx+ffX+mnsLOdAs4qJDlITARqfxw7RU1nSeIpzGDoWxqgHSVPT
BlUnZy5OVeR7G9bl8x/m849b+NNruhzWZgpC/rlUywFF/XrpQyTAfYQSZStIk68tEumTcNz5qmY9
um+dmnBuSkgTQIh5iuQ6HPt5OI6inH6gcG1I8oD2eSIqHoHBsncIMW2dQp0at7+/O//pPL2lM0Wq
ZYDS8fP2JvOccNTSMA5Q2MXrPPdui0MvD3hEuRgFC+O0BuiZGhKIUTVmZzTwaGMd8nCP9KHcC7z6
4RFNlXMVGKKTO2x1VYq1PpDD/vfn+vdRS0/Fp3tHxRiu/edTNQPyXrt8RCIcmHOGYs6fMpKZOrX9
/XE+vfU8OkSfPDIp0eIsDP1fH11i2NwUo0uA7wL/D5KFL15mlXfBWt27+/2xPk/nHweDFmZ/IMJh
63ya2ma/8zp3SpnOyabeRH44bIDw9WuUPNTU7IW2P+FBtPpJfqMpFu0JbFJ/uLF0bZc38dfh6jts
cwmtYVHA6Xy65rytDZs3IzzInjLcUeY2k6kKJqc+Rn2tb9numa/ekpuQYHNgL1THacR/Zy2OrALk
PjHP4Smgw3ajYH/2+E3Sul03+Ilxq2WFPudxB2QXqfgXnTvh+4Dk5dGfc32GsUtMctC04g5iYnai
UOhdDK3JhAvl0P5CprS4E3FtHhQyncsY2kK/wftsYAsc9e0chU6/yonTu6bKo17ycDZftcEyjs05
jPNgKsN3EPtefSqLBm5kCYX3gOTO7QiCjJdABknhEcAmWJdV2djuSwxI5TtLHudhdJy6WU3hUGA3
g4Hzng/KHTcFRs8YCXsan1GaFUSqM7VY7ZC89jGTd9VF3js6NN9GcMWykbApEyfymARRj8lHuPvR
pYewKeXU/fAlavgybeQ3vxlb/wtoT8Ybb3+U7bIq4PDIo4xb3+6YOyFgyG8aPdBmyoLoLJd/2xHj
hcjSw//UJCOEeMk28D6onPnMdyZ/bJp5vP64vaEgqMUuY/O2dpoYnLqWeXwECS6ckw3B6JzRiMZ3
RlhNvZUfsxUopYtWaWYo35qM57LKGJGVOYEoz3NLH/qk5t5R9iaznOp+fI/dyv3atyauYjsyy5uF
ebKwNPmdMU7iM2QVks8bmby2ZoBRO2zbOUIpTsTRioqPd4d2z3nwS+qRK8Pm3hakmLzmUWHvLNiq
L6nXENrOS0NHLEwKfeuNdCEogLbTjTk003Uys3vdSNdKnnOhmJroIYLPMsEwOcs4LBYind/DWl3P
sa+SjZ4sFjBWQUub2HjGkqTRfY7GGfd/yNaL8mE3EJziGcTiLoSiTR93IGFSLqBbEX4D+71jgG3R
dtUv8UjLt5p8Ri8R4BOFSkjShx736RXSIONexBk3jP7HfI6MPD1lfr4NNAJMikLTNYH0zQ5gkwWe
Dgt009Hdn42qhRUfJ0fTb8sLomHdNaDjZCPszjxbTqlPfWOKAyKO8D5Sclu5i1JTlNl55mhryCDy
utBynyWaQlAZTnA/Uuebj/h0hVkViPMMGzkj/dw0Jk2kom2vLSo9u2BC8gRcBocNd9V+DJLhOonK
+ZRatA9jIMRgpCvMmQ6wVwNNIWnywQrDfXqid9bSU8lyADcLUqBzCfX13G8tnagzatDrdmkdUTqZ
NsPsu+S/2c7Oa5IHEdKmmLvavsiR9Jp9RtFaleM+Cwpi1zW5SLE2BYUSV6+SIP7SxfMrjJaXuje6
bWoURLgLWL02+uqjYfpPzaK3ohRU5+t5ojkT9rX9XDjuSYOEBG6YXMUiQf/livthCC+qUkZPivLZ
Nnbn6RTnBROwu6yRCnu+EonjnJH1NbdWkncnY6Cer7W4zGQz+1SVCxouAdbWxo66N3jM9WG2Kjz4
ZTiEwMwiJz1ZlVtZq9CI5GXv5ZxQlQPdWA2zrR88ene7acxxcqoB17yyrOaahZIbb0bCWjaZJN+B
jI/oAR3zeDdXHuuHqoNysCIQfj5nkAMWKo7cuRmkiLRI2uOUC5yDTVBwUFbR5zYyv/jeOH5BuDFv
Hd3T0OP7A0O4qjHFJ3VT3HQKVankTcuPBDKzFLAzCGHtzFok8ye+haXo1gKzP1NROYINDvkiyCiQ
hzpl60O5KtsULPN2AX31fT8OBFa2NICuO1M9SpQ2G2vEseE2GjpehBo83SiCQNKdl9rQi+su25Vp
5t2YMIx2QvbRV5VG44XTTxuVhOMpxdWOQBYL87OTTpjSvBJ61HpgnjyW9HdPoHORxNojGCg9FAzM
lLUDW4TcuM3nVm6LucVjBX6D5tbwrXdL/125EwBqUVp43wtPfp1GHei96SUG4s4REnjVsx6DLXKo
tQ6uJqMREA3J4aVtWK8N1UhskUg+gsmyFYKDvn2rbd/f1mM6E2PknGXhmucgpAm/dgPrkpTMkiVM
KZGl5sFtHjbkFoVO6LD5T2OXMkVLEyvBMW6pPDjxUJH3esDC+AiDMocs4X6ftNndSiTgx6kpu41f
4cPyBUMASDUC3zDy9iO0yZ2AXgvjKHEfMuTsN4RTOOhlrfQYpo29JNEkGwcSUjOE1n7wPAZ2UJ4F
5YN1WAT2TdTkBI410rkMIhTabQ02JfQaa1P4Y7WnC1fvct35L/1CbWKiadZDR4Tx2ldVi/caC+Q+
HkqbHv5I8G3UhRCTzMm56k2/ujY1Bk2K8JVY1QR3lNs5MyoX3f6Q03sr5TcvExRxqia6AIHsV7jd
3Pw4G8H8ptiOX4Lz6imEG3gpSaAhMByBPd90NxjbJXfRu2LHTlmZmiobAKs65dZMnMeg6vOYFvlN
LTx17XfTdHCaLibgKfAPxaTb4+jDBiBG3b+ogN+d057arhsNxWtWkg27hdbSfHUjr9kJkWbvgVfg
LqwlgdPoYqklAe54lF39XPDT27apCEcNPI17tAv18GISuIqs2+jg1dQYufm4mmrdxCV+sxRbAPbn
ZG1WZI17fbLNCvv7aAT0XvG1AcQPnG5bRtF8lkFfvUqrHE56SslyDfgGEi+p97MHAp3IMnVjmUP3
mrYZczbZHQVYgKDNIrUeXOy73gPqgFJ234XLXnFluuUUv8cGknCVdHnMi61KtknKeG9EXJ4nr7av
ktHrH8BJDq9um/jfoj4APrZ4DwCH4fent+YRpyCJQiuL8mDglTjZdgrqtRADHX1Q1WZWQJXwBxwT
abPkMo+ZtWYVRZy7PcuNyhuqGnYTwrhDOMdZqenglql5dsckhwk/8s3AYzIX67zvBahW1HDkn6TN
dLDChfrf4pbYKNeumM5mXJq+k9rASUj6OnrBxGfEojrEuCRzdB112rhPiC3ZBRmutZqPwt4xa3Wq
ddJ/r9kbLdmvOSSXgrvQ+slzaC9DmYqSeY5lbUOJsdHwCNMJH2fPdl4MuzbebdGPl6GPftkrdQpe
iJ+d3Cl4sMpkWNm91z6HtZuwnDRRZ3TJAwvjcKtCYUJNb74I5xE1H2A1zfQa5iGDqng0vdLEj298
kQPZNaks9Zq+1Y5aPu7GEugnXHma+yxOAPzEGPZK+rI+e2yI1m61DqbkNcvtuFwb7JPByaqKT2WE
Q9qwd70Y3+AuBnv28u66ae1gl5ESss4KcbK7AkBSMqBR8vodIopojcrB2MiQ4Wymk3UxewWGVotA
CX44rnp/b89NtiqKOd9jzZnuGgGVw+796JyWw7tRo71pNIAdMQz2KaGwu+2oZp2Sds4PgUl5wJ4G
whXqtt/X5Me9Zgq+PHt8vjoshE4YLVwMTUmzK0ZFfIGa0svMmvYZBIIVTeNpzaZa0O+ZrkeEr0Ap
J3HwWozpZjH4bE2IkwN7wQeiCm8mqyOBGgXOzlfdm2qNalsblUYCkSzOoeC5nY1i1861uFA1tQMd
mUckH6CTjZdEuLuKVD7WKcEV3opTYTTfxkJf9wRaQRZ/IFTwzJRLwQge+oVo9XvaRI8oYr9Iu9zX
rKZB2oI/MhPaTdD7VlLBpvLMbq3bpR1kWN5DtTCPzMp+nQKLhRVBnRs/to85pvpNYJu7tK/JV5fj
CoXK92IAv2AXVLURpbMjiMa+/6od/X3CWisw3u4aYpnG9RzM0VeTbg5W3tbPTi5ddGI7ZkIOEgeJ
xnZokqdpmOAoqvjSg3TlD/194zfBNu6SO+lE8QEtZUYc2dA/GXbrbye8w4eBPcxl37dg5WDE8JrP
5slzEvkkOkKdkqIRcEtiYs2SRlAeHdNlOyEDYueq0WIJnbTZkpkk9KUaPKPdxcX0hYi34AfhFEAf
jTqnoLPKgs439/Zgj86F8gs4R2jmUWzkdrv8nt1k6QsZKkioZjSB6hhB9Q8IF0czt6Kq6eKqN4Fq
7yAEwDnKWA8dpNNL40r1CoRRZ1QpdNSAoqnoRrackL3WbW+H3/woC9+7UPACclRaDOiR2IjYPhsp
skortkURw77fVEwv1JmWngYZI+G3PmKDEBoNe4zK9nCEaPLs+MY9+k04nw3oMcRE4j5WcyPMq9Tw
kmGrliClopdMS2OXOmsAWOxOQHENb6kmNDMVM4w9K9M7K2rJtsvIsIoKgyJ3BN/ti9V5aiu8lp0I
+dLmK+oX4Z1VPCxb3kBV8zr26g7i98DSITeEua8tpz2ytuenYVkYmJnYoKPyiAhotST7q1GoZ5EX
9iZpWf6t3Li+8VochgSAHOGepmvNJ/9oZx0f0s4JT07sURSgjXwGaEKNYOnUfBxvqF1jO1eiPYaC
5Eb2CWTJEPP19PFXwCJhhRFs+z9CNKXn6QOQw/qlKxR7sKm1qRL4zng9InTZGGw26fXoUtwFGTeT
zrIH1Es1u49CMdwt2ihT5W/6jLpxXiQ1jt4kDrDrc4pFTMYWHOZyLwqv+1oligtIUn6ReUTfdhRe
brwkt56K3uSplxmpp+E4tcfWK6ebDOXI7kMJhIyL0NN6nhXyLa7LBbp+X3ts+5ohrkntmtNmz1KN
vX3f57LdDFk4ZvAmqIpQvGQy6C12JyaigcodvOaYhWZRMP5NbVwGVVS/UPxL9maWUlH09UXQtihE
rTwgEpBvB36nMtLVTmXj6F7mjTKvPGv0LqoUCVKnPYpXoc5OH+POIDZvN6Q8AUdjNQJArm9j1ZHT
MUCm4PxiYooMorGXFGBX3+b9ck/yni6bxR95VtNVJYljExQp1wtO6GyXVrnHkaK2HfrbswSufE3G
jb+pqkTvhMsIUK7JbwfD8oN5Ku4iOzAgqA8+oCGMdErW/mYqpflEvp2G9ua2R1ku/7dS3C1LTAxY
y5HzeeCHtrNuAw+Gh2E+ITB18ZkrkHGI8KwvscHymjg0+JkfhScoEeG7tlyKSimRrI7mRyFyVy+U
EhHO8jkfHpRNwz6wxvA0xGH1EsZE3c5hzKtjxLzCSMfpTY4qPIW1Vb1kslPHoJkMZzV3Q460uM1D
6wubA66wtAXlrzCKMlbAJLPvgzKxL9m3tF8JXeYvFBArTn3FbRo6wknHDLn7xwtrd1n8o9BF/QKU
lkNPfTec4FmER0XJFWS4b3QvGupqZFKRQzuVAlSCLsLk+9p73UCkacLWQ9XfS9MPSEMiOrgb2vBk
Kp6OUiEv+8QbGPZzQMWiDPaqHVDRVmI+O5TAz3VBVmM7esgztNDWRR7Z1nXpiPDk5Q5nrtj5eJuS
6XCP+J3iB21RNP7LKBjRxlx6tUdJAVkPDCofzdUKDwCjRGrzNTJTsjlBEMK9jusA0X3rhZuK3SnO
YObHwOVO4esy7jUbgncZ1lxwoJYx2JpYCiCVhKcksons9PFSHQy5ZOr6km2fL+LhzRfskwGoWNNT
B8bkeRr8JaSPBXlLKbWOtjHLCr6MQHAvrW4or+JR9feJOfo/6sEN35NqCk6DB9saYB5fJjcZm93s
SUAmWFlB+gdN+C0VS5xnhw0x3MiKAvcmr5N/Z7f+f+nYn6RjS970T9Xzv8W4n1+S8u1np9NiQuJf
/CVyEAi/iHV3hWMvoR1eQP/gL+UYJij8N7RjPAzLrFup+P9bOEb8h+dT6Cfam0+GDYz03xoHF/mD
twjRaCMHNASQP/wDIdnnpgLdBDbM/M7iQYJS8qkfNBMU6oCSQ0EQbudg681nuFA/3Y3/0Gn/+yEQ
eSymLJo5uLesT4eghbQsDgN9GEIH0LK/gj9C5CO39P/K9f4bR1nO4qfWOgla0+RhxzjI8rkznqvp
TXn/TJxAU/LXC/nUnpRJ5bJ15xCkW0rzlsD4Rr/+/iqWfsbP/Q5QEvhk6CUtXWxwEJ86k5NVKXDP
iP6Vaqy9HGNsFJF0wqvcRlWsZ8LDhp5oqqot2t3vD/25IfmvQyNMWILkA2sZwT/fwMBzJyuynfaQ
jtnMjhMaAE5SoOHSMJdkiYjlyxyDVP79YZeb9rcrBpYB9YLLRevz62GdLhCVTDisbMiShfb6QJwW
fhihCfCS6fxPn+Fyg/Fa0che1JqfPUlR25gWq38O1ynvHl73XobhBCFamn/sXv2nKwsQetDK9gUP
9NcrC7T+61kK3Y/fu9nC6jGH/Q9yvqaVAZmB7girW+Fr8yWGUH1QAD1Xv7+7n3uTHw818CHSuA6K
k8/+OKxvSlP5b6nCR+6tB8/gXEd+84ej/O0N56byCC2La2Wa+6ylcelA9W5htYeZVA44Sgu3kLgI
IGwYSP75BbksEzB/eg4TyqfXPJv6cpjzsT2AOQZgOVbPwq+e/9+O8ek9hxtui2ZgjFAyBXvS7l2/
+FN/e3n4n4c9448UeoaiB+Hl0+AIUn9sbdUeahYH56g37ZONRBdnwpg8xYbBkCyHhebgDBtSj8wj
7frpD4/NMj+ezK+nAdbO5cWz+Qwtz+/X0+hyAyTJ0GAyMsr2e4XWZNyy+rC3bKL1wQthsqBZZamW
I9V3OrPfTZ0zbYkGtPbzNIz7BLvXox1rx4Lk1aWbVslbQkYGb8PGF65jKxJKEcjcHTUNxNeE4V1C
uE1MN6tP7+elbi9TmV50YqCXV1GZ9GtoFn4HjcUaMMa2awL1YnJdEMNsMkPGZ6jAMzyPvlqJpK2o
XvTsPcxcXpi+FjSjiXEkR2iOz2ZjCBaLOXfVpAsTGx7wg6joeQ8nUkhA/veXPcEQD4nij3GNVSuV
zXdBaDDChgLem9EMm05qlKl2d+lmtnqYytm9HdFI7w0K5NsKhxF7KiwzeW+5O9CnyK6n2jr7lBO3
sB8nKN/T8MWRih9h9XkpdTpvK+3bM82VzjqHgHgOFZXIdVT18S12lfF7oEBNDNqBCShCQhrlkHK8
RL+NpQif4hrZ2AaAqX5ACeE5kB+st7adjHxNz169Gw0GLRJxcvUIghrW8CSUezsMJj+03GAkY+eK
miC+ZrXAZ2ZPbPB7KXI5KKqS/wmWJyQWjkhUsHbUh5Vc93lqXKWR+6Y65qhxVv2PdHHraPstIAjk
22STjej2RvKkMuJCzZkuEw4svmHl6L4t2+9gFY+NPqSNOYH7rXkIXqjJxDH5vWLiPNJJZqci8LrH
ZPnqYISRF4XfM2EVY7h1vNba990Yk6cISTEqeS+Ctm6hNVJyqWz8SitPiGgdAB3c+ri22PXnfnTy
6BAeqNxwAFuLddOkak9qWHZIvXS4yyrd3ymyASlsBeCGM9gQt3k0k5uah9kJDQ1YBqPqtwMylWs/
4HZiE7HCTUHjaGOzULtSI6TkY0pPmHB6VM7EgCRkWvUtWy+3DyOUAIl5t7iUphXQD+/azrGdxFFk
7i23DV9D4tXIDrGN8MoeAxpaWUz/fOVaJSE1dBWu5xhi5cy3Yg1W2j3NddtcNsZSSSn0cBRBLW5C
wzH2XR07N9IqosvR9eD0NWzGZNwRjuQNJq1eqp3HplXQN/qJcEdk/OGrQu6wCuqxUivH6I19Re/5
3U0z/51aulp30C8uWuKaX+PAtLZR37gQd2DbgcVQAc2nYLkfIWGaG0tPP3Iaw+m6G6Z8G0cII7CZ
zYeCELtLIifcewoVehvOmOs5mGftfVm2e290xyffDofnEnveLdYeE1+nnYuN20/UEEDx0hWipfLd
ykiybcB/XvXONL5gOyrPJX7ia6LdnXsqDjSwu456Fol03sVoR/ONM1CFiurWvyG8onzBFzTetvM8
3UxprK4muMiX1sTevWsC7yKrKflYjTesASyJu5qIpY1CiQbWhrbAGiQCB2isZfLKbeJAWm3KcgUC
J5OrEifUBrFRtRvC0Xx3E6GKVZxXMVlJQ/rD06I7EMjSbYGPd3uGBkoJqAignOpur6oRhE9XJx2Z
brG77U23ucgx96ZUrZv4XrO9jFZwbvlNL4zFJg3wV6Bf0CfONrq3SV0/zdncXNConNe5FybNOsV4
C02kSIOjz/ZkVxF/i/wgCo4emQE7ReFiSxKUsW/jLCEdV8CcXNOSoKYWmGoL8aU9/quEFTf+vAtJ
Jt3KsA/brQ29ck2sDvdhqlil2ZRkbsq8bV5JylRMY0N2i22P7loKbl8xCzxDNNQgbqU8AP0Y3jBk
6J2NxO3io0AzVkkO+ABF10uXVdarkiXqhpxCwXsXIMeZO9AsKBSpri31HLsU3h2ZU5QwJ/QXK+3J
peSGfJq8HrXFvM/elzH8AcryN64VLW3g5ZAIDSjjUvId1v1sUyhw8qWKn6nuK8kK3YaNNn/VbR1j
mxDCfP6oHdpdZH+hBcU+242rxyEpir0K+nJP+S/cJtoyWSYv8bANPRNzWioLVf/iB446Yvv3s1XU
g0/1w8xcVtYZk2c7XAV0uCiNxcS7tlaQnEU2DWfLALq5ojU/HSoaiTbwc0x+LTwcnKn+UJzSzqLw
IMHN9ktDjhVjWXPC5iT0ATyruLOmznz6kIUk7lIG/tCOe7VfspVYXOe67jksWaDhadI4JPG4DdS5
G+OeaC30o8bEo/cd7DmVpOba507846P8lC2lsQJs90VIwDMVESildhPBbCZowt+z9W2PTm1kj2OQ
BPuybCh6NsLYeuCfaLhSxow+itXLx64LaLcaKYXbUVBadizqNFVA7zemgH3jEJr2YuEL35Y1Axzo
XHbSjOg1ilFydV2zfEv5hh8RmXT3XSb0IwMpuhGxEV2rtA9w7tIzFi5K9aSty73fOuJJsftVIO5s
QizGMpr/VWayQ2O6USrTt9owh7ehDI2HYsmb0kql1sY3xF/PKVNT+D6bnOzkOuPOdGvriuKrcR8R
vXoD1Ic2Zm7jg/Gm5FvZd/5tUA0E1Zm999XpZ/fr0Bru1xTf5hVfKrGLm9jYzHCuNxQyaVgQhHjW
kdF+Ifmn3NotViXoddPVx11XHjKgBVBxbS+gprKs+PB16QU4b4sgP3w7ZQ9hrGIg7iboQReShu22
DMByF7NytjUoMWrTJvmLoQzmU0/R7jr0reiIvoge78dY1r6FpNBwfdYVvnuhQedcya4Mt/RMIzg7
aoAm5JXZtdmkxZFIMfEUhOGwVyGrW4BKfAxN7fL4Ne6IrKv0eYHQraMxcMATzxQQPW0tNVD0Vdk8
XTEpzEebOIRr2WoNe9YD04O8Zn40ERISj6lJNdck5lLhz8iWInkcupxMrwEoGTtsqbSG+oKGxain
G0uONDHaerrGUM6nm+QoIsabijropAuJeZdIEZKfLGKy+DYNx6BFE7EK3Y5uu4KXvC5lWd33yF53
PRMOayC6zxeWa6vrhh4FPRYxYMGgWjyPhAg1CNZ2eAugJYP4Nu4706ScB/GPFbPrkMwx0HIwo45X
U3lwe/WHENwf4Mc09UDJ0yrzR5O+zraoKYM7QWK9fiiv3AI1jTuO5isgLKq1U1I5K8NdBIpIVLYJ
UnRa6ogL20zKkxjdeesDWQFDBm0Zi9uAKq8IxDDhNkc2uCpJdLs1Bb1XYhFxxq9D/nDvwq9XhLLF
w2WvDAK7+as3sB6IFqx0Ex46wHD7xHT0MfVDoijAhCxXdC3jCZZB4MVXlk7sbt0nxZ09Ze0WoUy5
1XVs7JVXERbjeLP9PJezD36+bO6IX0aZmyXGBe35m76e5QqaU7weU+PNbzDeWW755PT03fN0Di+5
jGyTmxUzpxd17c7323FbUfPdhyFNaoLU1AVKwxYtamPKLSvEmK44mH4Vzzc2hc81NPHiuyyN7zQY
rie8ejt7Gotl3dYc/RiQldTJ/VjFet36RnRgttpzIxY+DNjzCNEQTXf/ySix2GDbw36fdE248UfS
5DKH7qbpKwQ9Xg0xUtZcb1l7LqsqShzM2OgRanCzZRytMzByW5HkyMgrZ+gx7qXxc9QP3iHD47jg
c8AwE6hQ3dWYcDQsPtSXq8KOL+JU1DdlmdVPRpSVK77qxTdko3T+B4kc1UKTt8n9Ojv2w6xB5AfZ
HoxdfzDizEOFEDXujeu3+iaNRHtXw7TeIjeSiA2mttgILcR2kqTshC1k/BzY4m5oMup/Zp6cotSa
6eYpMnFbXVxACXYOOsu9oN2MVeSM9KP7KcsuuvKV5b31bRKlf7aCXoEdsIkUGZoU46Zd9eNNqOfq
qGZaWqkRdzvlo7+yC0IyaJQadILblqe4mULv1Y3dZlwPsZ6vXUult6Wnql2P/+qbaFlfrSYrtq9m
P1DfsjyWJ8jM5ddwlhAVmrJ3Hs3lCymsoqa/5seHqSz7izjx3XNcdOprqRzvQDr5eMq9aLiA0Z99
V26Krim2eLhVr8KbQdbFj6KT5noQlvtC57ayeUVqebKwHV62iuKXwJxEZ2UoXfa6Hd7H2VDug1PK
YouYyKJpNgzxVWXMb9kg/Se7kiUKIk3ibZTrHcrQdJ0Oxbxijafp28YkKKx6qHMbMbfMZGmeHtIa
j3stpMnj5Wt7mtlVoFl3NG5Qn9zkWm+6pLg3cprgpSJ/k1l+RZXYB2ZNkzyz6q+tkzoEtNFEQqIi
4RN4rIz3VSCK+yorAETo3D62LXIR1vMFYiwHgUbt95C8u9EoDmyXhPE2K2DVq7H1jlYv/EdlAN1k
3+nv2cWMK9tIwgdaL+qSj2J+w1IxfZksp3pIm6x5qvt6kvva8OiIJ2GTZPuhWhBwYBtJKAAhdeuC
cC7XHw2RrBUAnPt2TE+D3b9Fo49ggFry5RT45YXDyvZ7WYN6m0MCXoWRXelqyOGfO0a+V+gb17Sg
q8tsIHIUrXatrpAMRVcpi6FV6uZpR1yP16AuFIhh29T+wvv/Q5EOuur5pgWrXhL54YSKMIWq628y
nFvwUvL4cWo7hw8Xzl2rLMLbrnaqV8eon4G6jM9IMO90j3h0J2nybAxKOPu00czsteGsedUI+gzk
qNaIUdsvnpkTHwP6hGCk3tzpYSCEgRF/MPzK3cc4pAn5heK5AnCOMRbo3QEAZPRKvwvOBTPhynOM
CIXLJO/Z6vA9QQ79vHDYN7AfvroTURZmDSWdX7Fx6DTqzk3cHzL32+uBejIWupDoowylHfdtTs8B
oaN74oi4Y5Xv75sohdJvBNwUJ5Rf5RC798lAGFLaJ7ywbRCvxpI11RyT4+wRKqmc2L5hD/LIhJxd
T7UWpwY9K7HUSmzrvAxfqiDT65wu3MFonPRKwHstEX6wi7EBsB8mPNTraBjLL6XuCPa0jduiKNRR
+XNxGyaGuJGNGW1EKuwr0nOcdysijKNKx3rb9gmodIJgrktvii9zL/Pu3BodJbJpHRr9N+hjtMiz
bl8w3W5JDCdARk3mbRj24pCPWBigM1X7eXDyO8WMu+oJ9tkGwWDu27y/j3rwjZM0xcmJqnmvxvY5
Dkp5SAkRWdMTnYgslcYBGvxwyVJOnkYXhVgXNRnr36p871U6JJtc1a8OToNvna8IHYWjH2evlZmm
JhlWfXjhj2G6oVoyMtg6+763jWlegzP3gqskJzF8XZXN/2HvvJrjRrIs/IvQAW9ey4JFikaiSIkv
CKolwSUS3v76/cDe2SVRFVWh3teNiZnpmJ5WFkwmMu895ztEEhgV8Ti7Ug6QZNyoQssDxuZRZh65
mtbo7aN4tg5RwnpEc/1rGFA0q5inEb8Y1QFeyN+OxanBEnoGEcnikERVExULvfos9rQtxwlfQQV3
YP5b35zMfsqQ763NALQOu0Kxodzxd63HyEYwaqOp4vs69r3fDvarwxFkIDvXqtQH9lA2lTPKRErr
an+bnuivzdwytnZpUEhJZXUXBprfeUrwOwI2cg+EQH+oB+93OZjKU8jU+6rrThVtrDonqAy9YLCp
XW0mLVv5XvUGUDQx0W6wBqB34oC44Io61YNQHcvGOkxrQF+aBu1B6HDhXYrKcDpWnUIxLi5y3sly
z3k8u9AYOFUtx52o0eXB8mwvHXXOYA3skxyq5TnVchVTxirOnGErwkJszleyTw2FtxUQrKVbmHgX
9hm1tolAGSjME68cPg6JyScj6bRPakPo9/mhTrWPSCfELo1bkBEXRXPyL9QRNH/ly0q2N6lo5hwN
2jcBLy/ArSHb5ySGXOgGnLo+XTM0gzqchVlsMagVB1AmYBr/03ggFYKvdEXJjjPppU7K0jM4d1KY
0DSpHJoc5lEnhcV/Kgql8skaJnZIBKQnKKWbXKU6FU3Yp+V98dbiEVP0qRW0eM7f31OdHN0ARont
fW4ILyr1Y2gWEUik2nczmgNsumY+Q//1/CDHE4HISuj1aBZVj9PEYhDTKpAP5l7phxowuyZv7HWv
pSXZvgnKn8KTF97P44tiPGj4xCVA1nOW3biSnY47YvrxM0myhGmPD7B5nAuz+/glgRflwuKl2qIj
lNU/9ji8UGvA/IrSjxuAvHVBThmeAgKNKC+ev30nRuIiiKcwbQ1f03Id8eo4nsbRzX2anaiWlPoa
YPxjUSVP58c58Zg0xyRqgmfFgvUG+X/X6ybOLDW8ysn9KVa3lXhVIHAmqZwFV4fzI+nHr73xYajF
CsKx0Z6dG1iFIFWROmIStt07/8DBsWR1cvo6WiyRxBsE1aY0G3ejAmn5brOL3EKOarYJDZm9XnOy
zci1gQ9tIviy3KQ4NAY5BGEfTZ8CwdaMzD0DsSgFXLY6zVbo0OoPTieG2z5vKSqN+HbXnHyTVW/H
04ULBb+zbMgxqSi1q0wA6IfL9rcQk2J4suWe1lHz7JEgf6t17meCVOLXbGqdQyvg0yGo+l7hdd85
gOtpIxFvii8otmiWaGWRIib+mpFFt25swgXz7HPRu5+mgLNelqfltkYkvipjEuCDKjHQYfY5Gq1O
dw5KorTrwcxNn3ZTv2kaPHqMk2w4VTs3qYmWISGLDb5zHm28sF9PTjhsIMeTBeiGusJWbqrVH84s
7Dr/Bpx412juaig46GLzFZ7X/XfvWpB1JXqEkfuSKPVNp3nGFU998ENSd8jqDIzePz/gsQTCMLAo
mxYOHggeSwkEnoSuI8mO/FS3MXHw5tm2BGp/QzpZsw9cEgojqiGPJq7F6/Mjn5i+LLCqTZQUUo+j
bUBF9rYStbbEPTiO3zro4i8lJdhHjOrJr/NDnbhIeq6sRhw/+PdyNadVwRZwbKWfdRWFSgwd5McC
htxgNamu7DqN3XVNzwsMkE4d7fzgJ64TpYVBVs0bymppPScyDjZCLqVfE0K4L3v5GM5ebzcZqwsf
reORQLMynzDwsuM5yuvhWFaHGEeFj+XoeRxlv9HdoWUWGcYfv6YIEBBMIYxiQ3DkFy/mxMqwawWt
vrbfTDa1ECO563vL3nEW/PmnN9BU4VajeDAhMFjLz1YYi0KaouSyrMzwsfPKnLI+ZdZazJnn5wc7
noAMhtgBsYBFj2n5+Spp10Z2m3FlivkYGcoz9rSfyWA8Igi8oEo43sMxFDtFm0vj8/Lmxn431zMj
ionUozeKLXFrUL7wcou4BNFNZH3h5hH6pV3V6RHh/yBjmyfd8vNiFo6LITn1S607pF7xmo/aozEn
ixJYJVZRq/8pLRhpHlKcGZ0G1IIGzMflzIK2gvvWSX2lbQ8gBX3TTO9iW70wzPHGZh6G3ZoxAyb0
5R6/c9Uhjvmj/U7RZ0O4NK+KgS/i+VfjeBVhFE1lswHKgaDxhYgEh8wgk0RL/crgkMnhC01p+9uR
9kNSQmJsSdkhSubCKjlz8xbSFUZll4++Her2Ee8gyCYcABH7e8/Cx94L6ItrWaTIzD0aZ5Okr1SP
oNdWGOaIOyBLraASrTr7ZijDK0FrZ9ezLZpGq/yMEBe6QFGwOZi3BYTxWdcoVeyvng7kAUegdeHX
n3wwgD944zQ8Q8sHQ5cwEhQbhU/BSG6T0UsOykDp4fyDObXu4XebT3mejmpwseXMzJLPSJgLXzaO
gO/Z+WqqPbpOc2nXcupRkN2AqhLwBKq2xdvsCEMWYIhxSxUGveUguhpsddidv5pTKxC8Qk7GgAY5
f8z39N2yMCWqPoStktLPx9HSOXymMACiqa/FD/T6f76L5oCFTJRPxsxIWp608L7bHRqIlENd8HO+
d1VsP2RV8Hz+qk5NHmCMtoMkl4PBEtsx1CS3TzmTR8SWe5+OGlXvwPpJ/TPfVaHl/t0LCDsc4OsL
n6pTa94bAJKz3IlDD9UMNTLMLvXDUL9rpIKDItwVyVORTF+YiBdGO/XCc+zRednRmh2dW4EhoOrC
uuwXIYnBmW05D72OK/P8zTzitcA/UrmJjs7nyEDmvFhXvVYfWosqmO+2vfoUR2q+U1Acr4LE6ATl
cqf/mmhuvm7zprsrR5neWsIx9pGLzGrCxEavJymAAeMxx59Bi7Rtk0tHaO3knXfQ3DEzYZktNz4V
QawWAHK+NoNJ5a4pX7VmjpE13JrEAPe5HdArOkVEXVEa8VPad/VV4OUvEU3WyZ7dl31mXqEr9Vb2
qBCIGHEd52/kiblGm4ktKNkTsAWWH0Th8Bvige12L6efxaQ1O7VA3xQIWsrj6/mxTtwO7U32Z821
E3bdH+e1Dn1ChfnI1j7QfqpIEDdEP7zWo5C+Q9YWJi27ubDDODHpyHch1oPRVC5y8Zp0lRiHKsy5
vMT6FsUhNA4a6ZQWq2ll4M78WlZ9uaFB2vl/fq0wyrxZ48gGcblSmqAy48qtc5+z2i0eP+LSKvFA
gSzE2Ro+jaQ5/fm+jQHnMoBOOgVL2eLu2jQAarPMfUUNyzWpYTQKpdE89EAP/MzmIH3+Ck98cxiP
PdQc8MdmcXFrs6AyI3j4uT90IcVEExS1WublxkCk9m+G8nC/uzYbRnBdHy+tIIqpySRHNM3L5b0l
StyaTmNfx62mXVi+Tr2jBhNq9iHMxbfFO9qhUpETlQG/ztpHqB6/iFB4BOZZreKwfHAxtf/x4YgF
DNOFDoiMXJHlBNQGyt96PUl/0idkN07/uSLZuqAOcGGgEwszInvVgm/ENoTEmcVNnHDrqQFHQBFa
z+Ew7N2pfLzwShj8GR/lvZD43o2xeCdIeE0T02QMNLbayozj4gCixvqstzYQGQHUPw5VrFF9VUAb
S8KveV859O9pn7QucfU9QP9tJWOaL+aAKMXQNIANuKFjo6kOk2lGD7oXDms54tAKClXusxq9BKfb
cY0yLbiKLBfbgjpgVtRmmlFCR+3z5GXoH6QGTyPP6mqvdlB934Bjd4mYA7jz2RyextVdNDjRHirw
eCUwjELjjrJPHWHqvpt6jzFhFGuuPt1l1IpmlL9T+OiFoOj2U7EN2shCv5f2N4R3x1COSKg4f3tP
vZum5jga74kxU0o/PkHQJ2Uz2rybKPdey6F5daPizjSUnZHlmGr7/F9MO/bcbPYQ9GMRWYxnRaMk
xXCUflNGc83pljysq76RFzavxyW/mXhKrZlaJmU6bzEMwJEIHrQnfXSdD0URV8h43L/L9Ct9oU/0
iNetpb+ElbxwZDJOj0uVljvK4Xq5IfMKMFhFb1ETycfpWzRAbXYrU3lAe66KLW1szjillcEjSLty
I0hMot8kWchLvbuyEN5aSa9cGWqr7LTGlOsArRYvXLGnBUFTyUt+WFrHQX1AnQOSJtwQi032aOdM
m1ALvpC2UK/dySpXOB/NFFch9ryE3wP6ofiFDFu7T9w5B3DAgoeji/89m6x1VDfJ1oFd8FQa1qVH
cWpNtwHQQrmlzGDM0PH3O+9Yra1Mpp30AYiNdChWY6/uU63pLrxZp9aid+MsN0Zd0WUiB3vlu5ZQ
15J6w5rMq+356TIvNsvFyIbWR18BBw5U0o8Xo5Z6kZdgm3xsKO56nC2Lqv6cpxEy13q8YDo7ORj1
Ss4sYNePtr12xWIkBXNFieyMk+i0h/azQ5SFvBFg//krO7UQ2JT9+Vpg2Tva/JJqYdgJwga/SqoH
gGgk0wXjcy6qX01MGzGyL9xJ7dR7MbehOMDS1XOWfZqpJljINdmnJYOAJjLp2sGdqv5Kpxa/yQ0l
8s2ixPFdeMbnWA0ifwzRGYegcj+5oZvuvNwcvzqo9FFMByHIqvP34+TPY0GkjET9FkPbxydNvGut
pBHbnL4sfhle+BTp3Rdh0Nr9F+OQL4X2nD7q0eagJrY8KpDI+JxEC6o5zasclX6Tt9WFD+mpbeuM
tqXEMv+Hs5iHRu8hqkYO5TfIuKMa1VkvH6rcOiSudgdG/zET3oVCxakX+N2Qyw1rMpkC2Yya+Uo/
7MM2/+WZAr2pfajyS6Hixqn3dwZxU4sGt00t6ePzanqXDKTByVhm9PGliYrfMAHntAvNXVO+Ddcz
H2CdsSJv43KW/yraLJaq0OGANnoG9x49ByVUq1ZHRIzRBOl/1FRfwskD/ysJAoLM7u4Gp3efXItV
E6BVjYZBqYfNlM6lzVz/rfY6CnN4CEOhviR5e0t3vNg2bPligm9W2WjEWyJY9S8FOkg+9rp14W06
dRe82alLiYP3dmnJEqKoa4lk2J+K6WpqJm3VqOYz5vFraqbPTTz2FwY89YhnswS9a4di6/K2F4kW
jiWbIT8uYQ50RVsVuzc6gREC11nVs0z0/IQ5cYl812e3MRx2du6LM4lnjy7IEUP4UBrNbUQU2ScZ
sUMbk7x+TuA0+6iCfpwf883BuVj3aZzr3FSmKEfbxdsVkhRNZ1Zkvp1N3jrqW/uLGWndWhqjdR3l
Qjy9hfAkJgKqN9WwG4F/yNoJIBbKnr3Sg/O7cOu1E0VMfIpUfeZV2zk6+4aDNRXkF7N0TAHqMiM0
d2jEjF0dVPUe5rKx4k1BzGSBQQyriNjaOkUMbV5CERsn1srZF45BE2Y2jTb949xTMUvaWRNn+JYT
MCpvUuPYAH2B3FFa1zwu56pJEAjieoBSJigiawq5sSt4It19b/TqbhwDcBNvfPlmUr+xLZb7qOeV
wsSQ7tDZWHtUsr+IYlixZHdb006iLfI9c1MpsvEju3S2Q9Q6Gze81vPU+JIacrhj2uILIT93eo7c
1jsI1fmuAgW7cDA/df10wPCgO3OHflk4otyWiLoxuH6RDl/AlCIPs4f4OdaUaHf+TTw1FFpItAa4
0flsLDYgNJ3gkc+fJSCk0aYo3dlgMxTpwYtE+Hx+rLfntnzr5+ovSYFUGVEWfXyuUrFF22cxh4MO
GM+qoWGM/2IiYysgKgrGqtCuNcK47ptB7291XQkf9EaBW2KIYl9IcC5vP+j/8Q0X8A1zk5Nj8f+g
BE7gG+r69e+oBaLV1O8xDv/9T/4H4+D9xZoJdJ22h8EB5T3GwfjLwvdMFc21kHO9Zdn+h+Og/8W2
gVeAf4xaGrvR/+U4aH9R32NzSsWG9E92c/8njgMjMIVY20n35NctlhHPIFUyLZTCJ2zld5QTKYe6
NFjFLsf7d3fn/p9X+H1wwvEs0hydwiA1VLzeR6deIRGBwKZlJB0TBWrul0KSYtgHUXuhQnJqJMag
WksNDb/+/Pff9R3CRgnAr0MrbYgXAw+j3tVdlnDemy58Fk8MhOYJ8/q8AKlH2+mOuejl1QQWtU5/
pyL9TZbO74T//uM7xzAWcQwcrCmfLZ4RmhC0JdZQ+NQGvK3nluVqTqBYp0P8L24d7yqrDl13+k/L
YiDmy8zE4FDA3MiqmwFeLWZN3b2p5B+HyhKgYVMp40xngA9ZnuqcDsRw4/WFH/Vwo+x2/DyGwxPe
mKeig2h0/g7Oi+bHRZXBDFpdyDPmbFL74xsBdi5nbuaF75U1nB0cNn4CqWyVK/ErKGvojpj3VtqI
dfX8wKfeEHqGOHHftjDLR2dXeauLSBZ+Ucb5lxaBLbxL7G7o4i6FQs9foaNrpP7CqsAelFn98Rqn
NmlHRC8FHWp8+VBiSZ3U1eDLv7igd6PM+6N3c8tlK9IprWAUb8CGWQ1PXUaCkqz+3a17N9Lire+J
4cg7yUiRaMeNPSSvEzhpEqIvTS9tvjMf7hznQKB7RFUgyoCWv/jkhi2qalOh1dVQykRuXucrEIwA
zg3zWwnFDkkINEE3ifSdBaZrjaroQj/Wektw+fAbZjSF6/JyOp6JXGrxhubE+LlZXmR89vV8U6id
Aoa8aIb7yczGrReo+UbzKm2H4djy1WrIN4kwvK1RmvLQlXQb132OFtil4bqucomEO4ozoMeBcTXT
dXatk/4egWNchZPWfSocKMOAb2t7pXt5ucoL/i9jFGRbNe31dctHy3eGMiP+1NOfU0fPr6wgCV66
rBs3fTZYfuBgnM9HoFt9wpRKnQEPfT22SraCKuxuujI0r5qGXnmbCrllNyq/YBozDzhb+r/LgA+N
1tj8duw3D2Ni5tfQjTsiaB03yrejKdQfCZY9OoD8HoV90msWcNEppNtd7oXFXahP+aZBfMZ50wiC
ZKURToNi2GigfmLq25UqfJakhKulkAZAoipXN2WsnVCtm7XTSH0dOKxvURjjtsJigZtv0HacYnN4
slRuD2bWxXs6TPm1pkIXdTMcba4H/94RFKDCqLOuh1BLXkI3F092n6KJqo3ie2ln+nPAtRcrB9vf
9yIz24nf1BGgCmLVa9aGMbLcDLaJtVYxK/FU93iawaFlDxDVmpeAW4OXqyzu7Db5rWo80xZPwzOJ
Tr+Hug++NPaUX/Xz6hzVdX49Crbfu0qg82V58USEbd0ePiNUNa/4qDTEhWbxnvBaY8VOJJ596K0E
P4aed2W2YXwbGoUHfzGUv214GbdAvrmJraCGqSu9667eZp6ooQhgW3dvQIzLbQqP45liOQgEE2Ro
RmLoozth8QE8FKcvHoZDeKM9hGMrIk1XYC2ccJtWttjHUleLT1rbFd7GjoLuWxQUirfVta52kT8C
dl/ZqqxukGhPzy5i/sdBptlv3YHOzjWOWzxMwUy+LH1Csr2nnMn9aMBYStb4CmBPVqaFUB2BSYcd
bMi8mwqdA6VcMqpXTTCk4MGJoshXuOQUmogk8dZkB28KEzrhujP5yk44KTGsFLPnBvdH9ETDnXDO
1pXJK2Heyg6MWvcJgSuZpbEH3LkmXvhzX3ndt6ma0j2K6IaOhFLp8S4BijRtp8RNy1VF4Fy7Arip
/UDfUv/UJ+aWqQSjthG9VX/tyDf6HibQ/ZxRsIwPOT+2ahXjQNxOPOLyhOCtpTwJKwrTlzLU5WEI
8AtWQ62vQa7+1t3Iuwk0MhD4ITBBMWttlLEm3zTK7OgWP/WwbUMxm+t4Qq3B1xfxtlhHbgX8jqyI
L0lX4biLiiH6JQvP8mVqA1O1IyimptZ+K+qx29OqwKbqtbwIE2xp7CwxINE5WU/B0VdrYo9Z9lfT
Vs4mqocvIOT9Ju9+tNEYHzJp69s2gEDL19h5iFompSb5Waomuk9dU3lzFHaxo8dMyHThpM8uUMZr
/Bw7cNxiHU5D0ayzPq1T7KGkJxqN4KVmVRzuI1GMG9km3p3BvnZXKsz6lPzgTUdMxsqogahMFasb
pN1ur82f/sLkuvUseY1rxb1zaTC/igErttE1GrWkXntMzMA4DC1vFCLi4KX1iKRVxZhvOjpcW6ue
mEaEf3uIMmZgk1KBUMVzp6wjyC0Pml2VK1MVr5bFQllVrB+Yzp2HKcaTrxMXsSF8lghvy2jdBzy1
1Y3Wg+rCi8BrCI66BEmetRuCvFnE9Dbf2D1DV3le+TE2oTV4pf7viBZCIYXE2VfjRUTzuK1icYf0
Nd9FPUCKiJjru7qct/a5nl8LreBl6suoBeComfQ1uDtx4JEFYrcaAVusuuRbfG9SV/ul9qxW3fyO
WOqk3RJcHN8mFhnFBNWC+O3ZzKwUpbEAvVi7GsDAGheYvrYMMu7LJh/W3WTnX+OBOzQ5gQSs7VRr
Prg9SrOGlVuoVYVmy5aPXREGABClJBuozR7qlrVHCVk9eo9Jn3akgnVe3u4MYP6rUHbxrRHo6g9P
a5vrTiFgIc3bOzethV/bardPIoqOmRcqn5oqvjNIhPqmJEl9Nw5R8ylIpmfcyv2zm47uxh2RtJqT
ZvkTCTlbGZXZHa6N4F6k350S92tsRL/zcCZUNfFX5vNT1anQplEhwizJQIyrBk28sQamnZMAwuL+
Q7FyoiIcPnpz2exKiSPSSyQrbyVZcdTM1SA2asBUJx5p8c8iC4CAYh7PYMfxD6q3DcaH77ZcQ68a
Wp/qpVntZeStdC0q+lVTewlcbSFYzBLOmSWvSOJlc8RfOqd8qXCmC2fuigJ+I7uinIgJLQwKNEYI
VBUsSF/OuAf9a53p2aEvDTKknEYt1rnblgdD1OSda1RPiZguBxRB12P/Fi/cq6Ji/cucPvhc6j2O
NFCuOLnNuMuiQ594Bm5y+COdezA76KAkKreGY6w5DlCqWk3YEH7XYxLB7yD29FdhIajQ4tC5Glyn
0ABewypgd2OphIYMrOujOxdCoII0zb20HUzAiYnnfl27YUK5L6rMDdwjrctYe+oXN1XTZg2O80uf
GAPWWM0O2SGMgRmvCmfsDlIk6QZy7g/TbUl5SBLggka2Mi2KR7rN/GLh6B4sK1HmRBKFQAcnA75m
6uOeeaobqzwBNdIKt/H1EknbUAavaWSl8K/0FNIJ5WjwGFB2IbHetnyjtdUQQrOSpt4qa4Irplum
a/h3KBz0Y6lWKyvhAPZNhKJcxYOlujsnzFjfTJvl2wzZnXBgM/tVj0vO2hRcsJ9SJ8rW7mhdCqY6
ri3OG2L8XxYtVVSiy1NggXgeI1Sb+lGWmYe2q7PfuYHdc9U3hMNnc0IGShGwt9TBEq257Wx2FlpK
F7vQ2FbFVfbKh0seXL10N6POUaeOCwngfmytaxPb+Y2k43WT2rVHdkEZF6umDSw/nGXlBhikfGs6
WfAFs5H5atgUKFdkkHd7QlmdhzHQWG6DcUAKEMfJy9saKCVwwnU/peTOnz/vHNfjyAOlFKOqREnp
BsLtjweeeoKd1Naq8CFys/bqffcJOxC0aLdizwQoKb4daZxBX5/YY6UeZDEWPyLGjSyM8VhfOjcf
leLn30PBBnfNHOC8LEY6IXwiNHXCrzINChZxRinfl94hUVW0n4ORT/75OzCfPD6cTHgZkFwxksbZ
hDro4gaYnZWFfSFgobMhlaB8+FizNZEyyq8VE6v++fGOm5TzgI41dzgQlx1JrmTFZs+001n8D0Fp
durnm7gm5mqT8GKRMudtU6KJ7mzL7e/fPsHkmtGRj/Re20UaSU3g56xXmBTdfgABdOGNODpnw4Gk
14WEmRnCfVncD5QbvU0rKfY9ztt7Swnz68LsL83Bo4oFo1CowG6BYQthw+I82MZtF9gyj7GEsXO1
kdGilbYJ1dA9Nvl2CuBjTNi5Ay/uvp1/APrxeZj9gTHXf5C9HdvRSBg0Edz1NIPrPgyIZc69GyUI
vJesZV8K/t8a7zzF8p6ILntKvbEkAsHqt83YAXNrchnF82JHHHZJLIGxDZuCvZyZVj6bX+8myWX9
swxmjr0SoKP7p+Ly//XqS/VqRIq8JGfq1fHfCCNf5YdS9T//0H9ilfW/6CMxyTXebudjrLL6Fzpd
DZgrxTMq4zad7P+Uqt2/EA7SqiBBB30mivL3pWpgZNgZ5tIlkwbq5h8gh5cyXCpbGHZNlCB0Rgj6
XbZ8yoFktFLU2rUszK4hlofgrcGvLE7pEM4leo08GkFVJKmm9Ow3MU9AsI8ISai9wnqFCCd1bQPh
b96bWIk94VvCj2Mm16E+p7B5gWRuET1EK+/dnb7/Z7V8X/terKGkzczc2Lk5zMKBjGUxm926JQWr
mqpriJzDZy2Sytpij3Qzdo56C1iEY+n5AfkSfFy25zBUlaaDiX2bqhL37OOyrcQCrlabh9e27d3A
nAfYIzo+9XuEfWGpAsJUSl+r1OK7h7K0HNat2Tmm79ksPDsrBHFyRdznzP7qMH6tAEhSxNAbSFuu
jB1jmxMafY8eXXsUOkbZvRnI/BoyAIY0Cip8srU0qOxVWZFRuLbAr6Y7ota514rdDZ8JzeLQpU3W
KyiyvCY5x2Uoj1pAuK2cYN7xW3i0cWwqlARsngg726Zu2x0SkZEguFh/rDSDl6A3WOsrg2/viFgX
N1wDZKtyKSKsnTAewy2ShD7cUlEZ7tXIFJhNo1B/1DS4mKvYqbk2AB/ldyUC7xfaPT9jgH45QI7U
i+9610OksIngiO6GKOMXEfZsXPGVjYavVTkTWTjx6tqjnkRaTReUjsQt2kFH2RHwYRffdKOV0aGp
at6/kOQIalnAFT5PldQfMcnqwzOkeZIIDb3hzsU1HtHVyJkpv6oKl+1dhwN5AgKiMLQoOv5u0QI/
3YLDY0M1TCW0fgVARHRPHBTlvBwIWESVwOD6sfZarwQDBk/tyIGja4lKWnk9gUKbEmsEai3+aLUu
uUnk4fEUbJNW17eo51vrmxN5DVvuo9GurXjG5ceE+fU4OJpy+jJOOY+1m93Z16g1RHSY5kfizDfH
A93C84N8cu2VCoWNWDSKs4Zf0n+KyAF8UFw1AuY5MHnpnwOoKSFfYgshmUaA76O6sapQQTubnDzt
rRk44UaQzwUVqh/GR7vRm1u+PhyMsgQWFxy/Nn8Nk8b6NI6h/aR0jnbbd4W4B7AWvupUJnwKx6a7
jnXpvMow7Z4Lg6CfnTbxykY92Qhd3zXuOkrmDXUGwJOQp8G2hi24Be9JQbDZPOjkptobq3N4bbrK
4fb2cWZXd2ozWLT/rVCRyFXa0iC0ejRdyLYc2U2FqKts4NnFBpuE32MytsV3/jJLfqMHHD7HmUp9
waZlvs5D3pGa+IZ2zbFVexz1+cmLlGS2lRL0PNu0nwQ1TGCs37kzTC5CIZiUaZH3wa5WCZr7RsDi
8JntIxNBmRxucKwjdNqn0GCuLX2iJBkMNYftLqFgmAT6cE/zovRbCErDjQFrNAQT2DIKFapkwthS
U5cbhoT7Ag+etIIWfNw1kQl69ZhOk6I8gbOdyptGr5Tqfhw8folgP9x/nTLOcF9jU83Sz0GXVP6Q
KVVJJdIwriZSM7rVNGbcSw503MtB7TkFeF7IjaAHVfmBcMXArgFky6EoUZ2u317kdFB4cFAOmcd2
N0+KpjL5U4beYA2VZq4/xq2iEVWhuZH9bRBuq98lgcdC4YZamv/tGL1GRKJLoR9pCWMqpGIPoPTC
KnmptKoPSfxqw+anEbhN+lyxQmhAcYPJqu7yTErbZW+jBN7WEYD3tnqKzGmFbTA51CVxhWg+K+02
IXtqeHbboEx/WY7UdQpAYxlCxVM7Xb/L+P5M5UpvwWxdBVInHgavl62qV5FucEDHF0txXUFi/RIP
E1rrOHRvJUqIb1bXBjOx74uDVr9fE/LZfh3zUdmCoiQkNC/qtdGG0ZUhvGBDVTwm1ydGBKUZ2ghZ
2cksn7KLPUubE8I9qGFzttmZnL5lQhNgJFpSkPlWFK76VBOPtjYy9UWhzrJqSM1cpaOEcRf1g+uD
twp/iDpwfg0hWAsyJeQdOJebtq/KcZuSgfsAnz18sYxObjM+Uhu2fcZnmm7yRTOjbKdLlVoPjGRQ
JiSi3HshTEGnSDkswuQVn+IiFF/1pHZWnlo3u0lpOH93A5pxIHxgyfrirhNTdmNRXti2vSMeWNaL
l8Rroy+dKe57Rx2SfVUCWypHmDgq+859RxzUl7C2xVcMOXW4qxopb7AcUnxNy4kwKi/dwbggrxZ3
M0A+h9IJHNn8kY9O8U1aWRFtkqmWOzdW8+fItudbCxOHWAKrlWvbIR+nsAeDpKQuAwnn1L/jirgX
0Zqmr89+LSjE+i18OsfcRCSgQfUa2Q5s5pwgqqFZvndFOc5dLiO/msF5u9DSHpIgL/YqUpsNjJ/i
W5JWlH6IPrGvJMfhbjtmTntbNmbwxSsie6/UUwpwCSUeeIDJRedj27dK1JTXLNijj8B1vOoVzUOs
lvaEk1bw6nSzXZftmPiRrO3HLu6mn6oqkmvP9abrSlbeJcTM4hzL/gSnEv96O1TiMFsco8o8M1x4
zgBFm4Jahpxrqr3BR8hUqMcmapdfE/BZ+ef3RYvD29uos4oHPyLQGXx0H3dFZjBFTtRb3qEUrKIx
fpRyXTQ6e4zz4yz6vm/jYGrD9chub1Y9fByHzHC7rb0wOJgUqVlT1Yo1Ww7Fd2sIWDD+fLC55cvt
xKF0JBnSmMNKyCbw4ApKxnkemVdv+gAlbr3t+aGON7IcyhHOshdX0b8tG+kloagFsFcoV4R13cqW
rbeFyJUyXJNf17MK84/HIx0dtyMwOhuQxKKpjfOPaSsyC3xlFDz98wki8JkvhiXnlkYdEx1w4XYu
jt48Oy5uFuzCJOLhLTfrYxaajVc15qEChdytiLFg88OCyhdYDnNizxzZYqyVrOOvVQrKwx+/pHTh
LO6zOgP2cZ1/fHlyaQI7F6l9aNsYBFOvGFeD1l/yYx9PBUZBO+dhALZ0TiYfRxGB3ssgru0DEYQw
pWIZ7x33olb11CgcKF0YDpQzjnrrdkP0paVwLW/KCzumfYPn+F+8JuTjEPXuctrhuLm4Y2lJaxaC
p3XQgyqG34s1D0p+T0McSYd22xRDN1040h2vX6zprGFcFg4zhv14+8i9DMZe2OZByQP7m9aCjJ/U
jq1IiyNiKwkK1CFGT7wi52fE8cqCEBHJDLAKjJ5HMwJ/e0xCLUDXtGV2BznrZGMjmJkS273grDlx
ibwcSJvYgyPAXS6WDnEZDJXphwHo5BpORX491bQnhTlXn+cT3DC/NX9+fXgQXIRt1glGRqcSYhaR
OHQQNjIWmSFZEKob7TnoXJzpb1W0d7VNprpHdQLltul4jns80+aep8p6Qqu09txVomUWrjZHFZ8J
oK5u8wTtDrVmtslDz76OxttY33ZlNwQ7+lcmh4ucbmGo1z9R9xvsOidJ891N7eKSHft44cWNYmCK
YEVC9bd0bsjY6uNRCXjDM2qm6ziIi+9z6ltNbArVPBKh2daffxLa8dydrfTsKylFIkBbalJCQb0k
4Bt3UFyFve7gGpwfCKFpfrqVxieTXL35fU9i7bZsRfm964A1b4zYGz6XtV4KCJHtNCcK9/G+GTUi
Jc//wFP3ZFZOolMzeHZvdcx3WiS1rKOJXDTrkE0um27VSl60kE45NBUZr2h+XSrjHM09RIXzbKCU
wysK6eTjnC9JEWbTDzmXiDVgr2pCS2QsJa/pMLc3zl/dqcGoG8GkgdBxHAOElMLDAAx4e8DkeZ9I
cNZq7XLKsdSCU9L5wY4eNVeGmtrUZoM1y9liX5Sl/8XeeSxJbmTb9leu9Rw0ODQGPQFCZ0akrBSc
wLIUtHCHxte/hSTZt8R9LOO8zUiz6i5mICMCcD9+zt5ra6JpI32Gm25zsIzTjjuLB5FT4t9f6EcK
CFJYlsu1eEDPyJb+Y2UEGT6dnMYdqSBU0t7qnOH6UPPaDp8gdqv2qskGOiFWbKEzGROmbkUDU55e
8roN1nK6T9KcPoE2clhi2Lc0r4vL/FjXHFpZdL3MnQ5Nh+O5JMJy/x7n0FW1X5f/dCF+Z00wJmNf
Q/z5YymUwqluXFJTT8bC/HhkSnFVMjLfxzp5aH//of10o3Mp7gGLUQAtvZ8mIl2sG90wJeqkkBMf
PTAMBQR3smsBudRXa8bAr/qH6+71zcJosa0hlVzF9R7xvD99S9VSAr1WtnVyQB58ATswnJQV+U/v
DRHHbenqyKUgzHeajF9sAMaPt4i1ijQRa5pceZ1B2ub3j5lVIDBA55KdhKCTtGz0zHNwFs/kYZnI
EqbI++iIPLc2Q82w9+LHSCGAbsfpwehmlBSgSed7vS/pIi752q+RMO84WPSKPy8u95EqnTbb97z+
rUuKXcUrkbBy8NEDMSbOyeO4s7OWGf96e5F1RPUwdwqE+0BwchsYTosxeZxojbURw9urnMYR+gk5
xKsZghHwGVRprjak2ZZ3I92Gi3I6jcjs1LmFVKQteyDPDHeHrlrwiktDh4ic6bCNXbsn8Yb44usu
J/UWqVkD163G78MBeklPwHhFaA2FTf5KLxIJ0rWXJE/R+9aHsX4zl2xVVRMVQ/Oob0QhPo8EItMU
1zKeF39q1mboHOfJ7TBP/NklxLc+OvDX8a8o6O4HKCqciiq58LeLdP8sPsl3pfPiF2tdIxuetaQq
7Pkr3XLil3MSezm4z2ry82PsadN9A0E/uUUlVEBZjuXQ3bWIb8oNch6e7lqUTX5fL8hJNqrvhNwx
gpzuc1Bd17Hj1Pk9IoD2M6kUvIsRtcfyxXSq3jorKdZW1AgsOJj0lB/krdtv9siv+9AgbGY2aGTW
9cCnOdDR6OnNpWSpTjunmbk8fRA6V92S0Aj3ytkxt4gHecUeGRqKrNGsjnLKeu1hIltkCWW+sGsR
4W3RwkkKszVuqnGwu3uRQibf5NwuyS3nVTD+YnbHJkS+Zx2HQbWkB/TdoIVLUzWQuo3Vyb7E3EEV
+cSoLt0xda+tIRLjMSGBKWJfFchZalXQ0/Igui37CdeQETAtp8vIxHlSj6KyVbEnaogbDP8VlGMt
VewN73UAPXvuviV2aDUkDlO4k3Bcc74ioW6CTgtTffrqd0t06y1ES//RgrOLnl/GTCbxaGWG/ZZG
SRJtW/KSkEq/P1bOKpkjwcI8jq6ZeW8V2A2I7ja4LTGJhCkou6IMjQ5hQ6gcm7tIes4qNitsPlej
XXvmZtb2HxEnj8NuQph4+8doBkDlW2SbayERW9R2Xu2i8hTZ2olVtOeDBvTGYSK/ZQnftz/X6Wky
JvSu3GubTJklyPV0yshFzvX2Cp0Pj2nZaEwaitnig7WiwTJ3mW/E6V1bSX4RodM72TWF0UKQFnL6
vZ9cUxto9Nh5fu/VMHbO9lSIRyfLKiskiymdv3gak4wtenHDuptFQxc4mamNYU6K0S3ZjxkDELud
0K7gXrGY5iDLtDrTfaYwz0lDtFVXM8QtCMHVsiCKEAqELOE26eeqpVs/FzQld3TQFo+WBGqzU6nr
cNrJcZg6jwbZ0g/Z+MeO/9856S/npOwq32y/P/t60rZd/4FQ8P2o9P3n/hqVMvTUKQRXkczqnXF4
yT/DWX3xG48YZh6Diu7PGanJH1sCAZJ//8vUf2MWSj/DN2ijOK7t/ZOZ6I/7NKIfDoNMV3Ej0rH4
EXPS6x2mxyGJWbUIYKZxPu9NaAZpYBF9IjZ6nKhPKBflp4Yok1+I1h3vh7qE5hZqYtgxFHSmz3nt
h6qRjC1p5zCijmVGcosbE52kGS0LAaHPaEm7RAc5YaOQZUK46q/kTLjIUBsV/ed6/rBEq/KTuYcR
B3UOVyfwxcxSmq9zCZVa+caFlvRK+JJajKDN0n65ilJ37rdV2xgEAHXL2Xdj/bBqniNCRkFQXIak
Iigq89ibJVjdnUpMApsyitJ7hlFuqLIIZMo4sgS6a9STmcx7l3r+VNsTn5tTTdU1vyaUAZiozRts
12VHTyxHVMoiONMiFYGTWBqejmJu4l49CLSK2smbklEEs8a39HmIzdjZjb6rGU/6EMXptuzjSWUB
inb7NdF9xIYM4vwuuao7k3IjGJFPj7fScHGsujGRIZfF1xJvV8MXi+/HWHeoavNSWoBXSsRhRjt0
+kZLmMcfhbX+lzEpNe7LpHKyixypU8NreYphmhS4PIxEyxBNjN5ieqiHHQGKMiidCKsW8+74Y0kM
983gzvW21pcC3L87yyYQsfReln7qtG0lxmnLJuvue2fZdPyvtd5Qn+xMDhfXy/Q2zPXYPBRUdShb
sTCMxPy8gEqigVzsS1XqZ46MbF7+rlGDl2ESd+SVKsedtGRzC+fe4IZpXB0pGFEs2uxHdwN5QR/y
xs5fdAKH4ElWSWgy7Au7NLe/aNWU3XNuQPPvT5IgC83fJZVISQPwzdfMRjw3si5vUldVx9SvupMV
oSkSorhPUP/dDRPNf7p7EEwRSu41MTqntq6Okz8/EjAHdknz/fajXYvovoQrt5lMMz3muG63+tiV
V3QJ2m3LKC9kCFx8qAcC56Umkn081f4nJ85lESh4vbcDA8S3eEBxB1hh1i/+7C1JQFKUdoKYwU/N
eqXfqbaZyczBo2YaxWOmNcYrsYRNHBpW/ilF4P7keDxUTHatHS5v6xjn5YCnbSqPyhy/RBjl3xZk
5Vu/gbofsCZ0b2ppt9nCJiqS0QryZrwarMS+KRDI7kxyIkuERVF9UGy/R0aOzjmqXZJZjN67CLca
qaRHguGzvDii9PFRCNTtY4um4MYc7fqQm6V5NTI2vzCrWw5l3NhgXxJxQdefvcgqyV75Rov9NPXm
VV8vxaGvquaSQyj41CD3XXNkYveUKnO5lXY3XJcdLSVmcmIIosZz7+esY3vVNJNlxZzSM/G75p2/
6A5CRB6JQzGpSAsaL01PlRObN73XQxpWZvpM4TgRFgj15NzkQ3ruklw+Ets5PmBtbk7MhautNqX+
KzyLDCWv012B1sf5PPVuRgKCuxg7USYliQN+dIRxMO5xSMecRHxvp+Rgf7UHhNkco+bnKTNAUfok
++RNeezs6MywtdrgjNCD0WeILKr4aPjN1WwTaxf5ZkCYXP+5r0YKoxwGo875PiAWCIcPUe57RYjU
zkiIclkmR35sIru/0uWY7goLAaxTWeNdVtsS5Zc3H2rVm3c0IueXHq/EJzQTwx0fSHQzUfs+L+4s
VjtDueE56TZ1OWWHEb3LvrEyByNMX+cf4PQUnEYET4u2AmrcvPlsak63X7xyagE16+Z2ciYrkKXq
iImkJxQOVM7EYpLi5rW28XUxEl8LdBQi3MpoZ6EXPjZTPpwxFN02Q+dfjNqIXyCgFPuFVNbdZM4U
Xfqc6mcnzfWz3+X+RatL445s2J6NAg7odV2vJoJiuilk3xSB4EGlIR6j87V8Ksto7KZjysHj1NQZ
8Uueg+2jJ9qxl4RUuSZLDXp41CaUWYa0xIMzl7YR6phDw1Y68yem/cSXENGo0qBvs+zQYpL4mDt4
2qkST+wltFdlbfyeMeU4Fq1NPwsS1qNQWXsfk1px4bTJTLLnIBzgb5cf2qr3L5PtLucB9f9bU/c6
O5oY74u0lnHA0+NeV+M4f561moQDjkV4Kyp7PGlxOeyjVgwXzA/mySBWggmjlE8jnoHbyZ6jzWxR
3JrplNyxszWvjt/XH72ucr/OHG+KwOlapB1+/HkkRnXLRByCIg6KERX31UxsygZnchcSSMqQ1dda
7eiR5jESIlEMb4T9iQItB0qa0Fk0qlJAp08Qxrpt7TINhryRRqHtZPlXIozkDnaHfPZioiu3Vh2X
H8049vaVnKJzLyLvavBIUimmRR0T30MkmaOInw32t6CwuuLSWTpWI69sz7kgdbGHrQe+VUOP31FZ
A1CyL2PhImoZqv4ZAgZnpQZYSNha2uQFrTn2d03cetcLSYdfdOK/+tWFwnaNjy0m/bLTHpPEdl5R
EbP05LBkg7qFjr0u2uAilyUCBKV79Y2bV+YFyA3YbqKhN7lXzILgVNvbu8TOrvfEmKJX9zWURwKQ
I+p37y2nIb7TU/ONmVt91uLKfvDimEBEfTKvx863WAZn45bjuh7GUXVev0BmjabYL12Phr9KN34m
jTPGB8JoDVScKqnq2zo2zA+u1w3ka2nFTsra3mtOViGJ4IhK98NgQE3Mp1abDeIjvb1z7dj61CWK
0DnREe/Uj4P/IOys2VX0Xnc6J6hHLHuJFZZkBd7mkSS3yhgmn5Tayt3TqKrDUTevvUiNfO3kI56l
Ls6d5UwnvzO8LSdc+QV7CHG/2jz6h6iT7gEVWQOsup3DKprb22YpGgiojTzgjTQOEyCrcLExKI3j
4i/7SCj3mVrAeJxMP0Muj0H+KzEU/WtZe/YuIqbMloW71TL/zjTIJuT96R11B1ZAZPVjSpB8l+Em
aJR2dCqjRdJlOSpi05bLp7RRJUboNBpPRj9t7JrtDYBczK1ptbsyy+3biNp0J2AOXvVObmW70VNu
tjEBYWfhxCJ8MeNebrB+PcFNKG9QAVlNGC26tWe/q3YDEnh8a9q801LhHoy68G5c4XKS1930lQLN
aZmwk0Qt5+jQN1lE1l/uExMnlMiPdhGLkDsbKQKxEUmorCmzmQQTCkwLAI2Elo/3jlKkJC3meHT0
GQVFLkeeE1qj3By++5nCN9kinTX2uc6ywsiSYpqgw6kKOkMfHwa9iD/oeV18sAxqQEKBFiu0Iylv
mrzzr5Z8TRmI7eiou02Pbh/pI8q/mh0M20V0RGSslg0CjuyUdb4v0TqItKfE9OtDKY24/WJilmx9
lB/07z0wINK7jgY733AuVQQEJfIOgZ55tiw1X3ypxMbPUzTAsZxOSTUu25jC/2VxvKvMch5jB5tI
b6QXphmE9pnWqcxd8XtK2zNQeFhCAhLpZ7kl87RlMI4z/OtgGBNzI3sicBtzeVPJ/BFH7p3XAJ/y
k8HZFEjxglamOvlM1bjXwZOEOU6giSPCVVqIclvAJ+RrMXc9wvnQJxp2YxYUN6Sh3QxWap5b23oV
rUVHaSAJKc7zYpPnngqbsuCDKUc/KEr8OZ5pNgE9iuoUJ9LcVb23S+JqPnnpcJPMlvFkKkQyoTfV
RFc6ldoJprvhok3o9/Le3Cz13JFgWDJmRZS+pJn5OtPA3WfEy4bEZ+79yHZvJifJw8ap6PBw+71p
QKNQDEaPqB+dQ4NR8GQbrU5CXZFuhni0wsVTbHNtkh5ToOi7ue2WkF6+Hc5WPwaYWeNLhXKPbMJs
vrF13hw4OvJnu5JzQqO6kG78r9jzPx9LHQPuHK5+1Lo/g82SyJqLtPfSYwankRJucqOTWjxWabsn
bpYwVk6k1FIVW7ae/2Is9MPgZFUow+cBi8Q0GLziqor+1qK+pJVy5qVJj2Kq1aclgzjYpEWCL8zP
77/pDPwfut4fxibrpaCm8u96+v1ZDpHKNHOQhXKpxpDVlmeExMpqjusvf3+dn1wo64Vo/6+cH2TY
zo9s67yeZ4sIk/jYN9G8Y2xpHZ1+MrZFlXa3UuUMhwY/0VO+9PKtWU0irCpxcgPZez1cRwm/3fuv
9N/+0a/6R0ywEL///3X2ly8fFXnTb981j/74oT+bR779G0aiFcHH1/qnmP7P5hFNpd+giaz0cvDi
jKb/00KyzN+IH4D8gidrnVV/K7PX/0kLCbTh98OelSOmw02HUYGmfh2Gf//AFGavkdNGrKsJaGtI
zkuuAHORb2jJbK6ukbxaM0cbFA8JFYFGMzknCvrR9pRzbJcueihKL1qCil//rETm3LCXO9cTjVcr
6Jie0AUukiEwTKXtmGH0L1Zblmi0XZltBsPvd37npReD+TIrtyJjlnmLsW0YqYc2guJLF5c2Xn1d
7vTBK2/zXK9uO+Be9z5G4ixA5J0/KQLmTqt0jPRbdDsvnJiQPeuJxrSCvu59ATH8Xhkdp+h8ObZo
rvds5fGtI+3lXheFul91jDvqFOdmibppq41mR8Cdv4RoS/MQTsG0JXyRpTLlZP/Yp9n05rol6VBt
TT6htdDXxiDV3iKoSJ5lmfdzqNewyc14MHZ+4iLatGVyb08O8YK6RfKoplfTtWJcdO3J9gMLOr1i
ONQuUeIDgy4Mpctj1fV5qIvpYz4RLRkQTN8y6hzSa5lWWb5GyLa/I7cnxVLyHX4o8qy8eOOQ7LQu
WU6qXEcICZiyTTF47tpGx1Gbgam5JcacILIivhnzLNu52ZRvlsTOwhbBy0Ef6/F6SghkqzSByUiU
6F47FL0Pcyf7Xc6Yh6ii3LjxsJ0fZta+syv18dpqq/nA+mW+0XCrT5kvuge8VCTEM2HOt5XRdGQh
JYZ3LBurP9OC13dSuNoG+V91h3PcfOhmq3tF+VJ8ndnnHo2hTzeknFc3ZWtrFzN1UUTq3QufVTOH
dD39W9l65Yup0mFHiVJtKiojWlU5s1+dmHQNJu1nObbtDXUyY7Cpm0LMqTjVM24cDk10eT6ZZtar
kPpFJoG2mCi54WPmW8upkruqHXQANb7sEBOVJDLp9bDzkB4ESPHeBmPwrt51cAipm4ulRBz2FbHu
mrEg5G7jaTcJWClb0gGz6wb0MdzmxjvoeCa/ZFWc3erEo3FPxctNTvneYOONtE9ebXplEMWt8AM5
OsUUsPv0V1XquKxfJBenOfsqguxss04SXlJR6s9qyqZrx8/1bWK1/Tl1G5s2XSOHO6XFy6ssGtiH
WtFMV42dxo8+Z60bj5ai8pp4PwxudZsitb3nXG9sc9vsqNgHMIvck5Ub2LVk4JKgdt84LVSyoB0r
bQQU5URHM8siWhxCHe05a4vAk4LyLJokmT3U6+UTy0hzO1d0iapY6tuBCO5tqjX6mdg2ijYaRvDz
Zeptqe/kTRmX8Y1KLGPjSMf8vUgLKlCe7em5jRKsv5PXzw+Ok5txiImW6JBMJAebvLFTvwz09EoN
V3I4aNIedhUdNwTg6KlCjRzy8qJxRHhyRcV51HXqqAktKSNWkpRD1FLWnwswMV7QO+V0NheX2F16
jcSZZmQ8PcVDi2M1Q1MXhYVGkJaZigz7dgbeYDdNcsFK7TXTnVHo4lm1UdWHcWOoRu4KBybndBYI
5CZaryZJ9Gh7FX73ck07nx0vpu2Az/Qhamdjdj7Ebtl09ySm9sOhXuVt1WlpjFZbws7LyqnZWIOR
jw8qm2LvkxXnUVLBTin00f5QMiyCzOc16O52xNV02efZbRqR03wVSrFxsbn9tw74VR1g0lv/+zpg
ePv8fRXwx4/8WQUIwVZvWmy75Hn+wXH7a4REkfe/+77Bvo9O2gWDaaP+WFnOf42SbP4KBiQ3JMig
95Lgn9jrjFVX8Y3oA6c3IZU4WnHdAt38SdGSdNY0ADI1z27Uuk/zaNnH2RQahoSl0DdzAjxnMzX1
iZpbiqAWctjqC2RkBA7FvjdaeW1Hem+84IrKL7VbqORKToNphUYjWTZ6hV3UHKzhpcuBEXTxzHrS
IK4L/cFjO2zI7dtw/KnArIyzuO/Ntn6thmi4WdAlkGRLXjJe+UW5KDpoW+zSkqAkV2WM71UOqMVt
5m7vIHGogyZhQyNAm1nxBmc/Npd5dkkHmRitHKiyF1Jo8wzGUE8zIyjmPP8s6SrcpDHJt3SXy+km
imp6arg2eO9lUzKAwLGUu8d6VtayIy5savY8q/ytuVolTihAZ+YYtpyPeIHsbFOW88RciF8QjU60
QEbiQS7NO8MjI9a3svh+yXJCTQpOaZlbdBvUTl4cRm0NuWJU7qH0i0qGsJGW+MAkmJkYSejVBmIQ
mvmzmRsfcNZ27tIwbNHrTh4iYaf9voyM2HT3nLbWvEGFXFTf4OBRlR7mlTddTEwXMNCx62pHqxU1
FKEmlgkdXaR2hMdvU6/QChbbprCwbAw5ShXFQYsTMMGpw3TJ5WD5mFmKVPkcMGNV7lj2vDjocW9i
6AWikEU3kZi13RDVAs6HDamTc4jswdtc41Qakg37wBoPqbejiOCIJUVECmQ7rDeOC/qfXgld/ymD
TpOXzlgMp67r+4ZwxbnMOlMFqm2HkQUXXtXYipeYg46xvLK4zpX63I2yK8vAxqJURHf/XfCqLu3m
Xy94Pgrhvzv4jP9zeCsbWg2K8+2X9xc9fv73v951ZPwfb233739prv4bSAmKQAuqACvonycf1/jN
ZphtMMZeFdzI/f93CeS8tIaVwUZbz022Kf6zBFrGbziM+c8JYGTz5Mz/T45CPx7nGaDzQqv6mCXV
4wz2/UHI0pyJkSe3H8ZJRo0LYReGEz9986H8Hz0D3uK3qyxoRS6Cmo/hOe/zJ1V1Vw9ag952OdAZ
l8HktgvGrMENmQp127+/FFvDT5cik4HS0IKdDb/i+/dTg0yTWWwuRLukGLeKNL8yDNxakBDLoEDk
eSiFQpa22FbgQ8D5xeV/+jg9NBDAid33PBtEEt9f3ijo+IyOQXe4Gh+N0n32aGH//TtcX+KbLQti
HpewyUpDx81B4kdGtFLa3OuRkAdbjI8YMZ9aXxAWhaGERHP55e8vhuT558uh+sVkgBbzHR///TuC
mUN/3G/bA2NYeWICKwDl+Fp5ym2qz2KwPljvQB0c1itcx6yzEuGqj6evfAfwcFRMA9eIqeoTcGBH
fGvAeoZ68CUnjhXiQ4EJ0MeQAocXzGEwN75xNLLS/Ghk454CtGMIs3qlVacbTzPG9nVW3pebXGOc
kcje35hJbm4gg0xPcxap69SJxzgwOVbiCyZD6NGhM/2czm4d+CTr3kVxbd/YXZXfOzbypMFSJWm6
dA37oRIB9Wm0WVlAyI5tuRv6ZTlSQZ/7TBvIKym/Wm5xX6fWJ2fx7jpF65Ms9PLU6NPvMZNHLpE5
W83mNUszWzZ5s8h9LldEWyWIbc/GLyrx5dHNkhuycrRNClB1axllv+UI6lymibM3jfboxJ725Goi
OmVJCgajdRu61QOyQM2HDtemm1lkGaoJGT92jlWEvce52R9iXJExnd0xGkg9LqJtho/uXLV22Ce4
dyIcL1c28op8Oyqtm9daPPaREGT9tEtx/z5KF3NFQvEVGh6SvQavtQ6AQERiV01KOR+sytWek3xQ
N1UteB0PSewj+XDDVaHS/kAVSctAKRSaOGGSq6iU6lwXur01KkkEzehzi5Qyu5V1PWNyrcR2mHtj
N6SF/mTVOQCdQU6hlqRG/9qnuuSAqc/iGntv/JgmElZVCl0oYoSzSSS08WBMV2sf7KrrKErUXbNU
6rZU7XXkz+Yrs4/u0epNssy0RJzFZDqEaHMvSAzcu76rpn1Vmq9JruyZNk8f7zLXnCCBpP6dDkRp
DwtTnZdYq29XqprR9vMZwUMjQ78p9J0asdLXjs3BmkE77YzJTvfKt/or5jSwZJfEucVSu4siE0F2
1LmCCWnMiDVPjvzYMxlUYBejtc4c75o5J/yNIkwbMshSZTVc0QTPcaAO2B76eLzDFy32hpmSG4Ao
/jCXJP/aTSuvZgjZ6BZju74pZ/YN7mgk/fioY/3OjOT81jJqWs3VtLfiTLvqYscAPeQnG6fgnLjJ
iE/ZMTRzN1KXXC3OzZrnBS1CWBu4P6ImQZivedGrl3dExngx6QZRNF5NsKRCLNRj6CDggQqoRzz7
pRZAEaZLFPW0QuzcD0ynGE8MzsU16ZfeLloZhIRwZTRK0mrjuMmbGZnPvlhm+Cmdfp9Os34wBvN3
l++V3O74Ia91K6CFxbNNqnVn1cwXo1wFi6V1m2gc8o30sC47S3bWWtkQ7RkVG2Syn3ETt16AiW4O
vCgejpEW97Dh9btp7nfdVMeHTGMIX/vNuF8AqjHIdOQHFJluyfI0apsGVuKuZ3j51g64guukcbbt
tAMAaT7aduOHlcjR3FTu0N72WmO+sW57x7Qczb0uEnora4MhSfrVy0CAxCUq8g4tRNTMH2rhFdcs
SAvNe5+62LBfVU3clOF7WjB6UR1iGTU2rZ5cxx60ejaAoBz0oQviGAV2UYrq0pbesRiMD3mJAsOI
RBXGDKug/GkbHOvRJso17xxHOdk8PvBK2W7d3rDeet1qOA+Yw01Df9IH+8izx5Lg3KQzfRUsScUR
sqc6mB79AKKixpea1mBANbT6ABlwzmHh8AAFqzLpq09f5lmMUn8ElWrdoct2GDv5IhRFmbUBAbnm
3i2SbuswDeQ5cabPHBi0m5xYTj7mCpajmz3ZgP0Os88sm+5U0YfCmixOBKwehYfBpl9c67ow01EG
NAsHemSedkAp6IRSup9cYdJMHcAVbmRkZ0cv81wy0CaxR8VbbpVhzaE7zMjmc8vYCsdPDmiv4FcR
yXiwO9u+cVJyLhMtjn/37C08q3lfzAkf/wD9QrBybdA4erQa5+LRxF8f2rpAqqF1ufFgSWfrIIt/
7lDT/T4NoCcd5SzPbWVugHOMaZA1Sl160XS7vCRjq5vd7GDhHA8KKBwbNs+vVd4aQcR4Y4dOqT2y
P47HITNZM/5g0XXinUxnrJS6963+v12NXxb5tBi+qYp+Usdevoz/c/qi2i/z9xX++4/9VeGbv8ED
cgAZW4SG/DHF+KvKt6nyWdAgwTNs+FYia4nfOEO6eD/Wcs6lMfKfIt/0QOivUGv+BtEtoT3/pMjn
ZPBDFefrDOhtaEZw9V28jT/YuAwJI8XsbXXwBw2JR6VMWruo3fMr+DMwfXXm4w+x3aIJ1dOkPw5p
1d0ljTaU+zwTKGiUGgjSYNaPICHqodH1aDuNZorpOIAYvEOvou9XfQk4TskSM2kj3FXBIBsEYfQ4
GZX9wmP/VggKDl7qkSA7+6HL6+WuVf5j3ZA0VhCNjHTFKaJ2BUK0HMGz5dzTlCHeLPPEfeugHuma
Tn/xgVDACNFS476qxvzUqgHpDrDgP0a7o+NqW6JkpgtQvnYjNCHuI0C92xK4x9fWULXOKd5kJj2U
qHZgg0B2Rf6E+HUAy7KMBMkvFgm+7x/Uu+9zTXvh+0/xO7T89CgGWr+IFbw99TrJqFnZHxciBEPX
RFoVtPbYGhuDXiwU/tIv/echW2QcVoWnv7glMl6nGfzQNnxkhPq0AO5v1RHOOFcXaHWDKkOE0aad
D3SlNnva0L6y11xCg3Kn5YCjMo8aGKav9tr3JqKcDmRJ4PSmuCa909f3oy2KpzkvXNDUcS9eFPj5
NMgnFETsGsl04zWF9nUh/iScTBmd8mRKPmsslpeGnu3+/fdr19+KO1vNAWR1dTSKji+jKkkudB30
kjtd9dW+7+cBemazUD/yIbceKid4SKuwt0sNti2B2STou5yEQdwVSQLrROTLga66MneJDVpmby5r
uZHRNAoqrc5Pi1UfB2WxS3bZwFKZxsZLg9TY2Ylm9vQ9twrnya7kXvDIJcn6tt1w9RS1Q2un0BRt
+wFgT/GkYA49QMSaX2STtNdeZfqPGSbKXWIaytlQiJqnCv7JVSSt5JkQPGwLEI+uOLKmgFmzHApN
R/U+1LzJbGG+Yi8GsTHoJBGY2rIbA8fvnIBA3OV1qcZ571mtvy8Kw/w6OiYOmUiVZQ01A0P/Jjay
lFCxTO+SS17UvJYPWn7n1GAWjdCiV0ig46BqF8RnnLf3UenP53QZ89BkC9ksnR6dSwcIGCiw0dsT
yiugYCfmE9w5Mos9fDFB7iSwKyaScjwS8PT2oautF7sr+uvS1p/ph83ARQfJAC3rFw2yCOyRMo6W
Dm+h4+xSb4lCoE5NiFAB5UdEKzZA2qBuaC3Vt62zgKnVTNTe84xcNLXEqY8rPxCGjLclWK7D4jrd
FoD5ckJWlxdBjtAuHAvb/DAJh0NiOaMgApXVBuNEf9OCFxFWBv5ybE5Rvqtw/m2NurMoZ0HWhv3Y
anvZmO25Z1h5w9A0v2IQY992dmxsh2RADai7rY6QBZJRFniaT4mAS6ffjIB3X4ZFS8+REPGnWWUZ
TRxIUzNf/dKsGnd8eWQfihqu75xhuQp1fuZtARBGLZRBZjzEdSkfpK832XYcRLLtk8GEYp5XyweE
ijrDGJlcBg4J2OGbGniSPe8N6QIkRvRZd4GKGx09OQStJhiKztoYEEe2ULKQBI0sFAID/ahvBseZ
r0Yib+4SEDjPPu/fxNBDX/DYlLXbbpwlVqcehRvnX2e1Ao1U4kG5+pMCXfZ4EBK3xj9XNSpU/4+9
M9uW08i26K/cH8CDgKB7Tcj29K109MJQZ4K+J4Cvv5Ojsq+tquuqeveLLNtKnUwSInbsvdZchaWe
gcaaDHML5PBWV2ZX05DlC3ytjRydWS4UabfpQwDe81GZSQWCtoQhabaAlBfrXHMWuK3h2z8jD2Lx
Hy21HgI9ZzY/ohgaZDhrR4M2zy9exYmxhkn5YLlMuqLeHeO395WlzYf412Au80tR84TCPxPmj6eo
gbj/NK+sUZ0u/cg1TJZVkgCQ2OJ3QCVYu9VxTliemXhZksdBW4/C2X4QIsA5QhzHOymmfL3RJvCr
ndJGUN0y9lpu+w75SFTX5GL1Iy6RzhfOj9C5v8ulf18ubU21v+6J3nyf06/1T+XS9rLfBkHmJu2Q
+FxJrCGPcOt8/i4HCZCDgFVkTP8Dyfh7U9T2eBG1TeDTzPqpXqKUYtqKhAS4jmlhV/9v6iXnpzae
ueVg0kQkSgHRCQTIn8qlNpMFVtAqu+6sMV0+y1rS0aikN8i9ifCbxc7WnPsXwn3rvjTOtaUap9t4
xdUJW615RCK4fOvQWjIVNxsnnBmmrlczGOfvHGq8iKG2263tqeIUnvfsMIVe5BOSttUf4XiMlgUo
v8CTwZO9JHQ79/T1MxXcmakxeA9TPU7C3jfu0DXLk/0eReJq/DFv+OqKdNlOxJs5UdVmVV5S39Ah
kGlO5FPpLIC2ktXJZ3XtTsyE/SdleWuts9AEEsOhqJQD3TuUuCXWB4xQYu8jbSjMD2nrDet4rJrJ
t4BOm2VlXkGFzcc9a8ZXZfTdwWub5d6xigr43aIzXkr6+/qJkC4vvfn7vPKfDSWYJfzlA1h3g/qf
8HNXF2n10zT2/aW/nVmcXyS0XeLW3W0KAfz094fQlzxO27jCFPR9kTQyFvjN1+f+QvUHdAkOi23x
Ml7123DW/oU/ChkVojnH3gAX+38xnKVb//OhRQAjQqKFuNGH0uD9ZIr3cuJYugLNDtJbMBwi2CxJ
a59gtbWmDoHJMDVmvYMppIDKWQvAeaoIqNjuyqofWtrFvk3VVeb72qmTFu1PLYhDb+BImjtT2f23
MnX8a4Rg8oxqlOwDpyDCRY4oiBaLtl7BJsVZSNC20XDKqWQKzgxIxvxrwJ2Manu/eWvMFbPslOGv
3NHL9K+ForeCnUrcUvgbBIJXievuxpop6NEqPNXt+9zYXvLuw84R5dxb7RC8UrrzgzXFAvC53p8f
iV4MXstUzI8dTvZznG+We7uZPdzRVpXXGPi62r8ANui/9T5YxaIqcRW/w1ax4GxgQQniE4w+1sB8
C3HYNYEEdmFZCfgIYYvnbR387G1e7bo2xpM9Kftl1f58X9kgBnrbhCLglr24TayNF4vOMn79AW+E
YAkXwAuyvj+iGeu/ZR2h6f8AEhIy+0bTEUP6bHf8MTlD0ilrx/m8JBv8fEx4AwwweLe64KeZNoDS
LFY000eb8C9K6plPLTfshZ/bEAkyk88OCB6K4qhN+9aVaQmV0VO3dm5k12i7xa7T6XyTxel0tmtc
+UBbec0PmJX7DiErITK6Efc1V/jHF1qYCdCChByIV2vcvmE60fM9X2nffwSKDyJSIz8VjM6ZSESY
R/L0wSgtPkJNOgWG7Unxq98XWOexlnPJNQC6ibDEzeHOom44IZHXyRYLUTrTqdladB8ofbFpF+VK
tc5I91cVbxhKc6qC16XQj8PaO4cFp5wMiziNXzlvZA84NjlwFHNrhI0oredKcgNuDkzu2pIbPZ/l
GB/wZ/I3rbHFr55C9cY74SZCZga69h316g0Td4PV9XyzgT3AtX3nuwJKATYA/m/DwyU9N59BjFcU
T2xtBF40wze0uuARcCtAk9QtD6EXzHzBNeRE/PtBsm1jWYM6vMqQxId5QNG4n7hFXY4GFe6mJuBs
8J7PZGQTZIZF27zvdB1hVJQ5WTI2RShgRc3AdReLERrCLPmRFQ4dNsXtPlmQOryN21dENrV9Lh2M
Qb7o+cuG1kyPoOnAVEoITcs0BftGiuatw6Xw+n4LpwZo0yUnPajeHnZkW81b7ILm1fbIJdFg5u/f
yTMlCTVXUiEdPGy8O+yJARdyc7TbYVP43DAjpoaronK3O2B7JDjDpUc3RSoYLjhIjkz67TN7Y/uD
1NI6DaZ3d3SBDug6JguNtKtd05PWsctaElkKCMBYmmo4KitDl2OhHD0x1ij5OCZ8hR+U3E3vyPNg
mtxgBhkNYZ9PXJ+4A0k8WQOfGrqEtWOeZ0NSBGGu6yK4Xlt3gxi9Y+PqRsA4LXCA+eHo9cq+x80K
Q8Ho+oX1FK5tZAKfOUE1MLHfwmt22tmIbK3QxBDMw+e1Z/Sbh5XgK7UPeCgYGHf0A3b4bOfH0qq1
elz6ublJMmBd6UKAlL3wLOdbHohf5cBVS4D12LUZ35zznHo+G/DLmMw0nwcyhLiCpZwfG270dGfh
YnzLzbg9BUxFjvGgIO6CDrgFlg931VdZtz714GrkaSaj4myvfOA53+KUjMDiiyosQzzH5ro2l6T2
sCbaVQm6FxUhOVcmaS2jtIAtTBqeTpFuiKMUoNqeUHLuKU6+3OBAWPhaux7osgn4D3JrJcQz5Egw
tg4+xIg5p40EDwsk1pt+gEe4YQ81LTEXx3ErbtMNbluWjAiYspD3sp+C7c7xRFEvF5l1/PUW3d5v
SU4aRKoc7m5MdM/kQASvHcaR7Eo2Y3caxSYIfr/npSV5kTnwmUML95PNt+liQ00ngDX0zvic5raN
TFq0w8OEZ33Gw9WzvnX94Ec0DLb7MVggURDuCvDX3rBtP5Y0iNZpGTUEeVmEpfjdeM78viWVgOFm
h0bZEPfS5ekqipxhwqi5vDbg2vcnrpx8+aoryB7h3DqdOryvrPAZgY9o5bevIrWr6lUnoE8/OO/I
5kJuq5SYIGZJNTifg43omI0ksQk1WjBsq2+VmoNz1zTbZoBli80ZgzlGMYwwt3p1WMiQMPIE+/Sg
SB1ReKLVnbWo5cTyY5c6Ik6MEmKX1MwrQVuvwVVZ9QPuMC+eIS8z6Sse1gx1qpnSLgsxQCWvbKUw
dgaaFRdZmTw1+Tiz1vJMdpFiiSFKS1uoh+22c7/VVflaJ6K7oNoaTb1bfD1Th9jdsyV9jMbbRtS7
VfGMALe5Yo/x71GYmjHP7mRjr6Wf0ApiRRwThHQ/Fkk4+Yl6Sb3WwUpYxZ/awQJ9VLdIiYjj6wYv
ND1cyqRZlaI09GkYlnOvxubKywKGMxv3uw6DYPhQIV5umA8eDLqX942cdlnpPcYo78wPi1s0xoY/
xhd/FqIuWVW3bCmSqaPVRtdGKl9Dj9G11ir0etotuK9lFja1VZ6EaBO1S2Xjh4bM7UNeWVOwgz10
MMdZX5xM5XmILHVBBl8xOzwsLunWp4DbsguTfkSoS7pZQGqIXO/8efAufRawzaUzAvPZaOhsaPEi
xYTpEG/RXbrm/sWzYu5eAQLbVX69T/ysoZfRzNDgcm+86uYJgS3EeeJXDGf+TI5D9rJ45Qv8lLa4
LtpePrQ5CX3GQP5cKFHZHfzJnsjl6YIvyqeR1GvsbCs32b51vDTy6RQdFux6yJfbKVrmodyXPjlh
oZSI0RHsZTd+p7LlhuvlfssGvzqspCuyj6cmWHj9EgQ4FHMs+Ucv1p+ITIMtnnlf8Istj8pZqkgU
SGnt3KOfPjjdQw/BgvKncvfOXM5fsxFqeuahYEHQfeOnan0AXeCEtTeWBzjI8hgHE0P6IJX7pO2f
22BE0tC5VEb7vmzrG/g3LFFApUJHq2afUDdcxrITF6vvDDgSdX/Og1Fe1zYGTi5aRT+wpTPj0o6d
29bfGwEnxowVCxFNmd/jkEBg4F+MNRd3bAILJd9UHUAgueeis5eHpLZDu7Krk8WJ8Ih0l5p1aSZM
d8F4Ap6Bdw2u31uPUidiIBbcrJnzMKalFUEnMB8JdPOv66UYXqzZMq6J4i7I2vI9XqepXb8MU8HM
Okb6dhnmqsVLNtQfs830hbub+ELubyt/trrYP3naNm5N0BAhO6+H31USCuksB0jg5VmDIv1s5OXH
2dh6lMIrNvR81x8Mj9tmB9vI3BHpPR7NOFeh4+fM+4s0iVa0JMc4UcN5qpxvDSCfvQUdIhSNWWyr
lTgvWWd/jskZaCMElfNHEN0gao2OSjA1q2ghqWk/IKt5jltWFFb+rtwjaKClmFoe8sDZPpYKpUFv
MV91dCH0NR4UdAONTcrbyEKCB6GNBsd8hNVfCOyORbdQi7f0Ch/TWKBBF1kpi5O39lPyjcU/OajM
aiOggU0U4zNu8G2SGAyJxI6PpO0aLExd6p58gAGvBjNIn20PECJ9X6GiDl12l6l2T9Oivkl7novU
HvRrgwr2vMLb2AXdkh9WAtBpjpr8a+alBxeh6ItOZp9bHCqWNC4papvJYiGFH/01COzkOmnLW/q3
/QdDBeNV2fk3bl5B9KYaeCpHi+a+7t1uB/czxprStkv6oXeb0TyXOU33i9GK1RpPrFoBPhZ7bDVS
dYPKKeHghh6TtF2qWcRGO0QZtf8WtwWLepxlullYvhdQB0yaupW5dAbPxQmtQhomSXaGqZlsOeZo
v/mqZNeFXA4AwE99G4Gpjp3yqjU7/juSBIBeplOCcJo6Cwi9M1KDqncea6V7ChEXJNMYpm1TLBdT
rPPjYpGwRy0KPL8FykJDifrsDyf+f6G4s38SNkt6YQ70YGCmPi11ulh/lm15k4lXuGvVqXETNkzG
yPVmG9eIbGcWabuvnhpV+PK81Oyi0UwfK79M0poeRzlBj1GTJq/NpE2+Q/hFOS8Gqup3vHIiV6qJ
NMEXUMSYfTFTcPSsAuLRIqOMObzlXgdVCq7N8O1HjYwQYn4c1+1QUi0NPMM4BY7DRGy+37aVz+mG
eqzWnl4yLNKGguyvL4f1T/NPwF8MPl0AW3Q0/okXrYTRpiSPGEdbOXwlVr0CC/PHrfKqZt4992Fw
vVj+ZDxV1spZbi4Vb2uBv/M0By5XK7GBuYTO+p7HK/ktF4tfZ68gS+L9tGpbDZ9PdxmHxlGTMXqq
Ew7kIaYUIj6SCbbrD/4/LDPOkm6+oILwqU++/fWH/WfnpHCAIzkeliF09ML7SQM5BUlq2AhmThUh
qCRWLvPYh8rNESd1hAHzkZuS/Ne5bz8jJ18e24EOw3tESFrP3WOJAvvfvKN/dTci/AeaJD2bafZP
78hwWmMd2e0ZWjKz3bmoTh8HGkmvPY0ZLgIQQq6cBVQW7pN9biZOBZWGDHcUuKTTsO+b7eTEceSv
39g/mXYFQ2DQpvSZLI9u00/qV/RwRdoMaXaK64C7t6yZCX9Y5Tr2H+WyAnKVZUDRXlcoY9ydzqlR
//oN/IvvCnqz4HFFXYnV8WfIrVauqFdrSE7OHCAnj6s+SaMxELF1K2gHJ5zJ4uaY2qlKroYmXiua
vn18m1SDePbNUdyil+Pw9dfv6l9cFgQLNvQvl/bfPyG2KnuMGYfJ5FQZW57lTJG83wLyAg4uQOuZ
6XJAGEtwh5ExJc3bX//097XpjwpXLgY/nmwlcH4oJn7uvleLl8OnwAHgLNCmT5loFyQ2feuXGV+I
WhyDw6b27efci42z2E6pPzKNJtk21p10F4ZCO+IQE3UatkZT09LLJ6uVoBBdbZEe72/471HQvxsF
0ZjlSf//R0H336uqX+CpVOmf+9A/XvhbH1oiaKfDi22e0Y7P7/6vD23+AgaWxC6OGMxhUM/83odG
Bs9/2pxARBQiYXf+YBIKfmH5o7ON5B5bD/3r/6YP/UNR/cf7ERI4qh5wMZZE141W/s97aVHaQM0b
czkx3smXaBR1ipAXHOKtRUB3sHVBiF8pS1RxBz24LUmlfdedpV8L87C2DIpCVZhGgIR3IMlSYZE2
dsy8ybYIvjbTEN/pbfRbLsKMZMopc7eWqG8x9fXArMQC/8ctLHJb7F4Ye28lJJ3GSMwRhaJsPYIT
rl/p33SXZRtEswWae89Y15fYMjhXSjrO++59ek17tX2i38lM23yfb4v3Uff71Dt/n4DX79Nw/Jl5
hF0vjkZVnVJvTb+joEm+6m2QPvOaj85SZ2OEkVReq/eZO3Id5u9sSXghx20sX28Depa04mrahvZp
Tf7spBnki22kH5sx0/16G/T728g/85JsCp1NCDBvkgBjEwcUZUkocNDEzIU38YBP/FWIJpNqnVm0
uRGwAItsggNrkx5YAVdebnIEUCzl/bBJFEgNLx/gu9X32SZgUO9aBsyt1YWRSBNmm9Qh1wr6FHvp
EHZ+eVN5JMnusU6hjwAtt2ZhxVGZgeRwPaKjIPZoeBKoFRH+dPAviQvPkoajB/KLqhvtV2IMrAOi
Sh8wJzk7JAHH8Q2rNHJt28zDEqbtjeNM/SNeTD/bu+CnL6QHmb/2hlvtZSkevel+80FFvZYAtxLz
XpKKUId9bdnbpjC+Cbq8LzSd5rupz5wwKNGbb7nIDpZjur5gLuxqLi5safF10GTVA/ZheYPi8UOq
pRtRs+YRCoIFcE4SP5FQ2u5dwylPGhOvWYshzDFIP4IqNO+gkHhRTBv2nLg1WjDb35dS61CNJjHn
RGJB9Zvq+JRB8jhgIc1/pcb8KuLAONREGcEIHQrxyE1O5hh2UczzotzRpLP34LJ1lLMjRm7lPNTc
bSEUyStUzGqLlnZB/fUfVwY0uxVC0EHBg9s5i8+77JUTJiMSdzGKFAuCMj6yiSXnBjjLo1M0zc1C
ZXzx6FphFVbLvhPzFBayY1Ywtdw33LaEybiLdSQrj4An4huJX5HxRiEZnT1iAYp0PTi7KUnhPR1d
WS6JeIFEPqcH7BYaKoojVumSUa1VovxH7c6F24SLEfjjk2Xljn5y+g2EsHPoN4hXIbkX9uDa0yu3
M70HulGx+jDLtRxgqhJ9c6iCmsqooIfMz5/SW8wp1ofAhmy3KzLRTWEX20yOpKgN5yMC6io7623s
vCvqFazVTDNTVseOY+b0NKXApBHXpaPToBI2Mvs2t80pe8vzoVuraMXghqNQOeSnL40brNHUWzMr
25gmyVtJKDFxPEqArgEmRRKJrWtkLjMCFloTIp35+L5etoyyrPL9fVvaQ56clsGXb+Qe6+GrlxNp
5r5xjYIR1Ow41Jd0qGxaPlWcDzb/cOP8nJm1Y1TIsschfq7y0QUf0JIFAFq3s2IeLPgDf+/U/+HM
eKss//+dGsoyM+Poc14Pf96piXvlhf/YqQNmvxwrt+MkWamQ2dlzf5dtYO2V7paKifnqz142BB3Q
PZBUgKjZdKiUm/+YGEvnF3I9GO3yMspfir3/ZqeWHj//D96ozXe10Xeo5S3UG1L87P5Cmd30xIdb
1yuPXrIe0z5ZBsw8lrkrl/7GGIBlNyXG093kw/HcMc5e35hzuVhdUnHqoRVfY0Yd90trlIdkaWuM
DWt/UyfVSXX2eCGe14sAzbpX9VgZT6DAcUNVCW6K1Kc/I0v3aaI7+JL5wQCmvMbEIZq23pV91oZu
j/GWv08cLIan4Num2D5mLc563vfM45ic8lTduHbZXVDPoWhq4we9tndzX0fbuWony0ac2h6Jog/U
A1K6exESef+YB5FK2m8jI9VozJo+LKcuCzu7Wm4gTpIICTqV3igiDVRfBIoae5og4sC8aD06G6mv
SqwjFt7qQ7BM2b5vNq1hIffwJu+6fJF7TmjANa2BqaVXMjRwSLCyS5efXwq8Iksr6d75wWnpx/TR
S4CQlkKsjDstBKz1wii0aSYS77O7bglMKqF83WPxR/pGyupOmo29JxzMZhJrOKBhxxlobtFf6Jve
KEGXhg7SY2CWRO7G3jEoSTCXm7kGbOBuwT+FcjIxIys2aVFkiPLV8uoME1q3YfsQkMGiYbTjiDTu
JOwcw8VLMH4pe5xj84x1C4bqVYPoLbSteV+v3oEs0ebgrG0VAW8ydikH7l3ruKcgDi4DTpvQzynI
0jU2XhebUQDNX2ffMwrd2eM8HyyZBFh4yuVscZB69pCGnnvhT5HnAZzEjuCAszXo8M2mBOMK8c/x
k+M8ujAnmfrsA5F9auZGXrWGf6b9D1Xcsdto7Du9s2k/KnskJK6lwVgAg8iz9rnu3Vd/Xq8zS3u7
ZHLlwahoQAtzVUevKT+vJIVk7SCPWR13zKg1dED8GpfWCr5L5qvRMAVOxD2xuSV2ruaW8LvkISCM
6jAmqAZpUxbwGwcGE2INZV+YUPicc0vt+2mRq8C80V/NRv5lXeS8n5Xf7LMUhZRTMd5c1wonUsG9
AMKljbykAdi+yhG8zDKHzBnbKBfdR6MfcPV51J0uCBIKnqU94o6R+xoW88FFpH2I7eylw6F6U5kk
6tn+lyToTfJCvDZ0Gtd4BiBf9rR7lYy8Ik0fyyn3Q/LdTAYEYI+bNOieYdD4EbVG/rhieYz6fr1B
iFwc/IxsOOTJ7mGlRRk5CPr31Qx+brAM8z5FsIX5Py/3NIJUODoQCtVg4xryMvcsaDiHaeJP1KIJ
SNTJuqKJOEYGW/QLFECuoh/bkcUgInSTQEcO/OOd6dQ0N5zMfFliCQfYEC5PbrseBtV4YTCuaBrW
vHrKDXsB7TeaF8HgwgGR6CqUBkau9m7jk1A6lG44FhjZ7QX+H291vPZwR/IHjWsitcGd5uThyfxL
iisFJg5926mFKzLS8Yq8levZoDk4eWCCye00f51jRdSRrp3LBibaZe7wZMI241juXnxSNneycx7d
OGv3aDHqvQJHvFvJhoqknDmctMHXcSgeU8QnzPHvC8CaKE5TcVxS43sp1+VQdGTsDd51qvnzvVcd
tbtsk4SqOngEzoS495poiemQKdJBdkKmn9s60bvEZ96LH+3kbdlIRY6oTfvjEArTX/YWAvCog8sZ
monb3SyWdxhL63PQbgUL8Dkorr3zFFsqCUsv2I8LCFceNUIq2u9TzzCNs1V863QZrq1CiEvsFxxN
CmvaQ3zsCanN4Q4EpX9StnlXF9Yn1+2vs0Rm596ZX31NcqOXklhOHKh7Hol1eg6C6QMxyDpqGu+7
qyicpxgvp06KZ0uMV54cutvGty5pjV3UqesCBQaZa2Z3X6gYoq6t/BC24a9dN5oYRQH2OetYH6UE
ERRDntm3eiiu0Yx0Rzl3Pv7bODhRlUENVZ+gLgfPiwSZW1TianVxHE3W0h4Gv2Aa4/MTq3V9Zqyb
3ve5e50JNqHZiGeExZi24MwWh250CKssnadNtxK5Q5teLW1/TjpYMtNkG7uEEfQOT5cZwcpw34p8
/qjjcTx5i/etHi2EMEmhDqM16ONczcYBgQdjkHIKiM6c7s3Eg+Ik5fbG9U3T9nE4OJzLyvixztYa
zEZ6mNsUmwb+1rNQxoeR8wzM6fmbnTYY6IpxPPvkVrHWpB2wotg9sf6mF8Ws+pgYrHLaR4EzcrAj
/NSyj+lqO4eEwdDBKho7nGUjjomXfdBT6uAg9Z+Xob/q8xaVmJH8ahuNdymqIt6GQutONq44kAcD
KlSW5sVvEL7Ukp18ZVU9dAxHIu0vwJS+FLSMhxeyFmPcqYzGCC05zZqkjCacB+hc+nWgN+vxKOJf
zYi24e4r/TuSiAJomJ5Ck8BDhpfa6e1Ta9VQKkOvwTvxYo+0sHCELkvXQ9Bx+prVO8fL2ugUOJYV
O4+2RIXfvdUTgPzq0tlT7wVhVvvISLGVFKmhIPY13dp1f0syfyAd/l0jTAKQ+avy+i4vPtNc+XNp
/eNFv5XW8hekk8IjO/NHN4uq+/fSehNLu65HS+Jd2sz/+k2MuSmit6b6llyPfPL/hJiwI4gepHin
DQYs4r8pq9GH/KmsdgRxaF5gkXvAO0AU+HNwacceWs2uaC9yMCBAyYL9aRrwwg/+g6MqVZ+dAADM
jkTeFaVyR2jJC1KODAWza9Hfn40OSzYdsiCNjwahAt3zuLTFFRbiNLsfAId+wpTgvTmrW10U687V
oDOL9hK9d2RdaXnBgIwjMg8m6pSsus6a1kB9qZr6Bi1FQwbKwmOscSUlq7KaQ4meJ3ib0sX2T76p
mHsM7eJ+nPSM8GKxHI8JdqooljCZ7G0XglYYgChLP0+DoT6OiE5LOOM1MJmmpwC8ZtSqhuRgFKVJ
RApZnGpGncAwUN9CjqavecCauja3WBz4uGruOw+PxEKuyWnoUYHM+7JuTaAJFZJzn8fdigk6jPIR
Xcitb5EKoalluZ7waJdyZGgZO4FJKT+R7B0Ken3mV62LHrxsrsjFg2iLn5/5bcXCQ09p7FZjwfvF
1H1X+ZZBTDpgZrRiyl8BgUdQ1uQa5u6UMPnFjmIpaGYY/mkdfEMesPQOcDswzg5OMcgGO8+SU3K0
8jnubjGrGWdT46gnlCrewQAmuwFkwi7rVXVWhjEdE2BA1CjuiHakNwkLh3D2IArtHNygWT57TQZr
AHFkuOSLwqWFGgWqYX7d4UU81r0szwjyxmNeTYDM26p2d8VUbAv7HJIOATGgrOoIWWhy51hBFU6q
mCMXAlgkB8emOEnqU7+SntCVuvwQVwZA5Zw07d1qTM1dkbkveV0mDzbyiHutJu+BA8H0BnloBmIP
XqFr1PzA/VCjYarTVwrg+L6w6uVDrhqD9K1xnGAx0pHQIvVugyCPX1Uz26dZucadwXSECqYjimHy
Ovs6duPiaCANXSkxOTq9oq+CgRwX7kvriuoJnV1OazdWCUKQrLXnEEGRN4c186ZzRWnr7oKhL/cj
NdNZwxQ/6iJPXmkE2VfB6tHwEY2jn5kocZj0mw4c3ggY71dBZw/KmrfSZEHnVBEKVRPLjsmCXJHV
O3faec4w9/fZKO2dtGfvemsjwptO14Lkj26c7lDlWldinuuTlOgMhmzhuwYX1T2owq3oMc/kScde
80Vb6oNoaUoNhe9f+KbLPb45GS5949+s6I0fYrdXl4qa5DnB+PZxRF9WbuYh62tWd+aVsVboXdrW
9i66mIODzJrvEEHik3CwH6mZ+U0ee9lTkPvjR9IPig9LvqYfbD2kTui0fv6hxYUR6ZwnzDWG7sgc
1NoHnh4OaeNe6TqjkPape5FiLHdVUDkXPffY66sFjSp29cC4EzjxdquDrWJHzyO9r0j7AnDQzB3B
9LnNXcyMWjn+XOzSwegjaRDzXeuxCXVMb5jrMuw8/OxhYpgciHt9qc2giuzFsV4l8VF3g9G9pGv3
lDWG92126tyi3NzIigjfPLQG9JafQWXJqxJd5zUt2mbnZn0ceWlyDmTv3Sy6a3k0xv5pJW8iQpNZ
f3VHWH2NXut7Sr31S8uUtN0J4FVwR3RzlVCOvpBx7oRui2uKo3S7wAAIkhvaOePb4ACerJGXoSU3
QxQ8nOWyubuMaZN8pmZMvxca40g/tdfWGOu94+o5UtNof2TgkJ5sw0MZMmu9XL9H2src1f1u4HzE
EycVqCrUooeuFgYaEIjzD3nWE5XVDAKtwCafm/oUhS+iZnSVqtTkCFvwFR9rvU3U80TbT4xD/C+5
LtEVjOkmb3xPeAbrsTxKI0YZhOrm84ju/SpwsRBSlG/q/HHTNyeiipGW+wp4gobu7m0iSqLn+lsP
6dGyS0YbKaCNWAYFEvCN0kct1EAwvt5GKLdEJOHMJOYjHMz5a8ue9yg4lYA2i/uQvxRBSIYlHwVT
cES+M18bw2Y39RtohHXn/Fob8lvatNa1gAIxhEsLSbEIKNEZevOQG/mN5lh8E9h5fq3MmkiPbP2q
TIhIrVnUSOTnl9rsnmAq0l4QnQI4z6gy5Sx7SIVwjiYRBw+t6Oq94VrK5gyu+1NiqNsin5IDJ4KY
s08nsOk4HPMRrxx43r9mHL0fWwsimSIA/DnxMCEK1TUXnXGU7brYKW6cGsKK01fTTU1E/cnQ88KQ
vnSHo0QV+MCdW0aVGej7FE3Ht3bmZLuzCNqj7JH+a+LG8sI7BI2iG9wODs0hTmZOeV/GhnMorKU+
CxClodmT8LH0ZnptdIlH7lBVH4dxHiNJ4M6bBRc+Kvwa/rmXfxp68SVrmxyTobVeT7pM4Gr2Wt1L
v+Xc0tcA2UtF+9qe+18FjNj9KJbxKTNdZ/+uU60TPz8wgvMjGLzxEwV0f+ua3nDUAZ2UpU+7OzAo
tiAtJujAlFh0tYxOGWeNjDCVKL4q/aUzZfGpZSB1wGybfyt9T+zJIuB79f1Pyi++d0QUnG2D7d70
cvAjDr8DaR7sFtKhTyCozLOZFcQ2psI6oNAW1yuBaF+DzHdYO5VxxE5tYICNi4dsKMjBIPLpABWw
PY8UJPsRktLJJkXj4M1UXgYH8mNuqekqJWWQ52imAzQIw4hMlGohFMBpb3t99XUgOjfkvT9DsxHh
uCj3pCe7DVPnZpUE3VWyzJFNBtahFs7X1mwextGndKA7E8qMqMbONHaLbXwUcJB3SnEMS/OVCqMw
3X1u1rde0z14hM0GfXtcaddxRsx1ZKrq0QeFcUFLlRzgKvo7bLOEQqcVqnQQrv1aJAcmfzd2aRiP
QT/rY+GOwYlIGoR1dvmAqfYeIZo6YOxOd2uNe8YtFugCo4ggMBfHHqJtNKxAb2VSc2xUI2iPyV5Z
hD37zhhQgrK2e8+E86WnNYOeEjjiO5R9bNukIe5SNII77BsOG1mu2A/s8UHT6P6algv6NoPbr+6N
kwsW8sE1Jp/NmOSiyRkFaKVmPM9lFwD3Sjj5pqt/KYfloUidTzL2Xv4eVfxHowr5v+ydyXLcSLql
X+VarxsyAI7xmvUGiIkRjOAgkqK0gVGUiNkxAw48fX+gpO5MVVblrX3VpsqykgoxIuD+D+d8x3bo
P/75quKm/U798idv6Y8f+dlJsaH/gMTLR/cEPI9lAOuGX52UabHAEKT+wiH32EewP/jZSVkOcgJG
zQD3/h+m49eSwvjgk3iO4dRDDMMSw/93uin2VX/uptg8CFLobRN5jcBEZ/5mLs27YcmnwU9vs9xH
uBgy2Gd61sa5c+NHtWXdWU5DpiTALAIVosjHaEfBnTqExJHZqi5MiDnD3bwBSEwsWC/uOYlWeqXN
MC/XQwc/Ar4kmR/iRerTbV80+rdSr3FJBxwOqRe2RuJxgiNkYJ9XMWzwxn3lW7j3kyY7lpk03kRM
WxfweHtfNRP5nwLXe3RzqwmqKkYe18NAs1nd7+OlWjbCL/QbXBfVGDKcGAYanJYThqwUmBWLsLRH
V9e+epBON+VKXIPB4F6chJChFFsrhg0rvXJ5yL5MyJ23bAPYCbTSSe5b18uTTVep+RYOW+RvanMq
262o+Y0Db1h6b9sBeSavNIG8So8Yj+9hHJPzNcUP+9gx7swutomHBXuee5NyoqPOJ1QohVyEjLp3
kyQJIl/5Y9DpmGQ+unbfyw2fxPwczRwHGjUbKU8qij+yfYr8gLE0PdfMX/8qdaLktEwKjW+ackU7
ltKvYinGrY+tF5QAMlxj5yKwRWWfivoTcbGI3+Mmo6Jwx/KodRIHo2YTf8rQa/FIbJjcgbmWxVeC
HDNY765K4CVmdte1kLrc+XNP7wxSrOWbFZr5WKoNKZxqk+qD2HY6JVGpZcmb2zI3T+I0P3SpNeym
WDgbe0UiDFXi3jWLhfFBJnm8MeeeOs1h5zRXzBf1sjHuNNufiGwpnWNkEUgYtK3tfJtqH6EoD82F
KcHCdmquyoTp1ux7xq6RWn2NVgEhvC4H3a2PEJYmr+b4xSTJwAw9MnO9MYGKbeUNI4NFpoYV6AJH
BDtgj5k1XobOukYOwjomwMPheWBaDUtYm5JpmLgbupjPajFG92NZS7bTrqb8+qloRxdWX9WtwF6K
wqDVmcWEbHZWZgKRLlDZWXr419DZkm9l484IPwo3d7nF51K7HiGDd3h9FCWg5qXXoySk0Ink9GKW
iUNh200sBGvJNkfFM9oD5s+SqLzC0ZPDzHi4wtRgFUbQk+5khIRQaP2BcB13J+M0Jfl1pshOmhHA
RAUZnCc78tDzi3pO+w2kXMBpdYTk8XohKKBh7W1BXGMpLjb1WDL306XWLkFGzxLfOhIXT9hyibln
tZSMHzpb3xOTMbD/EzELdMPSwJS45OYVmpsSMVYVI0zaqKDLMXQHkWPhTc8mCP99z9Qe9pze3S+q
z5Y7nAOv2uJLninNqaAP29lsX/oK+dOub5Ky38XDXD2raMWweUj/HxaqM6bRUd3KPf8Qlx7m+L4/
cBLN4LB8VV2ZNlPjMAWH4uwLPTEnwIeRwKBZt2+TZj3ag+Ndi9Tulo9jbo71YUIvAaAjmtXGqzXj
JDqyX5YoM+8sJKF0qpafldss5jSzB10G+dxk+0UJ75hp3pxvvElT6loZU3VykTkTIl23cMC9qNsW
RhxRivNZVbuY7mtjLpa40+ClA3YckmLj+Jl5gjvhb4WXIXfU0tW3ZyWEBcOxTzcYnUw+59yKs69t
42YvcFy0R9EW42dq27HdtoheeNYsNcIOWQRWN7rTKzawODkR73dbhz6iPfEvWGj0tdXRhJCtnjHW
eMgpjxa2Fbz1M/iampXVXFhM6ukAQpMVFrG6ThuLQI6sUrWmZfESkVAA8KyyS8yblawHL/AIFngw
5lg84Sz9hF7SgYPaKbYlvtTNg+NN7p1jo2CLe4whvZmAovTxImGzxGMECjCKQyhv6l5GnXUpShMF
BxOK0jhPbVWd0fg72d5rKvHc9Oo5VgrXT++kiMiNlKFLOI563wXDmKnhDETauCyz0d0Tl5rRV3N/
xXeocaKWpZJVzMt8KAXBcvio6O7i6IhDZ/Iulpcbu//UU/+jesqFr/Gv6qn7pPr2/b+uuuJFfvtT
VfXjB3+JNI0PINphAghEl+YPfcfPqso1Pnhwz9iUuegx/5jfAsfdhPmOFmFlCfxxQg36DOm1vjIC
ViLav4EJwPrx53oKIC74ZN1iBYwABC3Jb+Lypo2HtvTJ79KobnhmkoqxEb0W7jAfY41pP0/lOJ5J
ZcEbNNTPRWyvA03CDKuB8KpySfJNzRCSLqOU7Cr1J5juMZOBoiFom6/jhrBbcdXiEAotArp2CPwn
LN/upYY+E5jKII58al98UZ6did5GmzCq1tGmR22PP5I062LkwWTE/TboQ3ph9wit0K0RiMiKJbDm
LfhTTJIl9OVU+fqtY3SsbtvpZX0OQXqz2bKAsbd9+taR47opOem3eLAurlB7UtVrHNvyzc8J3zPG
+0jZCTrIYYez9TzMy62VzSc2bUx+Mw13ZPqCgLTaVATK2fRqxWi8Vq7z3Mzdjqay4HZJxCdgWIe0
9RC96/g8qm4Nu9HISO3Fcz4WLy6ul50eT/d6m5/Xd6BHALkBZfiW1asvGaHHThQEY+K+xCW3rvnG
aXyIxXS/rhJCjxX+VVv4r9z2/t5IrAOO0FMOYfNqKRD8a1PHG6ProWWnR3P1gapcPTgMgabaek5E
foxV8dI2Gbwi++ImgrLHsbqtxS80Welb1c+3Fhfgbhb9rvFrHGTWyhQb4OL2CQMEk9meWfFGmQnp
euzdSNA09WSb5n4fDtpYobZHihdr63uZlC9MF8iOXNkpPXKWcH2t2uJfIJbvdur0296c9kOynAwP
uYM26qfarbRwzJM3AY9laxvpOc/VCcGwffAqytss5TesrPmJ6B06+d4p2O8KbZN3vNCYehk6YWu5
bsnyZDT81FpNxDBSPZS6vVGznEKZtEBPq/RFYtXZFqYiQWU5jSS/o91rU5D17nOq9K9eI258ALmh
Q+L6bPaHxcZLTErBw0IYJ8gGtDGtOMRsI6l1PUQePWzRgeBp7OjJdiLzhPQYQxyhTPhbtfSM6M2S
SNdOf5Kx8eozlA1K1bL+iYsjs6+Hph0eLFW8lVSDoe5UPV4B9SAiUuvylIhOKiZs7o6WhIaRMkFb
33dDOkzWreeqkdkOYxMMOstlCsDP8XuyUmEtPgnnGR/lTHfO1xF14KVm8PiFbB8/hKY8bxj0jHcC
bMOmUHHEBI4x6Oz344GabyRy0x6vOmJ9rtSoQR1N5mLL2rS8oXSdiY8EuE//04WmVojX3ui+zGPr
XBsevhm+NVWKxKllI5BtfJBxG5K0p5fIraCxsk8pnH1mNfIpl9FTqdiEbBYgcGkAKSJUSXSxZP6F
SfQY5qpAHIPScRHppu7ndsskMTE2reMwEEzx1h+9qocZ6DaXQktuJbHhW+qkp0pjRtexjidKxn5R
cm5fpTQHnsos2RZE23ouqMF68Z1dyZCDsr6KblHogImVfP2XzHytjKrGRlFSuo+0ico0dsKlouJv
gQiWVCsyJpCgKyzLN5buDntl8qWbc/fZ1ZzLYDbTVTS2b9rUniwn/7to9X84xX0T+T9q/feN5e+G
NVLlrIHoA1YPNLGoqJp+Lckvqd1Q/BnO3zhcfkfLeEBqfC40AdvJIs7utx4c/e8gnRlaU8yjvgHe
SwKtwHbLIPFvXul3Lw2vhDmBwSBeLAYS77fX68t9KuPu//wv439PrqtEBtTtYPb5i78SodfjODMm
xGYdveQV/0v/Ueu8qv+Ov5OMiqOskv8lh/K2AsPJH/NnGST8+fU1AX0y6oD4yX/zXv/hNWMh/cQj
iwdJrp0gERgfKsWDrQnrMGkERa6/L8CSU9txuv2hdviLlxa/W73eX9t3kHniwTAwV/35tbHATUs2
e/LQla3YZAzZb+cI+iPHxYkaMD/ovnqdOjXu8mkcj9nY8dz6SJXahIBiurdYLqchxgCGUuPg+6UW
ElS1Nb3pNEGVQ/iIPoS1T9BU2Vk6LTyE8V6V8ZNuJ5jqlHUZmA0QXVv5e5uE1M8xk9jQ8jge/vVv
+hdfIQGZ1UQMa+i2+fsYxyxSv6xMC2Go2e2sSr/V/eUWmmjzN+8o1KQ/ilp/fJpoWdfSCj0q8KU/
v6P+ZDA48dbvqg+dqAPVMzOW3er4UgJJx7LBNnnuY6O8K8b51u318g7RTYq7PX5rRs7ltVQB/JeD
YVGnWOvg6EzDg+Y7F9GO+8TjuLfrtGQukTi4vUyqetuc92Vs1ti+5vQ06G13L3P1pFqufeJMrSN6
1xJ5Tg8nRaZvUYqEUeYFn6Lyqr3SsreoWp68eNgtPSJzVYsDvq0DZIY0jMvlnWJ0QrxVhOaw3Lpz
I2AS8WfDvP7S2sgNXYMa619/YL/N3d6fClx2ZDPowHiZvP35fVwY7jYW2JTDMkGnoJxQnGxsruHI
TuLwr1+LCvsPQuQfn5mtc08hqnF9e9VQ//EJbM05xUU+S/zu4z0k+WMJ0vRvXuIvThaYHqaF+sPA
nvK7LQkQPjHYug5xzh9rULEKfmi0kP5pvqJymvd9C9PVtA6+Zl6myE+2UBuPrKs/kfz91UP0EJio
hJFFZeJAfhaXrM/pVM/lGa/P2+JMYutGzI/I5mX8gECLLdvSXReps0Xj/OjhrWEl48VXhLTDAQeF
EhiGIKgAYerObM0kEH5j7gkNQvxnpm82u9egSfPzqHLSIxhWQFelQDVwL9ikSkhsGCHN430lTSKA
xfKD2PhPT0XrL55YPgvMvzrnsGXZ5p8/FGnWoN7nUh6MgkZhTMo0TMkaDEwoAGcj4R1IKbcQCXuX
0sbNEXWtzripvGE48uQxlmLxJhmlRctEx2tUuKP05ymrxcYjqjjIR+cSgWEJh8i+JJjCWNhyEtVY
rzduNj/p5vS6dHqQuulH/NZUVQ2/cKupfZ7oTzOFWFBHSb0XxbQHRH8f284QZCgC0J1x8HXOSLaE
RrpTGRX+3rSXJ79uxx8Srn/6Jv3FQ8Kdsf4H6xzd22/v0RQ3qOOnUR4mbPuUOJjFJ/46FuauqI7/
5hMhFOUfn5M1wYZjDbSZ9w/PZGOJGQfQIA8tSN2t4SB096LsGHFT+QafD1xCxsgzDRKpg32QZVSA
cQEkgAJwqCInqCRxICmaWSauRCOl61Jezt7XLjeuWd/cFD5y4MSn2leyEhtRd69lttyrAr+du17G
fM1ikb9E01qlguDNFmLBB+IQVGWGlKtboKnerucjfW8vmZuKDQocM/Tb/Mhwh5+op3FXR0MfFEuf
XCkwVe9NUCQVekAQ10c5TA9pTyPpYfoDv0+rZy/TQ9vHICYsHwzX+GDmxi3Eo6MQVGsG8zw88TMS
EiTEJf8kGtcvZD2Q+Gi13XZ9jDplkxw1PTgMcoLCzjWep1oLi4ZqCW7uWbHC3rCo67YtlqEms3nE
+qi59m312vZkb4FhYBCanlOy+UJfUYpbhfWcJSNALMsBOGwfIOUdiaI4LgShsaLgAe774khTvC8j
bpY0Hvli8nQ4U38uDPtLQkTiMTdsFv3jRpjtHK6NESqWdD8RoXAil/UCAffZRGz/N/ex8xePN7WO
jTBqTQ4W+m/3JKLbrAFrUx46d35FP37f6dx7I21WZPNYr/XXe6tdrczk3qfSe3/mZdLv5qmbApJf
XyVepg3xFtnWx1Lhja1wiUOP4TOZntz6apgPhdFpNGg58u3YSrdkF8SvoPH8MyiTZLPE3IusDLEk
U8eFi4tJVOOMyfr5aRSUW3or6hC5yRCqmGTQwqOyjmkMiahMBGrwLKbMdrPhoYe8FuC4uG/xkqAF
L87jMNxbNnSxqnDUNm3JvGmm5VQmE+g8ELqloS3MwedXp1vqXQu0w6U7wFPiXEYuEZrM4UGQ2bpW
87376379jw36b9SfONQNaol/vrH8WA3/BMj580d/zdi8DzZ/FHM3Rzd+CDp/jtg88YGdIQXF/5d6
/lKA2h/wVOF2gpTpWCgX+db/3FsKxm/cdTaPBGpQc40X+DfmbAQP/HZWA+LUbZ0NKGEa9Pu/dzID
5HnZZmlFtJZrTFufzCWmEDL19wkY2Z0jOchD4l29Oz8VMAnMVKYXjJHVZiSK2Nvgn4KYFqXiE9qw
+Rbiufw4dk70hXBCkIuLQJjggvM61O3q0fd5j07p2p4RK8A2YlIsqTYIUIkSSdCrimvqfCDqGCJ5
jCxbEIXaFM228dN4Cdp5psrLGZ0r7I6ZfOtKNE7gKmdrl2uddZMYmbrNiW0PtYp5wFZvNHFk6yDL
ALWtJENRJGZyNaoOpXs1O2eTeKGa44zlxVAKgcnYE1ecmrrcqqIZP+sMsv1NU0b9d17FGIPWksjo
o0EyzPPqBui2i5bhB21RRbQuCDL7iuxBnNKHVKdw3YJgKt9SPvCDHUGBc6QN3s9Y0ujb4ticwDkQ
qE/1AgsoJJWw+2QhO/skJz2/93Mdr4VKk5tpiORD3XnVTd+143xSjYptJDZMWQKyZL3VV10YEZui
Bm/pktTencr5ezVcHpxTRhSVAVs5bABWpty7JV3qL0bsebdRQSUTcJbrxibCiceStJiqneuVxDWg
MFR1Wd/kRuPf2uTloa4lC/zQ8f7txqrxr7G2ohVJkhVmhPBEJWMJG8WW1UdIYt6dRh9Bl5JwE82e
TUobdxJ3DPC+Kod/iBLxqBWQENXgVjd520BqWbDlbh03M1ib4KyA7TNY3M2m3R2Inuz5nQ2xEzJt
vpKa2HxuIbB+wsbPes1n9OWEdmx33wytJIO3TyD442n17xRLQsT1lv+ROyq+U/BjYw5+9J2hTRYR
A7wOYAlrEnBViTa9eGDJwrwz/Ou6Fm68G2adnZrKZHqI3KZfrghHoJlKo0G7NkEvTeFkuiV4PrhI
kLDwxvdXiY1hOIinergnDNVGHiYUrDZPM0RgMBl6lEAAzskPKhG7YeRX3g9ekfMOL4pJSsIjp/3k
Gr1DjuZ34FGzso+0dwwSkUUgkfJ3PBL8jZWVhJHT28XtO0MpYpLVH/t3uFLxDloy6w7EEjJzG53x
ymJyo1j7iCaREVkend2yRIe0spsSIE7RSnMqqCj81+wH5cn8wXyKS92VG3dlQdlCR0e0gIvSV1JU
tDKj9JUe1Qu9uGqWeHpKkdRtND+pzrAxG3yI/X22Eqiw41EHu5lpeEHOd+gJ23yM12MlV8mVYVW1
+BkgD4iyDnUPylW68q6clXxFjdYBwZL8HQ6zngLHGgdz2My9UifN07OramCmOvvyvlq86x4F5lWG
WgxlX6WOU5oNW5eMTUbLLJ+bioG7Zmnf8AZuG5w9YRMte+VhIppT0wiYrLsXJL4fQbiSwxZPe2I5
7CejXQM0BoQRyzxUN5On3xtCmKwEaIW1jrohtnDcjQX6RQ9i0w4OTIi1X550WXffs9m96IsZfSYX
aMJH0hQfpUNxm41Vh6aa4Gmr6MZbY4jErlmJTFOK181ylkvaePO+sEAbJElX7GYD7TEREV1oMA8I
07atarBoy+cqQpAKnu9mqdtzP+VRWCMzC4kAa/dNhA4lczT9jFpwunE6lNWsj7/6nLZ7lvjeNo3m
aIfDGFRCZHdhZRCAuFQUM8U4ascMgvFpLuAADm78pUrNbhMbdD65C/zO9IeKwqRqPxGjNh30Mu4f
mff0fDEmbR+36m1onWI/Q9jb9i3crNEwoy8it8mWxaRmXTmZVWbw4Uz9anDoFnClWvZJAhne+T4C
c4JegWrWQ24dvYh5g9I0926oEx8rEFdTVnYpIjwLCdvoLO5l7hritOHHpNnWa9IekVoTPfmNzSNr
lxEezyEhcs9rvsoqr+hNCMh9rmHH7YyBZjpKTW9XwgDdV8tYf65Jqf2EvFDb9iNE6mqSywV9foWJ
amrZfJbeneD/OGNa1m5opZ9cQFR6aPhAG+NucS744A0VII/MjaOtsvjaz0vPZ0ZmN1Aq08ENc5Oq
MWhYwG6sCcWpTSxaOGLjuAhEswFLZYVWAbnE3kV3sHdrNz8ivyyAuiGpbHBjPPW13iGb72SzSQc0
xLpoV29fdcewX7+IjABej5Q5Zyj4GlhkviizC9W6tDFxPQZjZ2ns693su2CL9h22IHM4AKNQVfto
srkHHZjAjElEmM0NWeosnx8rUr7vE+Td34g2j7e133jXTWR+0fzhLWV4+gwQhlixmQTfzrIfpWVr
kAw7gixEPiLNht+2zE30GLfWngHrl8gZXj2zsfdLZfXwj7GCoCx5nsfZ3/QFtkDXbV+akuy2UehX
RN3k29Yw6+9x5I5gi7Vqg0E9O4wmK7nQxMPKgiIybgvoc1sEIPmdNJyLjHt5zYhv2Ja9iQrURG2E
mS9pp3rbGeVyWd3mGMy7b0OWPLCGoJSivmAaQ9CHGOHxQd/dsF1E8+uvh2tuN2sx03hhT1cXKG65
bSKj9MXM8wfNdNifTY3+JTFdYGKp535vjfZ+GI03IhXx56YgCTX3s4R+ivQU/q/Kdffoz9FyXesD
Ng5BMmFMLwCG4TjJPOLsrOst1H9kEvEoDpmayysx1oTYI9PMHOMxneb8uuA7jxgUs5vRdowasj4J
SYHct2NRH6tefbSWpNsZSyLZbK6xktnyraf+DHsxVB8Z249hitQTf3YpZuYpckRIThDKLLtypwZi
EFvNe41i8xmGaPRZb2xxgyIMHp5no3Du+V7Zr6VZGsjDBhZtSVqfaslObmjM7245kahjfGPq2SQ4
ZIo6NGQ3Hbya6JfOqq1t2iC1GT0n2VOxuPeGNsebpJiyHWINdWNKN7pto+rY8qFXRQtwV78kc2eF
kOf4irLBQ0ekMJIamXERdfao8tphq5oMezx2NpQbU1b3QzIQ+kQr6I6QOrGgYGJXKMmbztkQkfPU
Axhei83GkDeV28ehNfl0edUbaiMcfSXeHE2/iabuZingfiQ9sh78o1ldfmEviqWwUw9TN9zWRo+R
QJ6p1rAKOwuTtj5S4TwPOTUgdnYST5H2eEUybmx0NKyqXMu+lpnnXTtlIwG/tYE5uwRYMOZabs1W
5v+JQvkf2f7W7o126+8av3+kavz8wV/WP/SqFgoJm62NbeMW48/8JVjVrQ9MkT0Br8Zyf0Q0/BKs
gs6wAI97QvisBVbZxc++DzKW5a34K0dAgVw7yX+n7zPFb/oKfW20WF6hq4XDRa+5shX/sE3ydays
UdRoJ8syxjukteV2sVr7qiyWfOvWQ7fRl9G8F4Uz7r3KWrYGh+6VZ3hUNXk1Pcz0bai4kDXBovYY
R+ijHYCfkCE0ZpJDHZlsYbXdxywJLJbPKLxalBYWmOghv50gXQf5FKPOR/keGGQ6MJhdh2blmhpp
5ciiGqswP/ayYctUmySPMM+6WNPYPaAzpcZ2iVyaMfV90zWEnJ54ZA/1JmrMdkTZ3c3+TJFJEuu+
mWxLBiIbyvs0W4YjOAdiVV2sjoFqynyPzBxOUCHV9UzA3FUZK3Ro2dITtBn5u74bOD0ItHMI+dL1
S+topgJZO0ebUdEbIeRsWDHOupwPC+zQrV5blFl2Y1/rrXdAIHdf64Q4C8ZT5zI3TjJSJWNIjFix
hzIrT0gvbRov2vV6XYZ8YaqtJ402aOIc6QieQUxLbciHVZ6W3sp3rq25iHlxQkUVPd1gufVOmTHw
LyWFgY2qo7PJi+VjY3PzT3PyRNtqPqJXca6U5Y6fpVGZQdI1MOFnUUWXup1NfVtUSdrCMiNLVz+N
MhLLR9niaRm26VR52isRGQbTcHCj2rIbcDdTlsuqW0JgB9CnNcDlfYA5FO6kkN7FjyFC49LGCUfT
PjZMFs2uPTDoU3u3lBRjyETdG1XK/l5jucUtkmpl0gfe0okRzUFqX7t5S6iUQSm21fKFLhaYBQcs
Trf8os3objWGqIosqT1awNX2XP10Qec/TNH8QR0W6fqHYdqNZO9gn16t1O3CkZ9zWVfp6rJuKVSz
6S7q83Ivm8pz4xscd+M47fwIxeayt6if15qRls95nPSh0z9q44x2GopyVpQ+GA3YJuZOZ3FEU0FU
W2Xr6jylYFGbHf53SeBpoRufIJmruwkvUEkqmQQQDZ8mq8Jci1H6GjbMGI3EuxWwP2pPSW6Tz2ou
LvVf75TqTOobLjHpN/QpcYMEEsPpvcRvUoecJE0NDKNOniJb5uVFy2bTCEtEkDfLODnjDtnMFIUD
Gl0J4kNKsHJGcqgkpBGMhCIOAS7MH1tmCeTwaq36lKeFj6mtccSXJrHMTRGX8U2TzM2N06QepW/N
xDPBE7rnL4CWU+/WZNUGopQslkM6Iwl2ulY+IUelOXMbY21oZuIZAtiAZA5mWXSVeCDKvdrVGJ13
vYvsuFf2BhZ9D+kRlDofOWiOdU3Vz8Dk17RdveuplVx523h1vHcbK0iM0b7xszF+iArmrTVNpU0J
HC+f30/5/0xC/24SKliH/6sL8QEg5Peu+/79j0JD8eOnft6GnvGBOCJgrD8vtZ83oa9/4EwS+MU9
CLA/IJG/RqDOBwSGOlxGEy3H+3336yoU1gcuyNXU4bNcWi/Kf+cqhFX72wjUwwTPLWjprOMJCft9
Fe/OrdCSyZZX2sjIp96PjESycRtp00ROZcnggQvKNafrfkV3lx3eS2PFeRMR4h6a0kpZRUSYe5nj
GpduRYBTsedbZ8WCx7FDRPvUIhqOHfXMedXgUxO2ePFXqLi54sUH32bOtSLH3cj9NsgaCLkgF8Om
Y9pAhGpCY4WVA+IeSEDRdeaduMfwbKtuZzOmIWLVg56YoeK28CUTUtSVVwMHI+EQzm7oXHej92iD
xiyNb4wVoS7ntHjAbYhTkj4Pih9+l+o5MYZmb47aciQOe51emI7zFVU7jHb1zmsvkTyfq3buH3OQ
+NeKrdr9MLXmRhbuHWYu/6xn2PC8kpzlIulwi9LWHRZ3GLF50XxEmd7uW07iw5RaoIXAyld1hYuZ
gKedo3ETLrRBN9L1j7HMN3al8luiyanGSb4J0Op52wLhfzDkoOxbXcABaSw9hJFnXfuZ6q6GbtEO
kbYwO8wT7chCuMYx3SDUR7eNSVqvzsSmQM5sPA3DyoRgwkjpLUwYCddxVNp7yCHlzmyEzZ/aLXf1
aHZnN9XosQbzwVGg+2fGz9tuwl8cuXl3t+Q0KBOZCztnqDDz1QQAWGsUwEA9T27OF71Mu71R04YO
Izguir/oafTSascB6HzDIZHPrMvN7BwDemRztKYQKEUggVcCdEmZsR9oV9td4zBEm3UM0Z5tw/5e
Yw2IMfC/eq2c3mKmnLtlZSAxu4IDzXOD5YgNGByZrH7EUJc94oWYXzR0LyhMFls/E8g6njxtxZ1g
JCL1wSdJoI6ZJYMk8TbJGs0Q6YQ0iDWuoZiMxwQjdQ+x1GoO3lDld6pqtCPZq+ONWbb+yWpS2vu6
IPwkTBnBuodBG9J518IFGwPiCMiOWNYYCeYau+w9WWJRa1bsGjdhvidPNGsIxTx4DJ0Wn2QKtg+6
DAsTcpOABGFuCNbB7s4WOVDmUt5qGnIiaIxBMsjm3DrmS1U0bnTdEF6SnHCzfnLS1r0npGofaZ6h
XXXpYEXmvoDxhFdk9Cfpvy4WgTbbOJoXLkvV3XaD6ZWvyJdouS2JGs/rh0cbOAC5mEPCoABC0YMV
dewT2wFQfyH941S5Zhn4UQfiv8Zgcl8rrcymkKs8PtQWxcyjWUxWrjY2oNI+IaLUrdwjwAev0/BP
ZaZO1eHwvpcjkbuRk7FL2FZxpBO5CQ8o1EHXXJrZLd1P1BlkP287ezbuJKVk9C2LkDjCQPcDTjhu
REtDSkTXzjfXhgkBWg2VAYFCeahG4NiB3vvZV1eLZu3gyVEH9VEVkxZU3jDkm3Fo8RWsrbF1nuKS
sLK5tl9yAzVcUOmzEcPs6fUxkA2ce9m71jem732+Z4qO0wPZD6PhUUupHnBxR/5W2jkviUm0xcWk
dONBYC8rGa8XLPD1iYwlzj5esc8xtASm3+HOIKM9w6yf+rK6cYFmVk44U7yI/kQ8iq2TAkrUUuwq
l+yqRDo35LKrnb3mSul6MRKVYfMehw6JPw/F5Jkn6vauDXJs9RjkS39C2Cmcs/St5ipPfZ57ZUcb
G+dzj3ZJuHvC4pK9dEdvXyVtfivN4noBK+EGrWFX1yqxk1ME/WlXTb2VsKjy3NXBgVF8M8gBM0nm
mEePdBBQmNn6rFJmGrGTbltyNLQduYn6R7cgetYxYaeGYoJ+7WhSInoeqntvdNnlOqyf7IwEvMAU
/gnoCRHGTYtjVlkxMiDmZsGyDBDbym6ZX5u5+cod1V7YNhLiC0M7TEf2T4GpN/rHeDGinQL18QhB
sbuzsGVwOciCKHq3u6l6T6NAnPXjKPXodaFlRd5nbDoXPTdHZ3QggUN/zl0j3XSl730eIQJUQR+Z
9SGzG3VyF3c5I83xgrhR6O6nOWO8JZhuNtV4sWK1Y9hhIdLWAe/2IsHpmI3C2mYMtW4Ru2VbMsj3
HVHhj4tb9VczebNA4iUYQ7It8cwZbIKWDg/URKNyQ2YZq/9Wmd6J4KEaVLOwN+wXZYDSRYH2t+zA
NFjNxXDfbvHhAOjCD7C1Mh/sK78AABj07oSvWAlH42I9C9G03IW2X78Qg9mf6XWM7ywUqp3dY/jJ
jcg4OF0jPmmK1yMZPN7URFftspTJWyv74pLrU/M08ByemXO3t+B4/Gv0o5L4XhJHGU2CXBfJeMkr
m8wWpMWHYhm/NJ6VXs+YqD9F7CsuUWQQGJh1DpUAKddQD4ASVqXQL53CqRWmPPm3dvZ/2TuTpjiS
tFv/lWt3H20eo0cs7iYnMklAJCAktAlDQop5Hj1+/X08qfq6oNRS97dua7Oq6ipBzD687znPkfNF
YHntM/JBmItetrGp6Z7Qfc7Fyil871BQh8T9p5Xr7F2/TqQrruq5EBDPKnEgFfgTOg+PChtlaVI9
JZnrysZUkbU+627j81yGYuuAlLl2k0QcbaNjV8Ps32xmw643DlVipDdm/5E8UoKnsPDRPnPIpwow
s6+6cfbYSiImXVNTBzoAhhIBWeGjaQXg7pmRjjae/MX2+ajbsd9USA2frZni1kxA27KSImUkaNss
QNQ/0kyS9zYBMhFTXlQkUfzQeapOTv9d3/87XiLGA+1m/tcFr4/9c/xmaf/6A38s7eFIEe0rsOuI
PwUJ/1PoMnWhC4E0HsSzNZsi05+FLmQMgLHMs7PoT2mD5l4JYetqFJKH/9BCdFZKvqqoDy//7/9y
RvQ7bVRoWl+BB9x+p5euKK3GlfLVdUDU4JKt/alWald4ExNa4diHbAZIQ+A60V2d69AzVopaOyuY
W9WU7b4FwqJLu+i+CKrZngM7Y6XcW2itHUuoCmx0iJfVpiAwLvui8JxwopihiC9iST/irvoYh3NQ
1HtwhWj/o2mkliXy0PgQFA42YaoOFOJZ+JiVT+VKkkuyn9CLzOMhkkCww0MIICLFouE34309cpPv
jZJ1xrZ2YrKzo3SCt8i9dGwcxiw3BYdl0KuFx2di8c1HQBmRGhUOAZxTntyERRFfNNJaCG4H1vxQ
FuSJL3hB91wU/gosUV8nFJQPZAO3EF6KOGWNh1t0BlmzUOPexVU4PAcmGAc2Gax8k6xNED5BYQyq
kVYjirOFSvplShPFpZSAKX62sJuQs3UkkLgoTc2pnG/iKBuNAyxKnbRH/UPdG8ocFrEhuTPVNIna
teSFhaV7gOkgqr7ZmyIKTT0OZWOTzXdQK5L2usa6zO5nVaDlLsbDf0eEf2tE0JjlX40In57RetAX
e0tssF9/7M9xAWIDclPX+7MEzsf/ZwEcYsMrxEF/4/8zJGiiNMJn3H6uh5AXbPSfO36I0iDU0K7i
K5QUpDm7/0T09Ga/TxUdQyM1JgYG6gvnVPE3pW/QBg0A/ME7FSNhresS8cCpRWLqwUBqui9/uTE/
sU5Q5v+LZvx8MFS32iISOB6X+056G7mzQ1RD75xiQ9VPJalhwCjH4BERKstholLwMgjpPAdj2u7/
F4dG0cXYrNsGdAzeXGdiZObcV6ZzolLAoembE/WiJqZpOXiswv2ZBT1sAXBMOAFpqv/68G9Fx/rK
AcpZyPIDn9Qv3bB4c3jLTqKS8qh9yqEkJWvfGLGMi34gtDMBb8kGrmDC//UxrbfS4z8OyqviMLd4
1JTe3e6yLsMhAoFzcq3SolOAmssqPDJ/4IoEj3VPMLST2Bx8MAdwHHE/9C9ejVogB79krxtPywqI
rZj3Hf30cLssi/Ps+Ra8q9AdhXkcz8HBCRAb+hQUC+LNnJckyP76OnT35Z9z1+tleBRttV6Q/fj7
sByfHJxhBhh6MgeDd2XAIjLnAwFdPpjpB7yH1XHO0Dn9+qhvHUZ/HBUtvSeZyy3+/vaJIQaR6ey2
5ik1R7K/zjFBsox/iHRuTvAO5jvXIScYEhJxYOdE3F8fn2///VXbpm/7kk0q7837b2UMghL+yWzC
6CFKKtEfjAoGEGAjcau/PtQ7jfr5Wm0z4MvyBQf8m/8mVLIvhRjMk5ME851Rx8S8wnNi2RnaRIgD
L3GeR+Hpr1MgaXsNTiWykeUApaXfPO6fXThmZ0ZLZmv7b2+t5RhV0IhQnAbaKM3aASxYXVmUHscV
gvHf5WP97CPRpVi+S/4n/+ZjMWsSUQ17tNgysHovVUw0Gps0OvE6ALkAXod8gEBlePa85edAVti+
s+5KIzQjhXCpjoZHxHLUuLrbJCwUVhnhsWbP6imO6ffwW1O+Mhdf8HQZ0EXJd795gD8ZXiCnSqq2
TBUsgd4Zf9I8CgdfBeYppKzY7BZJ1u/5vaF2Rj50i8UMJgbjnuIGFj5uWthOOnVMBc0ePwwFhwTy
TQ7paiElzAxF9+K3Yr779Xn+7DQRSfg4EjlZ972+1pitYQSlZp4QU3JDzrfZrNv6ydTRyE3e/u7N
1jPom6/IQxx8tkVRNKc2/f6IRR9ZqchUd5pqYmfdvnCfIeHov9igPAbN1GttjxRjQsgJRSZBBMXH
RP3wPhl0oYZ4gf7FhjN8e45SFgYfQWI7DJz6nTjfIuAdTF7ssIOrbpQIn0wbkQQg5IMluSAth/uN
qYQreH9ZXAnP2ebNJbHpb3lNi58Fkri/6AT7RK2DWi3kLksj/UCpT/X7ciTcEETKmPYbywXjQvkD
HucugJaTrnBU2WKt5prldgr5WxS93BFGBtMl9jowYKUZKXtFtSxc4IFAVlyJeDI+1gbStY2QVdVS
W9CYGCeQMb1xS/BlpJohwxSgcTKphv35dXmC8Bkf/a5Ir4DPVTdjimB048NeG1Y4ioGvEYT2wSQK
9Zug27DJWQfgV4cTStDMPMYvCq2/RxxBXG6Snvn7kmhgPIGNnda3zZmBM595OPDjxMaVxC+D1pNG
/TiUeTpt7FDK+wATksD6AH0Ks8HYwPpwI3AzAeHQ7drrLf8r5gbSwktUbdl+oXxgrZphcOjLkcZp
HELfdK6saABMWo/hJTkgARrR0RzWEoZse8JbB+YndfvSpQJh0Z0o4qiub2VU5O2aAkwcbvyUnVaE
LPixznhHJNoWgCg6DL3B3BBtWRqQg06rj7OrXPe5CxyWCaW/EH/n6IF4rJkFSJXlx5TsdGy9TkfH
AptTSiJeR175GaFyzMxmbAIlWl4RRWRGwCvybGKVIQlBMYpekUZ1MvsHJ0rimxEcwDdSy72KClEs
YDCm7QbQQ4Qyz2l3LRZvdo+EfZPJ/plcAGAFI1hZiBjWV7hKFZXWpruQgRXu2EpVXyi3uJ+p69F2
9Or4hRdl/h4NYYpkLY7KjRh4POs47EnyiWoXR4cc17xYhbB1NuA8E8tKAWaFRfzFaYS3ntlp1Q/w
o5KMXrzfoXIsSzxPD3KE0hPgPQfCIDcFmR26LQ5XxocdjtqEbFftB50sXEHQtwy8+WisFQp70CtB
/dmIR9q5pB+mZbtRjSr8nSH04mchG6nKMu50qSkJIsKZwGhvOM8NZBkIVDmb51VBWsTH2eh4Yirs
zZtCKTJQRxloRFBFqGCieCvBPplMpg79bXaFpqyfAhoA7BLNhYeapHjkBNqIzRSQXExtqOPRZyND
duJEp0H6MA8X5TnPoTshn04E61WAtIxGxYRFPlyCx3OmZLdonegAZ8hwGIckoY7bosXqv2r4Qn24
1Da/HmkiJ8eOozqyrAsfBxS2m0wV1TErM+uhwV/MH6rIl+97atbUrmSI78oJimhDdDf/JkJQ2lGJ
ZuGDAIR/sUgkojvf5ea0FjP1CsQjf6LFe3BDE4IhJnA5q0iHjwaymu/+gCUZjKjnMZI1nH8Vukyi
MiU+NKz87qUJ9K3UJfqHDsnJwIKDsy2GgRK5DUzgtgqRcSCFTtRtIyf+MSNFsf1wzjOPopGU+IUn
MjqsDJV1VtQuwdayEGQMCdsNO08tbBoW03M/1xNxxawelcW9NwvFRfFJcqQsHruXpOJlwC/WvYyt
DkiIQF0eRDa6z2doK0WX7qXOmW2bIGqe4I2y+p2TTt2dFwpL1pTqck5z77WgR8OfR9twMpRr0xfH
ziXgKGnbB3pH4obivUF2e0iFs82z6orXiGdn6bOFosLE01Xt/pzxKFLBIrzCdLB1zax+CgeNFFEZ
Do5tSLDOM/4oDCZjBSni0HQtZz7yMyNou4ns1sZoSW09L3AGvVTJlrR/ed382Hrpo4gpLzb4XR1U
SkbWgGgjNowGCOlkpOG5zjORFUSXMu1wgrVF85OE03JKUYaa4VdMKxy8PH9CZuim826kZsIyiJkH
Hth08p2pe8mDjmdUA7y1ev5vEJlMwKhgGdsqvVXBKJFcmMpkYUBV6+DxpG8wmsgDl1Md7dHw7hI1
EKkB7J+zHYek3RP+a970+vV0kYzeiChlZspgohCfMLJcdfxUDdf1BFN2X8RQNTBkApNawTXx7S1l
PU4mhLO2Ql3EPetNAlznMZEPaQb+fNuDar+gack7kse5+wzfl3uK8onrPw8C+MPJVUvgwa1zWilX
8PfsQ4OL/lh7+vDFRIgyvgaWY71ZP6VmBeQ34qmy3G/2TWjzVFGPQzZjIuc+TCxBgzIJH8l4m29n
FXnPrY8jPcMaT489WQykWC5ffNt2nMn5TcSZYXbHKWEIcE3W6FuzJRaCNW0TdbfBHFrTwa/0A0ob
mB07qwqbPWHpAc6EZQZ0xXa0QxrcsyiyfO0osuh73SuRus+2Ts+xDJ89QJCyDXGwBTxM0GfBclva
EMQ4H+TIl4L6yYuQn60bc5pvz1fITMQaufMYgdoKs+R5w7tMRv20AOR/gNtuPSQM3WI1saV9GBr+
ZYXowd72epW2QGLMX1eM52lTLYI3qs7BFtl+zLUvbo0j0fINRFFWsWmHgZ2Mvmstoqdgk05mviB4
5XRij6vIktB5roee77WMI7w7WTnfiUURoSTtxUYpkGPEcCnmv+BE5eOyACyAFelaeOwxrzydUMqM
d3ESevZ2gs+3V4mbF1sXH6N7N7fg5NclPc5lbbTCfXZQPoP8S8Lg8RzHnOeDc8iwMlRbVBhTflmM
Hj+dD7HV3MNkmHhFwowbDTzHvMGioce+2SJtq4pMBnmWIpHekjs9+xXaIdXxfANexyK9cR9Ti3FB
D6xtJJlxzu9uGGlK2twTbTXLRH3FGBOezu+nAwz7AiMKFcaycbJrOfi8Ir4ApOO42XgZR4p+yOsL
AYPe/1ETTzOui3Zs90YKTi7XfdHIo5Zyfiu8OeOjyBD333j4ni7MpjRv0C5xE7LOIOsRNrIJmMUt
GYmADhlr2VgUIbCnk16d6AsypoK3D8M6wCZn4r8pFkItiHrLvDEdLoFXznxwYzwRGzOP+LIkcfN3
lsRIuKtqXpohrRjt7cT84FLnPbFT56UWoLCHdT8xaJ9HQASZwJ+xh3Cz+5CoS4C4KXfJlhOfjZ6A
COCKbAXDcOwZFKqoHcNdY/gkoZeDPtt0wGu6tRvFcaNazXeFclpvVbNVQ/GlWPi5Edc9qBEmqVZ7
GhtKyjPJR6yFlvvR9JN53w9jGX8wtS7jQHq1edMKnf/j+j1HiJKKt12YBNo/9O7AIiQysuDx3C8u
6cVzvRJ4NRY4eT/4c/GBJiBJaKGxzoK027vwUVeyZWSfsij9EdnoRqQm39hwi7P1WNl8wDPTIy08
ZiSVTMu6p+QZsEJR3mOWKu5zUvNAK3daZgIuUnsnSh/DS9Sgeo/HuTjQ/UuvbaczzTWzZnFgZz/v
SxPZx5rAyvI6rOzqRzDnrBc8C8QHHQvesLazIJzOc9eLS2BGeXyZhuAz1kEcs6YaHNBKFvE0B6Oy
dAK75NFhSpqM+yi1eDxtUfPXJjC5Sba7zLdUACGX2XhPaJIxLjUja5xCL+ma2J/viPdihTc3xhp3
GN+M3ihnOaPsZAd8qkHcAG8XLacXLpJik1WxPqCXwZnO58kkpF/7RPW/yr5XrDGZXYI62KZ6Djdp
Dj+GmPt1sJge7ARcIig0qU4l7xnTKoL7Qvj1c0sMVRVcJUHkHDRz9Caa3eDRNPruBWOGv/FsDIHs
wXiupWcxf2JK5W0tIkarxUush3NI9XncDNKMwTFgwiTRj06Nlev1Zh0G/lXR+oRYw91kjCYF6AnZ
6kQgLeNe2/AJ9TligyQ0MMtUxFhEemReFpIr1uzt4r3lgsp3Rk90R7ce+OJ6LY5xM3yOxusKo6FG
YjAzF1npOwcpFyEPbNjmXtvTB9i1Q3tRoRne5Y5l+exVevdZZIv54PsmJTs3YFSizsMtkanBtBGG
FjuJwmNi8VCUPqC+9TZLo9PS3ZnvYYn0cHBeMruYSL0I8TFVskLsoqwgschTvbXjyPEDspT5Iwyq
5SqG3PGxJt4Nwq6Eleey21l2TIiky0mvEODVndq4bc80UJbTkEHt1obZH7nGt6G23ZeUjLLvOavK
HzS5OpbbUx6tWFcRIwHw58pkUXaRa+Aowj3Yo8OZQ9rA+MI9V83NpWvPyQ0AO38TpV7yqaj76N5j
jT+vhwJ5TKbppthB1U1g1+HHmOzfbxVJLu3GPYNQkzMUdTkDUnNwdIQk9aJF0xGM3n81nf+eyYHG
AgWWf93z/fS96//PY9JG2Lmf3zR/X3/yjyaPlP/AwOCR6m6a2oxu80v/aPL4FpJPnAx0Pc69Fusv
nR7xD88WppA+TET42xru+M8eMHArTwipo0U1uvs/6fR4/ttiGMge26PJ7Gjtqc6ffw8gi5Qz5WUa
xYeukMOx8kuWMqVVd0dbFc4GuQ8L32ywzTtCuFeqiBAmJHOyQaw97bO4NdJtCP1l1/ZBe08twUDS
mLNsRHx3EQcGM2YyBNWxmt0GVXzRo6/KYvdAO0W2uyEdQrQehjOR/uK7ubtyMtfbjAE8W7cuZha/
bOz9bMBVrqKWnq0ffcT1hOl3dAkeDLz0M7nLj2aXw0RBb6Y+Lgii8RzlapeMhtj0TjqcoqkyL2nV
oXeZsUyRpWnk43oxwubORdd2xY/gnG2FHC/qyjglYZ12m3hOp31rN6BfJ1Wu5s4Wn9DQj8fUFuoB
TLa9U20X36LGgkIXLPrKSSLstnRTErTqKXpH6UIbiidV3EexS/alPYNg7vjPUjTmkfnpI2ZKV6uf
xmvfUTt/zPu10RAxHWFgJjo6cfr7rE7lbViZ9imE/jEzzLAH3lVq4Ipz31g2yNsCMHgjKk2G9ZVH
xNSGc0b00vXO2qmQiFgGEpZwtj8NWVbvKUtSDSAG2hziDyQLoi+xFCjnjURAvnbcyVlB91icK5Jc
NOik9LAdeEuPr63fowck4a1TKdS9ZDG3xmgRQ5oqG3dbV7o8D3e4go+871PxhBvZ3QxcyzYL+8ew
REAVTO1H8pAc/O6i/EJIvLo041oSVItxBgTWNjJ7l4TlKLrrHIKdNpRP82s/LQADloTtcZeLWK7q
ovI+REPn3Wa2ERKajXEjbEPrRHhtunUjD7fKUn/vLZihkHEWbxs2SXS7TGl3OTOvtKlnr+HIzRj0
MQjmpkfqe2mEJ9PuPyOhLdcucvsDLrIwOk49krnTzJaleUbh231ByoRfE7v0yStq9wi8xL7PPBhF
hlsOV27XNd66Hwtu2VQX7TUu8i/MtsONAblxa03iu1MWXyAM4UgucKEcxhQuck4C5QcUAma3KVrl
P/mUBh8WQ/vtxjDfek2YQ9Gh4lHshTO4KRJI3AnIk6bpS4xgUGyIAkmwZGLGI8wwbc0Vuk1r60q0
smw/R3EaqwXQpYjFVd1QScbNqsLTWFu3k2s+LV3wJNoBjjhlx1YKdBmBl1CtcWTctBcQ66wLgeT5
kxv6D1FYfxdsD/B3I9PbtnSRWFGyrvoQ5wT6lIGveZyeBb2NsYPfAAne7mLU38nR94LpMKOtYt3s
QZleD1E3Wddd0C3RhR8Cg1wPbf1UJEY93LW9QlMoul1qDOEtruFq1TZZfa1Ge9zAuZ93gwgu0FfG
hwwRbXOyFrSp+yE0sZ3g2EiPmS0I4kq6GuPUTPb2dUdc5FbaVXxgx2tum7qfVp4kTsSsPf+T0xbK
XfXLsRTS2EeEu11kPtN76FnGzg1Z3gZCTbvSSSl9kXr/eXZxexbYuI9+Iqnq9cQQUItisYNNa5W1
qXsCzJ5taw8Lr4d6ZO2PmUMEYtFcppmNTWUY0NSDS1uPZhFdTyP4i/WQLoRU5sI9uL3fXs+YOB8n
DJ1DDpcOfn2RdzXFQtJAtkjOil1aHz01f0Zi6m0qFtCHGTfw1uVPHXNXVNdmbje0mxwDX3SDMYbS
ONgAeSAdzWekapuTHbT2A34CVKGkq25iF07QWtWLQhgcVghX8ix7Wlj6kNkjpyNMFwzo7fglz3wC
o8aBcDgan+2Oah5u+2W8yZdI/aCKQuYRBfgdQc9OTh5ADWEz7L45oQepQGKGXsVeaeq06uEQFiqn
hBW2V0k+fNFYsR1Jn+O+XJqJrzSsQP309TQRc1Uk/TerZLbZSkd2V06BGW2MzPuI1giJTYU4UhkF
/lv66UUu8c3HC4Wymt2WyQS7LWWl0PcZJNe2pTgIpeEiQRYfvIkgX90APno9iXPItfxdVwvragBS
cZxLmVCoy+9C7UmVXSQvWKx3PkliyQ+k3Nj6lfSdFUs6Zw2WOKdsbjWUe/BJr2g3NBuhVdJmpfkr
llq7fKLXcR2xHMRHu85yUFbsfIONi/PpUvVNuJuG5jgXRUMK79y9uFU7wxKsJ9oDeX1FrYIV+uDE
h3ZB6R70xSFyCSsKomE7ZNNXhFzDVlAxI1mN6YZ8pYPfdtEetZMNUc2/Gc3wru9KfPMFodL+MLon
SMLFriU/KlLp3SA64zTF6S0oWtTuM8r6VuQ3kSyW3Uw0IVNjErli5Y2dR3Q0aQ1OhnNj5Y7E07ZU
OD46GfW4aeC+3jVDEnmXFBYpuKlORNXWYubEqJvMZNVS01FQSJypUmLr0ecQ2zgM2AwXiQiMz1Nn
zWqTSArg4E7AK7IXLrHcESyXE/oge9NU+9pN7l3Zein4m4WlTIdimXYG5a51hX5mhasqrZBwtsV3
VZkzKa/gcz5YlWXEmzptl092PcyfikrMl7JPTazXZXfRKAN9+VhIEM6movAhvGxi6M9L7sEY93tV
CPyfBSOmTx7gs0rhGLOeSy9HEQw2rHtZ3PnLAA9RFN0GcOoWLsAEltiPXhprMC66fnJvO+U3OyyB
8GmBSpSromR4zah5octWSBuQpUaPGCtruHpFv2priib4QW2NrF4g5gsQx6upGiALMrtB66uc2j62
9VDE295qUeXRRhsCMBbpKHYupgmKOSrGStBJMgyXjI226kw8NYvfjcNBxGo45nFmHIymIWWPfRlI
L8QYwQfTNbx+XfVLk+xw84PK9gPajbE9eJsMj9sT6c7gfedUpCc/bps7isdTR3tNJXAykJN3kHZ2
LSqL/WLG87hC1TCKlVCt7ChKqP5TDqtvE3aBeVWkvmaJ8/A/Qw8mELtzL+w+HAiNxPBDV6ic6P5R
uyOhwiZsHbAQfsuki7b2bOCIVXoTywqowWiPz+rgJI74BCQiXSMEDMmxG2wys2rllGShZL2AD9L3
nxm8l63NTQJNbn7FnkD2rGSLueKJhg1BX0Kx02yJop76IVWrdnCtdQ8csl47Xgxduel84NNZPGyh
0V4TXgiZYyr6q2mQ7sGL/VoRGoPxv8vbIcOqUOYXjnY0BDy0S3/omnGTl456mUM//hKw5v6IuVIe
Qwc1vzZNyKsOi7K3CSMzCq7hY9trS8nPfWF3n0hqoZMYuQ6i9SVaW7MrDi0tVHyyGGOf7NqhFdz5
lMsSxBbMJVZwnadKfbdII6AqmJjPjKfJZTIZJH9h2Po84vxSOJIKSShwg+lmg1Qdk01POLkqe/uO
VB1763oTQVL0b7c014KLYC6GrTuPIzWVcQIyAjm9w+ixSstpXqcuyYAVjsxnsCDkvlhV5ezMpEJm
Vps1hGjQh+uimknXDPsGCCUJ5dYo5AvCpfkKSdJy4wOyvq8nNCNrxvMU/rnZPZD3kH+OTJFHG7Kv
AjjiBCzAJRWXog7ROfG+HkUTeSd76cESiZq0DgrHW2PBYwDat96qUpqs/Qn9ct1wWMMxiDOG5qLc
TR4RWmlulIdZsBavQUE9VG1u0yVst33dpB+SiG51mhbjTSqldWSQGCEsxnwsEnNOR27rta0lobHR
YL0qUg/IvVlgcR1Vg82o41tvnfRYJ6xRyF1tWED1+bc489xlT+riBOZh8H6MfTW9YHmN6bTkwXw9
WtZs76bWqV5VJP/1dP7O0+mdBRS/2P8n3beqJLfx7d7//FN/7P197x9nmRgbf0jYb8IjAusfFLRI
3gJm4CPW0Nq/P4XfiLx9m84BkhDHktIGovvH3l8jDsgkRs8A807LBv8jX+d74U0QwMjDhOpogp5O
uHgrZkOYGGcDlfLXZlNbQKNzTaqFi1JUPfuW1udfCiS3r+q8v/K5f3ZAiiHoPLXuxjPf0YEzrrq2
6sI92hhhNuY4JReLVq95uc9rzszzGwnb29IG8i0ukOAy7hfySh8U0tsLDFKPLQ1y2aOsYu851a3F
c7Oqc8fk4teX9l57w6F41EgCESQSpAZz8I2Us42nOBoy0zlmugefSKSq+GIoTRLERFWVJNJHmcFV
aUOKzr8+9E+u8pWigb8AGe37As7UMHIIo3WOnYUsrfRrWt9sQ7VNLqKN8uuDme/lo1wobyBEDBbx
yDnOnoK/UDHmioxouGAOWbOIeWkB05FYTamgGTb2kom2RIYTX2Ljpd2pWprk1EAr2pYzAexrwYL9
N4LWv18+tTAfdCQGaU86Ovbur5gOPPr0uaPQOfoTm+o1IQXJhUBOe/G/PJYOK0cX6Wid9bsXitxM
keNwcMB6TOgJHKN7YW893w26rfbrG61fmL/qWzFco9ujLudKLEuA1t9eFnkRuvw8OMcxjH90FsgD
Gpj/qaryfBAE3ue/M0q9e2sRtjmyt3LnuGQI11J/pJnpa5iuSe/td2pn8y1QRX+OnrAtaVrYTbiF
713kfohLdoHtd0wtMLKbs4DSDA26b3nb1U9+k9ER9RQfqRacqri3D3B27VfLwr8kPf/kDfYEhTKQ
Lnyqusnw9s6GwJ/D0Muc4wxe5NImdc1YNbo1UhsdbyiNz2KbZRa9OrVA6SZ1k4/X1QpoRpDfKdB/
9vY6Dhk+OO4YrN5LEbM8wDKd1Xy8I33jc59qKtEG0skMtr9+o352KI9iMgpaphbr/Rs11z4tdtnY
x8Tl9gaBZuUTn8hQ78Of/o0a8e1Qz/Ctg5GEJJvI4nB/e33ruMdl3NTGZYhGgNASg3pOaSN0WSaE
SmOpGB1+fXkaQfSXL0YfUvrMjTa1dv2A36vp62xxLATvwaVgK37h+CWNvq7t8MGQjHaXdFh7WM/T
DWTDg6og4pMqUA8epVHSzsNmDrxPN8vOI8ir1EMtqCmgh+KXp6KLLOPXp+yep9h/fuUuEz8kAi1i
x9JhYzJ7N6Dg80mdmQ3cZZeLYieWeNlViWfsIrPLBqzEhUJTTLOwrcJ1ldbK25r8slOLuILo8TSn
80xYMg8ydKP+ZbGL/mW2Ml7d1662hYYx3tAZQoXhmrR5sdiiAzo3PclOafci5cdaraSRip8DAGDZ
h8lKm6deq1b9yAEOm3IDiUNJ1S22RLREHmKXR1jPRgphPGzMvdm5/OpOxu20KYLYy9Z5m4Q2wdOJ
Tfpd2XAMLVA582+bxgfQ4IwOVCOqlfAg4oo3pHZooaLZ65cLg5abd3nW5nZ9VKDDa80yvmR32r+g
Im2eiJCy6svCTNSdSQX31rB6A60HGRzJF1MFPDK52B4btgl9yCPxz7x7feY9Z/g3aQ5Qk35WZtC9
dGatZ+gR4VaBTOpbvYTWfmxkc9d6fXHhTrS9CSWH3sP4C7xpItQRmpMWGBg0Bo5oGtD8hsgU7NmZ
74j3Dh+VYyUXZ4H8WTp+7lD3i8X9CaZQ3nVdtDxaI9KyOtBygLPZzpzb7iUjd4LIYDBI26ULTQLA
VYvVtVb8KWzoMHfDkt9S6Lb70nPf8P3Tlj3PciUzNY5djyAKVcRtuo+cGSeoklI3qmOPMOOCGri8
jPXC5KzRP4vvRGrR/UZNO29zYSAbOgukmqThraFq6j5LL+NuUuuvKX9UvirXowild3luJRvoW7qL
zhmRiFuzNoDYrtTh2j3zolfFfH+ViBTxqotv3sQGwteNcgskGQj6UC5IbL0Ufc6edrMEUb8aafk+
dgKr/oXfE6xFYXOGBOczF/VU4+edypmXV2hq6e/XmOSvF0mRcW0mSLih7brPHmpaLDtlG5Abr8z2
PrIXa78sE0wEK/KcL+U4lg/+kqhr4MX5hkp5Za7QBJg+W0/RXiZ5hbkw11LCLp/BL5dLNWxEF3oP
RMckhGF56GJXJPepG19QJCycmHihIgsCqL4dJXXaWWtVLuohg9i+JXa0ri8pFmDy5Z2ETMmm/YRk
hNzpNBwKBANt/8N3FggDlhxuiJiBmKnmFLfikDEyrRet6mKXiv26x/Dx2cuzttuBNvC+4STEgw6r
6AqpcxvttJEDjMFQJxuoSeXFWA3VTUCbAmD10sVfIq3AlVVP9ZzN9AU6xPBIeKdsLvxu8p4IQ4EJ
X9bLF6yY1aXtFPRO5slZvpR5k7EXtpZ1R0mzJazAhZKaTeWXlO5Uv0Fb3m0y0coLvRilgjOjed5o
i8G2YQ24wihe7LA3kzYWg34tKxHeDVSvDthZ6kPaglVU7qC+h1E1bWMjMcCTVcXnJBsJkKS8sKrL
BEhz0yUEALfPkM34PhC6bUKyStfD2Jq7gm182voG+jMEy7Q9w6piK42VniIz+tN+jUpB2nA5qe1G
lX7y9XTFStff48NX7qZMCJpwQqI/6KsFIRhlmqJ+VXfI8joI95WidVNUw8c685p6PZbdbtCRLWUs
vuWyqz4HeWKBCDHnXWeE9mbIOY+ApMoTsxIBagvD+5XnNBNoVsETlbgQrtAflLdYvmqQm/Sq1obH
iuz5LBs0rJRPotPSzm1V91Z6JP9LV7LsGQ0do23/ErWCAalaAvNBkUxnQa1AydpK0DZbf6Dos82S
eEZQVTUCDTlS3GWN9L96Ck0Es2fFi1R5u+9pvaDFGNwQDaPl0K5tc/3bzLnuLl59eDglNBUSs68x
s4/qOmStG4/G6cNYO3z6Q+w2e2eGnb0/i0/rmtdW1zx0+xitzpNVNRHruRjOhmlXVgVcIO6gPlIn
9Osfqh4dLS2GI5rLvtuWqTN9x5PSRGsSHtxP5NsGhzYOun1OOSdelXOU0DEz0/hrN/bPKbKqresk
UbSGydt0n3P6ZsY9DG+cu74VU+ZGLbP2clBp8TQ1+9Twlh1xTfVHnAyFXMH1nj7SUy7ukCj+sPLl
82w55oestxCuED9MYE8A1sQZausl6uPoZUmS6T4aJE+OLz7dNuiyAqSIkNyJWEk0sy7v5CXQV7I9
5ikHXdd5jOPrDBbAtCeDVhydplLXTUfxzIOnS9xwkQ30b3kKxIJST3g0StBsWzAC+fXcts4HoOT5
h8Z0hrsi8Zt1W5m0UUYj31KItb8SrzceIVlTlnNDK/FWnW+DG46pR03DMgWroskZLoLQBf/rO5fY
Fb6GtTHdT32U4aMbxDXob/dLNnlZtG7zmM4fmdhIn5Ud3QSIZq5bel2XRjAF3ioeo+7ZSqaaQBH6
hWXiDkewjEa4cnoysC7M/8/d1TWljgTRv0L5jgX5JA/3Vi0goldEXXXXJ2qESAZCJmQSkvDr90wg
6gAitZPa3dqUTyR2Op1Oz0xP9zkIeb06JrNgcm1q2qhNQRaPHDZ6AR+teRiCYwMQeiH1RjeNPFnf
xx4YoZ3VNH1J/HiJPQvODXqd0SwzOwB5qAOnfJS25rdWhgK3S8dLeB+r3PrNzF6zJzQ6aw6QEpMF
2H3qdmOOuqhWeptihH9rrpZ8kITh6jLDQPgrmPGF3w0db4TdxyaWFx6C2yWYtZoUJeUhiq2nK3t1
P9VWyCoHs5EJ7jiEvJd5FoPmKffNm4xqCKOoAgA/xRKE42lXW0TJCBuxTBvEdr422+igAj50y7cN
BMRm6jINHF49B6yJqAVEfZdhLLULIEeu+zyx6QNfNJdPSTPnzy0fELyrDM346xkSn3PbMgCwirI3
bKjN7K4epjYF2NXam6BBB+NQ3AC5HuDVqd81YKq71RrrFMDL2VHHBGbEEP1h2VMjSuvAqYixU0T1
pd5r1fXIbqMT1OwtuQ1oLaZRh18m8N03ECZnf4QtPR6nJrC2Ugsct70GCr0BzA2mE78zY74NwOcW
6vaAZr6k3chDN1PfjsM308umd3yGtoL2mvL4Wk8zkKkzBphFoHss87aByjqg2gTRsA5c2gutYY3i
rjMVaFbrPMvQUcTAxmgmRtwCKSaQhuuGvfoTtIEMbTXT9WyIujC7AUaewB8Gju+D80bL6mgc1vHW
fCSQDLTpp36WPGfeMhsZ7WK+/r/JhW4fpEticlF0sd8nbpQ/uBxfDC/bwcXZgkDvkf29i44Lqp1U
XYUR1UJmScquFkoVGh+T4ZMY5FQT98cZkqGO7iB7qaOrRBz6Wc1n4BbfnK7b5jkqsUCKg7Km4sAa
FTf8ZKSvzHD8CTf2PH6N9ARjlgSxeA8oyJWyxZpIE55igx0JHzbQnXOzgVm1gYXvIRs4QAxAv7Al
EgzFsbnhP28DMllQtOPxOKLj+HPGvInmbeS2TrHCjowPK2ggkHFMtLSLVn5xwLU+ewIK7QS8FHKD
2wvgKf+KJ+w8weZTKbBYTAet5kpG0O1zDSjKloOe7UNGQFHDOSaayL8ZG6KzzQ3/Q66goyMSSSs1
KzTPDeS4sHmCZlhx7LgCPggUSIOQVKAZiANZpFNd4QRTvUfZjkf9SRFfqcsPheGvLijjyv75bUwR
7iICh3Sh2Mza3Psj/P6UvK2Ie59OlnGwuM/237cPuH9r6V7lU5U/9qkbkWjs5cWJfKvmLVkgRv/m
k1eyINIHXwTqD01+nEl6fnr/3wjm8x25Ih2vLDcCMEUgC0ZqtgrBcxJwwktJ4jWizgHuqapyh/gg
9o52qpDNIqIoy2Y+i8iElVoKrQGUgpFUXTIgcccxHSfScICyF3yRqsK7rk9SErmlJKF2qyXgcpQl
b4ewGnurdYDlvXiVi7+B51OBF/ZgdTqRvXAzTqrqf+kyVKzLkjFJwrRAVXIfFqe0lFO4t15sa6sK
vpoQT3JA4J43MYIry0X3a8Co/EWiTLUC/7sKJuCfl60MwAnMc5SVZumOWOCTqIv9tR+bsHvbrEAw
HjgZz/NSUuEXFqxc/nCwDON9CnBsCLhhCeV7ZnYwyVOXPSA0kKIH0oBVDC8DggwBCSalhsIcQO+u
4hUOCOdkjLSHG8eST2Oj06jCJHTs0SmRFzCYVFYwFgyogEdnseTZgB0TLLyqH8yAci7+wlCKTcCr
blQknSXRruhKFGdBvBNDxFaqo26SW/c1AmCEbG0NRfdViF4RedzSADBZwfTp1k1rfbIIOUg2pA8T
8p0KAqCQf+1G3M1LIxSfJpq2KhI+cDM6loYx5EDEylfVwYXmLyyal5K2eov0irJocNd5tQ6JGEZK
2V10q1nZDfaJgjTshVcwJRl6VLa4AW9RN8tw7mNGIq9qgOPnVBBkh5E73c0RIYGlrvMdGCh47q/I
zjIBZVxaBXo/eGzi1q743thmW1YFL/L3b5mEvwbtPGkusbnBviMiIyHqTFQ/pKP8H4qqP7qZvKrc
plFUdf4K01hR3Wc3WmBkK20qopWOobiCQHiwFxclNxX433E0V0WLfNtIrCr/WKGyqmwAgwHmVnqb
Fkpqyx++mt0fyjS9p+b3809lyv3Qv8nJNXHF2HdJ9PMvAAAA//8=</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050">
              <a:solidFill>
                <a:schemeClr val="accent6">
                  <a:lumMod val="20000"/>
                  <a:lumOff val="80000"/>
                </a:schemeClr>
              </a:solidFill>
            </a:defRPr>
          </a:pPr>
          <a:endParaRPr lang="en-US" sz="1050" b="0" i="0" u="none" strike="noStrike" baseline="0">
            <a:solidFill>
              <a:schemeClr val="accent6">
                <a:lumMod val="20000"/>
                <a:lumOff val="80000"/>
              </a:schemeClr>
            </a:solidFill>
            <a:latin typeface="Calibri" panose="020F0502020204030204"/>
          </a:endParaRPr>
        </a:p>
      </cx:txPr>
    </cx:legend>
  </cx:chart>
  <cx:spPr>
    <a:solidFill>
      <a:srgbClr val="161616"/>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microsoft.com/office/2014/relationships/chartEx" Target="../charts/chartEx2.xml"/><Relationship Id="rId7" Type="http://schemas.openxmlformats.org/officeDocument/2006/relationships/hyperlink" Target="#'Dark Mode'!R3"/><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microsoft.com/office/2014/relationships/chartEx" Target="../charts/chartEx3.xml"/><Relationship Id="rId7" Type="http://schemas.openxmlformats.org/officeDocument/2006/relationships/hyperlink" Target="#'Light Mode'!R3"/><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7.png"/><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13</xdr:col>
      <xdr:colOff>156629</xdr:colOff>
      <xdr:row>13</xdr:row>
      <xdr:rowOff>26422</xdr:rowOff>
    </xdr:from>
    <xdr:to>
      <xdr:col>13</xdr:col>
      <xdr:colOff>341020</xdr:colOff>
      <xdr:row>13</xdr:row>
      <xdr:rowOff>103877</xdr:rowOff>
    </xdr:to>
    <xdr:sp macro="" textlink="">
      <xdr:nvSpPr>
        <xdr:cNvPr id="3" name="Flowchart: Delay 2">
          <a:extLst>
            <a:ext uri="{FF2B5EF4-FFF2-40B4-BE49-F238E27FC236}">
              <a16:creationId xmlns:a16="http://schemas.microsoft.com/office/drawing/2014/main" id="{CDD465B0-ADEC-3826-96F3-92F053437EB8}"/>
            </a:ext>
          </a:extLst>
        </xdr:cNvPr>
        <xdr:cNvSpPr/>
      </xdr:nvSpPr>
      <xdr:spPr>
        <a:xfrm>
          <a:off x="13552589" y="2403862"/>
          <a:ext cx="184391" cy="77455"/>
        </a:xfrm>
        <a:prstGeom prst="flowChartDelay">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922020</xdr:colOff>
      <xdr:row>7</xdr:row>
      <xdr:rowOff>7621</xdr:rowOff>
    </xdr:from>
    <xdr:to>
      <xdr:col>5</xdr:col>
      <xdr:colOff>655320</xdr:colOff>
      <xdr:row>13</xdr:row>
      <xdr:rowOff>121920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7ED370D9-2AD0-0776-2DF5-BD9F46A5FED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11980" y="1287781"/>
              <a:ext cx="1828800" cy="1211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563880</xdr:colOff>
      <xdr:row>2</xdr:row>
      <xdr:rowOff>121920</xdr:rowOff>
    </xdr:from>
    <xdr:to>
      <xdr:col>4</xdr:col>
      <xdr:colOff>281940</xdr:colOff>
      <xdr:row>10</xdr:row>
      <xdr:rowOff>68580</xdr:rowOff>
    </xdr:to>
    <xdr:graphicFrame macro="">
      <xdr:nvGraphicFramePr>
        <xdr:cNvPr id="3" name="Chart 2">
          <a:extLst>
            <a:ext uri="{FF2B5EF4-FFF2-40B4-BE49-F238E27FC236}">
              <a16:creationId xmlns:a16="http://schemas.microsoft.com/office/drawing/2014/main" id="{3A0073F9-7919-4814-B213-D470A27DB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2</xdr:row>
      <xdr:rowOff>137160</xdr:rowOff>
    </xdr:from>
    <xdr:to>
      <xdr:col>9</xdr:col>
      <xdr:colOff>304800</xdr:colOff>
      <xdr:row>11</xdr:row>
      <xdr:rowOff>76200</xdr:rowOff>
    </xdr:to>
    <xdr:graphicFrame macro="">
      <xdr:nvGraphicFramePr>
        <xdr:cNvPr id="5" name="Chart 4">
          <a:extLst>
            <a:ext uri="{FF2B5EF4-FFF2-40B4-BE49-F238E27FC236}">
              <a16:creationId xmlns:a16="http://schemas.microsoft.com/office/drawing/2014/main" id="{83E3FB31-F349-4B8E-82C7-A96E16F40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8</xdr:row>
      <xdr:rowOff>68580</xdr:rowOff>
    </xdr:from>
    <xdr:to>
      <xdr:col>16</xdr:col>
      <xdr:colOff>403860</xdr:colOff>
      <xdr:row>9</xdr:row>
      <xdr:rowOff>60960</xdr:rowOff>
    </xdr:to>
    <xdr:sp macro="" textlink="">
      <xdr:nvSpPr>
        <xdr:cNvPr id="7" name="Flowchart: Delay 6">
          <a:extLst>
            <a:ext uri="{FF2B5EF4-FFF2-40B4-BE49-F238E27FC236}">
              <a16:creationId xmlns:a16="http://schemas.microsoft.com/office/drawing/2014/main" id="{E0A9B23B-0DBA-44D4-8EEB-9252E09BF573}"/>
            </a:ext>
          </a:extLst>
        </xdr:cNvPr>
        <xdr:cNvSpPr/>
      </xdr:nvSpPr>
      <xdr:spPr>
        <a:xfrm rot="16200000">
          <a:off x="10039350" y="1588770"/>
          <a:ext cx="175260" cy="60960"/>
        </a:xfrm>
        <a:prstGeom prst="flowChartDelay">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76200</xdr:colOff>
      <xdr:row>2</xdr:row>
      <xdr:rowOff>53340</xdr:rowOff>
    </xdr:from>
    <xdr:to>
      <xdr:col>15</xdr:col>
      <xdr:colOff>304800</xdr:colOff>
      <xdr:row>10</xdr:row>
      <xdr:rowOff>99060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92771B17-0D05-4569-A7D4-F93DB36E98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81800" y="419100"/>
              <a:ext cx="2667000" cy="150876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571500</xdr:colOff>
      <xdr:row>11</xdr:row>
      <xdr:rowOff>137160</xdr:rowOff>
    </xdr:from>
    <xdr:to>
      <xdr:col>5</xdr:col>
      <xdr:colOff>60960</xdr:colOff>
      <xdr:row>20</xdr:row>
      <xdr:rowOff>38100</xdr:rowOff>
    </xdr:to>
    <xdr:graphicFrame macro="">
      <xdr:nvGraphicFramePr>
        <xdr:cNvPr id="12" name="Chart 11">
          <a:extLst>
            <a:ext uri="{FF2B5EF4-FFF2-40B4-BE49-F238E27FC236}">
              <a16:creationId xmlns:a16="http://schemas.microsoft.com/office/drawing/2014/main" id="{252E28CC-6ABE-49DA-BD53-E9B8493D5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106680</xdr:colOff>
      <xdr:row>12</xdr:row>
      <xdr:rowOff>152400</xdr:rowOff>
    </xdr:from>
    <xdr:to>
      <xdr:col>12</xdr:col>
      <xdr:colOff>495300</xdr:colOff>
      <xdr:row>24</xdr:row>
      <xdr:rowOff>121920</xdr:rowOff>
    </xdr:to>
    <xdr:graphicFrame macro="">
      <xdr:nvGraphicFramePr>
        <xdr:cNvPr id="15" name="Chart 14">
          <a:extLst>
            <a:ext uri="{FF2B5EF4-FFF2-40B4-BE49-F238E27FC236}">
              <a16:creationId xmlns:a16="http://schemas.microsoft.com/office/drawing/2014/main" id="{378E80CE-C68B-487C-9A86-BC8598821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160020</xdr:colOff>
      <xdr:row>38</xdr:row>
      <xdr:rowOff>0</xdr:rowOff>
    </xdr:from>
    <xdr:to>
      <xdr:col>13</xdr:col>
      <xdr:colOff>548640</xdr:colOff>
      <xdr:row>48</xdr:row>
      <xdr:rowOff>30480</xdr:rowOff>
    </xdr:to>
    <xdr:graphicFrame macro="">
      <xdr:nvGraphicFramePr>
        <xdr:cNvPr id="17" name="Chart 16">
          <a:extLst>
            <a:ext uri="{FF2B5EF4-FFF2-40B4-BE49-F238E27FC236}">
              <a16:creationId xmlns:a16="http://schemas.microsoft.com/office/drawing/2014/main" id="{C946DE3A-00AB-4406-98F6-F2D563B82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65314</xdr:colOff>
      <xdr:row>3</xdr:row>
      <xdr:rowOff>21772</xdr:rowOff>
    </xdr:from>
    <xdr:to>
      <xdr:col>25</xdr:col>
      <xdr:colOff>152400</xdr:colOff>
      <xdr:row>36</xdr:row>
      <xdr:rowOff>43543</xdr:rowOff>
    </xdr:to>
    <xdr:sp macro="" textlink="">
      <xdr:nvSpPr>
        <xdr:cNvPr id="2" name="Rectangle: Rounded Corners 1">
          <a:extLst>
            <a:ext uri="{FF2B5EF4-FFF2-40B4-BE49-F238E27FC236}">
              <a16:creationId xmlns:a16="http://schemas.microsoft.com/office/drawing/2014/main" id="{482035EE-0831-4A6E-3129-575C9B6A7C78}"/>
            </a:ext>
          </a:extLst>
        </xdr:cNvPr>
        <xdr:cNvSpPr/>
      </xdr:nvSpPr>
      <xdr:spPr>
        <a:xfrm>
          <a:off x="4332514" y="576943"/>
          <a:ext cx="11059886" cy="6128657"/>
        </a:xfrm>
        <a:prstGeom prst="roundRect">
          <a:avLst>
            <a:gd name="adj" fmla="val 3429"/>
          </a:avLst>
        </a:prstGeom>
        <a:solidFill>
          <a:schemeClr val="bg1"/>
        </a:solidFill>
        <a:ln>
          <a:no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7</xdr:col>
      <xdr:colOff>348343</xdr:colOff>
      <xdr:row>6</xdr:row>
      <xdr:rowOff>65314</xdr:rowOff>
    </xdr:from>
    <xdr:to>
      <xdr:col>13</xdr:col>
      <xdr:colOff>457200</xdr:colOff>
      <xdr:row>15</xdr:row>
      <xdr:rowOff>163286</xdr:rowOff>
    </xdr:to>
    <xdr:sp macro="" textlink="">
      <xdr:nvSpPr>
        <xdr:cNvPr id="3" name="Rectangle: Rounded Corners 2">
          <a:extLst>
            <a:ext uri="{FF2B5EF4-FFF2-40B4-BE49-F238E27FC236}">
              <a16:creationId xmlns:a16="http://schemas.microsoft.com/office/drawing/2014/main" id="{B1BD54B2-A6DF-2C50-3C41-67E6DBD1D650}"/>
            </a:ext>
          </a:extLst>
        </xdr:cNvPr>
        <xdr:cNvSpPr/>
      </xdr:nvSpPr>
      <xdr:spPr>
        <a:xfrm>
          <a:off x="4615543" y="1175657"/>
          <a:ext cx="3766457" cy="1763486"/>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304800</xdr:colOff>
      <xdr:row>16</xdr:row>
      <xdr:rowOff>87088</xdr:rowOff>
    </xdr:from>
    <xdr:to>
      <xdr:col>13</xdr:col>
      <xdr:colOff>478972</xdr:colOff>
      <xdr:row>34</xdr:row>
      <xdr:rowOff>76200</xdr:rowOff>
    </xdr:to>
    <xdr:sp macro="" textlink="">
      <xdr:nvSpPr>
        <xdr:cNvPr id="4" name="Rectangle: Rounded Corners 3">
          <a:extLst>
            <a:ext uri="{FF2B5EF4-FFF2-40B4-BE49-F238E27FC236}">
              <a16:creationId xmlns:a16="http://schemas.microsoft.com/office/drawing/2014/main" id="{44C22405-6359-CAC3-452F-CDECFD99D4A2}"/>
            </a:ext>
          </a:extLst>
        </xdr:cNvPr>
        <xdr:cNvSpPr/>
      </xdr:nvSpPr>
      <xdr:spPr>
        <a:xfrm>
          <a:off x="4572000" y="3048002"/>
          <a:ext cx="3831772" cy="3320141"/>
        </a:xfrm>
        <a:prstGeom prst="roundRect">
          <a:avLst>
            <a:gd name="adj" fmla="val 4181"/>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457200</xdr:colOff>
      <xdr:row>6</xdr:row>
      <xdr:rowOff>21772</xdr:rowOff>
    </xdr:from>
    <xdr:to>
      <xdr:col>24</xdr:col>
      <xdr:colOff>511628</xdr:colOff>
      <xdr:row>34</xdr:row>
      <xdr:rowOff>152400</xdr:rowOff>
    </xdr:to>
    <xdr:sp macro="" textlink="">
      <xdr:nvSpPr>
        <xdr:cNvPr id="5" name="Rectangle: Rounded Corners 4">
          <a:extLst>
            <a:ext uri="{FF2B5EF4-FFF2-40B4-BE49-F238E27FC236}">
              <a16:creationId xmlns:a16="http://schemas.microsoft.com/office/drawing/2014/main" id="{4A4B5567-7810-DC7E-8849-1763DB0343BA}"/>
            </a:ext>
          </a:extLst>
        </xdr:cNvPr>
        <xdr:cNvSpPr/>
      </xdr:nvSpPr>
      <xdr:spPr>
        <a:xfrm>
          <a:off x="12039600" y="1132115"/>
          <a:ext cx="3102428" cy="5312228"/>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54429</xdr:colOff>
      <xdr:row>6</xdr:row>
      <xdr:rowOff>54429</xdr:rowOff>
    </xdr:from>
    <xdr:to>
      <xdr:col>19</xdr:col>
      <xdr:colOff>304800</xdr:colOff>
      <xdr:row>19</xdr:row>
      <xdr:rowOff>174171</xdr:rowOff>
    </xdr:to>
    <xdr:sp macro="" textlink="">
      <xdr:nvSpPr>
        <xdr:cNvPr id="6" name="Rectangle: Rounded Corners 5">
          <a:extLst>
            <a:ext uri="{FF2B5EF4-FFF2-40B4-BE49-F238E27FC236}">
              <a16:creationId xmlns:a16="http://schemas.microsoft.com/office/drawing/2014/main" id="{8B90AB36-7852-0BBC-10A6-1D95FA41CBF4}"/>
            </a:ext>
          </a:extLst>
        </xdr:cNvPr>
        <xdr:cNvSpPr/>
      </xdr:nvSpPr>
      <xdr:spPr>
        <a:xfrm>
          <a:off x="8588829" y="1164772"/>
          <a:ext cx="3298371" cy="2525485"/>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65313</xdr:colOff>
      <xdr:row>20</xdr:row>
      <xdr:rowOff>87086</xdr:rowOff>
    </xdr:from>
    <xdr:to>
      <xdr:col>19</xdr:col>
      <xdr:colOff>304800</xdr:colOff>
      <xdr:row>34</xdr:row>
      <xdr:rowOff>108858</xdr:rowOff>
    </xdr:to>
    <xdr:sp macro="" textlink="">
      <xdr:nvSpPr>
        <xdr:cNvPr id="7" name="Rectangle: Rounded Corners 6">
          <a:extLst>
            <a:ext uri="{FF2B5EF4-FFF2-40B4-BE49-F238E27FC236}">
              <a16:creationId xmlns:a16="http://schemas.microsoft.com/office/drawing/2014/main" id="{042F0C12-56AE-DC7C-524B-C2EB4158078F}"/>
            </a:ext>
          </a:extLst>
        </xdr:cNvPr>
        <xdr:cNvSpPr/>
      </xdr:nvSpPr>
      <xdr:spPr>
        <a:xfrm>
          <a:off x="8599713" y="3788229"/>
          <a:ext cx="3287487" cy="2612572"/>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468085</xdr:colOff>
      <xdr:row>6</xdr:row>
      <xdr:rowOff>130629</xdr:rowOff>
    </xdr:from>
    <xdr:to>
      <xdr:col>13</xdr:col>
      <xdr:colOff>381000</xdr:colOff>
      <xdr:row>15</xdr:row>
      <xdr:rowOff>108857</xdr:rowOff>
    </xdr:to>
    <xdr:sp macro="" textlink="">
      <xdr:nvSpPr>
        <xdr:cNvPr id="8" name="Rectangle: Rounded Corners 7">
          <a:extLst>
            <a:ext uri="{FF2B5EF4-FFF2-40B4-BE49-F238E27FC236}">
              <a16:creationId xmlns:a16="http://schemas.microsoft.com/office/drawing/2014/main" id="{A3B6BB72-FAC9-AD95-1240-86E86FF855AD}"/>
            </a:ext>
          </a:extLst>
        </xdr:cNvPr>
        <xdr:cNvSpPr/>
      </xdr:nvSpPr>
      <xdr:spPr>
        <a:xfrm>
          <a:off x="4735285" y="1240972"/>
          <a:ext cx="3570515" cy="1643742"/>
        </a:xfrm>
        <a:prstGeom prst="roundRect">
          <a:avLst>
            <a:gd name="adj" fmla="val 3429"/>
          </a:avLst>
        </a:prstGeom>
        <a:solidFill>
          <a:srgbClr val="42573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7</xdr:col>
      <xdr:colOff>468085</xdr:colOff>
      <xdr:row>18</xdr:row>
      <xdr:rowOff>119740</xdr:rowOff>
    </xdr:from>
    <xdr:to>
      <xdr:col>13</xdr:col>
      <xdr:colOff>304800</xdr:colOff>
      <xdr:row>33</xdr:row>
      <xdr:rowOff>87084</xdr:rowOff>
    </xdr:to>
    <xdr:sp macro="" textlink="">
      <xdr:nvSpPr>
        <xdr:cNvPr id="9" name="Rectangle: Rounded Corners 8">
          <a:extLst>
            <a:ext uri="{FF2B5EF4-FFF2-40B4-BE49-F238E27FC236}">
              <a16:creationId xmlns:a16="http://schemas.microsoft.com/office/drawing/2014/main" id="{CFF7CFDA-7020-B1E1-4A3E-CBB0EDB4D22F}"/>
            </a:ext>
          </a:extLst>
        </xdr:cNvPr>
        <xdr:cNvSpPr/>
      </xdr:nvSpPr>
      <xdr:spPr>
        <a:xfrm>
          <a:off x="4735285" y="3450769"/>
          <a:ext cx="3494315" cy="2743201"/>
        </a:xfrm>
        <a:prstGeom prst="roundRect">
          <a:avLst>
            <a:gd name="adj" fmla="val 342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130628</xdr:colOff>
      <xdr:row>10</xdr:row>
      <xdr:rowOff>65316</xdr:rowOff>
    </xdr:from>
    <xdr:to>
      <xdr:col>19</xdr:col>
      <xdr:colOff>152400</xdr:colOff>
      <xdr:row>19</xdr:row>
      <xdr:rowOff>97971</xdr:rowOff>
    </xdr:to>
    <xdr:sp macro="" textlink="">
      <xdr:nvSpPr>
        <xdr:cNvPr id="10" name="Rectangle: Rounded Corners 9">
          <a:extLst>
            <a:ext uri="{FF2B5EF4-FFF2-40B4-BE49-F238E27FC236}">
              <a16:creationId xmlns:a16="http://schemas.microsoft.com/office/drawing/2014/main" id="{78192BE5-7EB8-876A-A57F-D8492C90424D}"/>
            </a:ext>
          </a:extLst>
        </xdr:cNvPr>
        <xdr:cNvSpPr/>
      </xdr:nvSpPr>
      <xdr:spPr>
        <a:xfrm>
          <a:off x="8665028" y="1915887"/>
          <a:ext cx="3069772" cy="1698170"/>
        </a:xfrm>
        <a:prstGeom prst="roundRect">
          <a:avLst>
            <a:gd name="adj" fmla="val 342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185057</xdr:colOff>
      <xdr:row>23</xdr:row>
      <xdr:rowOff>76200</xdr:rowOff>
    </xdr:from>
    <xdr:to>
      <xdr:col>19</xdr:col>
      <xdr:colOff>65314</xdr:colOff>
      <xdr:row>34</xdr:row>
      <xdr:rowOff>54428</xdr:rowOff>
    </xdr:to>
    <xdr:sp macro="" textlink="">
      <xdr:nvSpPr>
        <xdr:cNvPr id="11" name="Rectangle: Rounded Corners 10">
          <a:extLst>
            <a:ext uri="{FF2B5EF4-FFF2-40B4-BE49-F238E27FC236}">
              <a16:creationId xmlns:a16="http://schemas.microsoft.com/office/drawing/2014/main" id="{E1D7B35C-2C76-8500-5090-C84A9B42460E}"/>
            </a:ext>
          </a:extLst>
        </xdr:cNvPr>
        <xdr:cNvSpPr/>
      </xdr:nvSpPr>
      <xdr:spPr>
        <a:xfrm>
          <a:off x="8719457" y="4332514"/>
          <a:ext cx="2928257" cy="2013857"/>
        </a:xfrm>
        <a:prstGeom prst="roundRect">
          <a:avLst>
            <a:gd name="adj" fmla="val 342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21773</xdr:colOff>
      <xdr:row>10</xdr:row>
      <xdr:rowOff>76200</xdr:rowOff>
    </xdr:from>
    <xdr:to>
      <xdr:col>24</xdr:col>
      <xdr:colOff>370114</xdr:colOff>
      <xdr:row>34</xdr:row>
      <xdr:rowOff>54428</xdr:rowOff>
    </xdr:to>
    <xdr:sp macro="" textlink="">
      <xdr:nvSpPr>
        <xdr:cNvPr id="12" name="Rectangle: Rounded Corners 11">
          <a:extLst>
            <a:ext uri="{FF2B5EF4-FFF2-40B4-BE49-F238E27FC236}">
              <a16:creationId xmlns:a16="http://schemas.microsoft.com/office/drawing/2014/main" id="{AB515452-EF18-ADF4-D873-642C62ADA4D9}"/>
            </a:ext>
          </a:extLst>
        </xdr:cNvPr>
        <xdr:cNvSpPr/>
      </xdr:nvSpPr>
      <xdr:spPr>
        <a:xfrm>
          <a:off x="12213773" y="1926771"/>
          <a:ext cx="2786741" cy="4419600"/>
        </a:xfrm>
        <a:prstGeom prst="roundRect">
          <a:avLst>
            <a:gd name="adj" fmla="val 342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141515</xdr:colOff>
      <xdr:row>7</xdr:row>
      <xdr:rowOff>174173</xdr:rowOff>
    </xdr:from>
    <xdr:to>
      <xdr:col>19</xdr:col>
      <xdr:colOff>87087</xdr:colOff>
      <xdr:row>19</xdr:row>
      <xdr:rowOff>141515</xdr:rowOff>
    </xdr:to>
    <xdr:graphicFrame macro="">
      <xdr:nvGraphicFramePr>
        <xdr:cNvPr id="14" name="Chart 13">
          <a:extLst>
            <a:ext uri="{FF2B5EF4-FFF2-40B4-BE49-F238E27FC236}">
              <a16:creationId xmlns:a16="http://schemas.microsoft.com/office/drawing/2014/main" id="{DA906459-F709-43C4-816E-1E3DA3CB8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435429</xdr:colOff>
      <xdr:row>18</xdr:row>
      <xdr:rowOff>87083</xdr:rowOff>
    </xdr:from>
    <xdr:to>
      <xdr:col>13</xdr:col>
      <xdr:colOff>130628</xdr:colOff>
      <xdr:row>33</xdr:row>
      <xdr:rowOff>119744</xdr:rowOff>
    </xdr:to>
    <xdr:graphicFrame macro="">
      <xdr:nvGraphicFramePr>
        <xdr:cNvPr id="15" name="Chart 14">
          <a:extLst>
            <a:ext uri="{FF2B5EF4-FFF2-40B4-BE49-F238E27FC236}">
              <a16:creationId xmlns:a16="http://schemas.microsoft.com/office/drawing/2014/main" id="{B7C29F11-99FA-4338-9C0A-576F4078F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217714</xdr:colOff>
      <xdr:row>23</xdr:row>
      <xdr:rowOff>54429</xdr:rowOff>
    </xdr:from>
    <xdr:to>
      <xdr:col>24</xdr:col>
      <xdr:colOff>326572</xdr:colOff>
      <xdr:row>33</xdr:row>
      <xdr:rowOff>104503</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724401D-9C2B-4FEF-808B-7A3E1BCC1A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409714" y="4260669"/>
              <a:ext cx="2547258" cy="18788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283028</xdr:colOff>
      <xdr:row>23</xdr:row>
      <xdr:rowOff>10884</xdr:rowOff>
    </xdr:from>
    <xdr:to>
      <xdr:col>19</xdr:col>
      <xdr:colOff>217714</xdr:colOff>
      <xdr:row>33</xdr:row>
      <xdr:rowOff>163285</xdr:rowOff>
    </xdr:to>
    <xdr:graphicFrame macro="">
      <xdr:nvGraphicFramePr>
        <xdr:cNvPr id="19" name="Chart 18">
          <a:extLst>
            <a:ext uri="{FF2B5EF4-FFF2-40B4-BE49-F238E27FC236}">
              <a16:creationId xmlns:a16="http://schemas.microsoft.com/office/drawing/2014/main" id="{2A64FEC0-2623-4B08-ABED-BBA12501C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119742</xdr:colOff>
      <xdr:row>9</xdr:row>
      <xdr:rowOff>163285</xdr:rowOff>
    </xdr:from>
    <xdr:to>
      <xdr:col>24</xdr:col>
      <xdr:colOff>381000</xdr:colOff>
      <xdr:row>20</xdr:row>
      <xdr:rowOff>0</xdr:rowOff>
    </xdr:to>
    <xdr:graphicFrame macro="">
      <xdr:nvGraphicFramePr>
        <xdr:cNvPr id="21" name="Chart 20">
          <a:extLst>
            <a:ext uri="{FF2B5EF4-FFF2-40B4-BE49-F238E27FC236}">
              <a16:creationId xmlns:a16="http://schemas.microsoft.com/office/drawing/2014/main" id="{179D2547-81FE-4689-BD46-DC748BCE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43541</xdr:colOff>
      <xdr:row>10</xdr:row>
      <xdr:rowOff>21777</xdr:rowOff>
    </xdr:from>
    <xdr:to>
      <xdr:col>8</xdr:col>
      <xdr:colOff>54427</xdr:colOff>
      <xdr:row>15</xdr:row>
      <xdr:rowOff>43548</xdr:rowOff>
    </xdr:to>
    <xdr:cxnSp macro="">
      <xdr:nvCxnSpPr>
        <xdr:cNvPr id="23" name="Straight Connector 22">
          <a:extLst>
            <a:ext uri="{FF2B5EF4-FFF2-40B4-BE49-F238E27FC236}">
              <a16:creationId xmlns:a16="http://schemas.microsoft.com/office/drawing/2014/main" id="{D09BF61E-B7D0-E35B-C5ED-E5E04E9C367D}"/>
            </a:ext>
          </a:extLst>
        </xdr:cNvPr>
        <xdr:cNvCxnSpPr/>
      </xdr:nvCxnSpPr>
      <xdr:spPr>
        <a:xfrm flipH="1">
          <a:off x="4920341" y="1872348"/>
          <a:ext cx="10886" cy="947057"/>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43543</xdr:colOff>
      <xdr:row>10</xdr:row>
      <xdr:rowOff>21775</xdr:rowOff>
    </xdr:from>
    <xdr:to>
      <xdr:col>10</xdr:col>
      <xdr:colOff>54429</xdr:colOff>
      <xdr:row>15</xdr:row>
      <xdr:rowOff>43546</xdr:rowOff>
    </xdr:to>
    <xdr:cxnSp macro="">
      <xdr:nvCxnSpPr>
        <xdr:cNvPr id="33" name="Straight Connector 32">
          <a:extLst>
            <a:ext uri="{FF2B5EF4-FFF2-40B4-BE49-F238E27FC236}">
              <a16:creationId xmlns:a16="http://schemas.microsoft.com/office/drawing/2014/main" id="{687C35DF-A1A3-17EF-46FE-B98F8C0AB6F8}"/>
            </a:ext>
          </a:extLst>
        </xdr:cNvPr>
        <xdr:cNvCxnSpPr/>
      </xdr:nvCxnSpPr>
      <xdr:spPr>
        <a:xfrm flipH="1">
          <a:off x="6139543" y="1872346"/>
          <a:ext cx="10886" cy="947057"/>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468084</xdr:colOff>
      <xdr:row>10</xdr:row>
      <xdr:rowOff>21775</xdr:rowOff>
    </xdr:from>
    <xdr:to>
      <xdr:col>11</xdr:col>
      <xdr:colOff>478970</xdr:colOff>
      <xdr:row>15</xdr:row>
      <xdr:rowOff>43546</xdr:rowOff>
    </xdr:to>
    <xdr:cxnSp macro="">
      <xdr:nvCxnSpPr>
        <xdr:cNvPr id="34" name="Straight Connector 33">
          <a:extLst>
            <a:ext uri="{FF2B5EF4-FFF2-40B4-BE49-F238E27FC236}">
              <a16:creationId xmlns:a16="http://schemas.microsoft.com/office/drawing/2014/main" id="{A8ADBE12-C5E1-87F2-964A-4DC1B6DBABCA}"/>
            </a:ext>
          </a:extLst>
        </xdr:cNvPr>
        <xdr:cNvCxnSpPr/>
      </xdr:nvCxnSpPr>
      <xdr:spPr>
        <a:xfrm flipH="1">
          <a:off x="7173684" y="1872346"/>
          <a:ext cx="10886" cy="947057"/>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228601</xdr:colOff>
      <xdr:row>9</xdr:row>
      <xdr:rowOff>163286</xdr:rowOff>
    </xdr:from>
    <xdr:to>
      <xdr:col>9</xdr:col>
      <xdr:colOff>478972</xdr:colOff>
      <xdr:row>11</xdr:row>
      <xdr:rowOff>43542</xdr:rowOff>
    </xdr:to>
    <xdr:sp macro="" textlink="">
      <xdr:nvSpPr>
        <xdr:cNvPr id="13" name="TextBox 12">
          <a:extLst>
            <a:ext uri="{FF2B5EF4-FFF2-40B4-BE49-F238E27FC236}">
              <a16:creationId xmlns:a16="http://schemas.microsoft.com/office/drawing/2014/main" id="{939938CC-812E-4249-98AF-9825D396C12E}"/>
            </a:ext>
          </a:extLst>
        </xdr:cNvPr>
        <xdr:cNvSpPr txBox="1"/>
      </xdr:nvSpPr>
      <xdr:spPr>
        <a:xfrm>
          <a:off x="5105401" y="1828800"/>
          <a:ext cx="859971"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accent6">
                  <a:lumMod val="20000"/>
                  <a:lumOff val="80000"/>
                </a:schemeClr>
              </a:solidFill>
            </a:rPr>
            <a:t>Revenue</a:t>
          </a:r>
        </a:p>
      </xdr:txBody>
    </xdr:sp>
    <xdr:clientData/>
  </xdr:twoCellAnchor>
  <xdr:twoCellAnchor>
    <xdr:from>
      <xdr:col>10</xdr:col>
      <xdr:colOff>141515</xdr:colOff>
      <xdr:row>9</xdr:row>
      <xdr:rowOff>185056</xdr:rowOff>
    </xdr:from>
    <xdr:to>
      <xdr:col>11</xdr:col>
      <xdr:colOff>391886</xdr:colOff>
      <xdr:row>11</xdr:row>
      <xdr:rowOff>43542</xdr:rowOff>
    </xdr:to>
    <xdr:sp macro="" textlink="">
      <xdr:nvSpPr>
        <xdr:cNvPr id="16" name="TextBox 15">
          <a:extLst>
            <a:ext uri="{FF2B5EF4-FFF2-40B4-BE49-F238E27FC236}">
              <a16:creationId xmlns:a16="http://schemas.microsoft.com/office/drawing/2014/main" id="{26349750-BE54-40FA-ED35-8080B0FA6A85}"/>
            </a:ext>
          </a:extLst>
        </xdr:cNvPr>
        <xdr:cNvSpPr txBox="1"/>
      </xdr:nvSpPr>
      <xdr:spPr>
        <a:xfrm>
          <a:off x="6237515" y="1850570"/>
          <a:ext cx="859971"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accent6">
                  <a:lumMod val="20000"/>
                  <a:lumOff val="80000"/>
                </a:schemeClr>
              </a:solidFill>
            </a:rPr>
            <a:t>Orders</a:t>
          </a:r>
        </a:p>
      </xdr:txBody>
    </xdr:sp>
    <xdr:clientData/>
  </xdr:twoCellAnchor>
  <xdr:twoCellAnchor>
    <xdr:from>
      <xdr:col>11</xdr:col>
      <xdr:colOff>587829</xdr:colOff>
      <xdr:row>10</xdr:row>
      <xdr:rowOff>0</xdr:rowOff>
    </xdr:from>
    <xdr:to>
      <xdr:col>13</xdr:col>
      <xdr:colOff>185057</xdr:colOff>
      <xdr:row>11</xdr:row>
      <xdr:rowOff>76199</xdr:rowOff>
    </xdr:to>
    <xdr:sp macro="" textlink="">
      <xdr:nvSpPr>
        <xdr:cNvPr id="18" name="TextBox 17">
          <a:extLst>
            <a:ext uri="{FF2B5EF4-FFF2-40B4-BE49-F238E27FC236}">
              <a16:creationId xmlns:a16="http://schemas.microsoft.com/office/drawing/2014/main" id="{A2C9D98D-551C-0499-CFF8-BA4C09A97FEF}"/>
            </a:ext>
          </a:extLst>
        </xdr:cNvPr>
        <xdr:cNvSpPr txBox="1"/>
      </xdr:nvSpPr>
      <xdr:spPr>
        <a:xfrm>
          <a:off x="7293429" y="1850571"/>
          <a:ext cx="8164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accent6">
                  <a:lumMod val="20000"/>
                  <a:lumOff val="80000"/>
                </a:schemeClr>
              </a:solidFill>
            </a:rPr>
            <a:t>Ticket Sold</a:t>
          </a:r>
        </a:p>
      </xdr:txBody>
    </xdr:sp>
    <xdr:clientData/>
  </xdr:twoCellAnchor>
  <xdr:twoCellAnchor>
    <xdr:from>
      <xdr:col>8</xdr:col>
      <xdr:colOff>97970</xdr:colOff>
      <xdr:row>11</xdr:row>
      <xdr:rowOff>97971</xdr:rowOff>
    </xdr:from>
    <xdr:to>
      <xdr:col>9</xdr:col>
      <xdr:colOff>500741</xdr:colOff>
      <xdr:row>13</xdr:row>
      <xdr:rowOff>54429</xdr:rowOff>
    </xdr:to>
    <xdr:sp macro="" textlink="Revenue">
      <xdr:nvSpPr>
        <xdr:cNvPr id="22" name="TextBox 21">
          <a:extLst>
            <a:ext uri="{FF2B5EF4-FFF2-40B4-BE49-F238E27FC236}">
              <a16:creationId xmlns:a16="http://schemas.microsoft.com/office/drawing/2014/main" id="{FFEB630C-6762-312C-7F44-57F1A44FA4DC}"/>
            </a:ext>
          </a:extLst>
        </xdr:cNvPr>
        <xdr:cNvSpPr txBox="1"/>
      </xdr:nvSpPr>
      <xdr:spPr>
        <a:xfrm>
          <a:off x="4974770" y="2133600"/>
          <a:ext cx="1012371"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A7DBCF-60E9-4AEF-AB1D-2BAEBA65FFD9}" type="TxLink">
            <a:rPr lang="en-US" sz="1600" b="0" i="0" u="none" strike="noStrike">
              <a:solidFill>
                <a:schemeClr val="accent6">
                  <a:lumMod val="20000"/>
                  <a:lumOff val="80000"/>
                </a:schemeClr>
              </a:solidFill>
              <a:latin typeface="Calibri"/>
              <a:ea typeface="Calibri"/>
              <a:cs typeface="Calibri"/>
            </a:rPr>
            <a:pPr algn="ctr"/>
            <a:t> $30,089 </a:t>
          </a:fld>
          <a:endParaRPr lang="en-US" sz="1600">
            <a:solidFill>
              <a:schemeClr val="accent6">
                <a:lumMod val="20000"/>
                <a:lumOff val="80000"/>
              </a:schemeClr>
            </a:solidFill>
          </a:endParaRPr>
        </a:p>
      </xdr:txBody>
    </xdr:sp>
    <xdr:clientData/>
  </xdr:twoCellAnchor>
  <xdr:twoCellAnchor>
    <xdr:from>
      <xdr:col>11</xdr:col>
      <xdr:colOff>468085</xdr:colOff>
      <xdr:row>11</xdr:row>
      <xdr:rowOff>76200</xdr:rowOff>
    </xdr:from>
    <xdr:to>
      <xdr:col>13</xdr:col>
      <xdr:colOff>228599</xdr:colOff>
      <xdr:row>13</xdr:row>
      <xdr:rowOff>21772</xdr:rowOff>
    </xdr:to>
    <xdr:sp macro="" textlink="Qty">
      <xdr:nvSpPr>
        <xdr:cNvPr id="24" name="TextBox 23">
          <a:extLst>
            <a:ext uri="{FF2B5EF4-FFF2-40B4-BE49-F238E27FC236}">
              <a16:creationId xmlns:a16="http://schemas.microsoft.com/office/drawing/2014/main" id="{CC7F7308-E1B9-0B79-8065-F52EC5DB352D}"/>
            </a:ext>
          </a:extLst>
        </xdr:cNvPr>
        <xdr:cNvSpPr txBox="1"/>
      </xdr:nvSpPr>
      <xdr:spPr>
        <a:xfrm>
          <a:off x="7173685" y="2111829"/>
          <a:ext cx="97971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599439-1F3D-4561-8E3B-A4D5508413FD}" type="TxLink">
            <a:rPr lang="en-US" sz="1600" b="0" i="0" u="none" strike="noStrike">
              <a:solidFill>
                <a:schemeClr val="accent6">
                  <a:lumMod val="20000"/>
                  <a:lumOff val="80000"/>
                </a:schemeClr>
              </a:solidFill>
              <a:latin typeface="Calibri"/>
              <a:ea typeface="Calibri"/>
              <a:cs typeface="Calibri"/>
            </a:rPr>
            <a:pPr algn="ctr"/>
            <a:t> 1,932.0 </a:t>
          </a:fld>
          <a:endParaRPr lang="en-GB" sz="1600">
            <a:solidFill>
              <a:schemeClr val="accent6">
                <a:lumMod val="20000"/>
                <a:lumOff val="80000"/>
              </a:schemeClr>
            </a:solidFill>
          </a:endParaRPr>
        </a:p>
      </xdr:txBody>
    </xdr:sp>
    <xdr:clientData/>
  </xdr:twoCellAnchor>
  <xdr:twoCellAnchor>
    <xdr:from>
      <xdr:col>10</xdr:col>
      <xdr:colOff>130629</xdr:colOff>
      <xdr:row>11</xdr:row>
      <xdr:rowOff>87085</xdr:rowOff>
    </xdr:from>
    <xdr:to>
      <xdr:col>11</xdr:col>
      <xdr:colOff>337457</xdr:colOff>
      <xdr:row>12</xdr:row>
      <xdr:rowOff>163285</xdr:rowOff>
    </xdr:to>
    <xdr:sp macro="" textlink="Orders">
      <xdr:nvSpPr>
        <xdr:cNvPr id="25" name="TextBox 24">
          <a:extLst>
            <a:ext uri="{FF2B5EF4-FFF2-40B4-BE49-F238E27FC236}">
              <a16:creationId xmlns:a16="http://schemas.microsoft.com/office/drawing/2014/main" id="{B6FB1F38-97A5-C091-3036-9DE97A42AAAD}"/>
            </a:ext>
          </a:extLst>
        </xdr:cNvPr>
        <xdr:cNvSpPr txBox="1"/>
      </xdr:nvSpPr>
      <xdr:spPr>
        <a:xfrm>
          <a:off x="6226629" y="2122714"/>
          <a:ext cx="8164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AAA269-0A94-4258-8DA9-B657D5D73A05}" type="TxLink">
            <a:rPr lang="en-US" sz="1600" b="0" i="0" u="none" strike="noStrike">
              <a:solidFill>
                <a:schemeClr val="accent6">
                  <a:lumMod val="20000"/>
                  <a:lumOff val="80000"/>
                </a:schemeClr>
              </a:solidFill>
              <a:latin typeface="Calibri"/>
              <a:ea typeface="Calibri"/>
              <a:cs typeface="Calibri"/>
            </a:rPr>
            <a:pPr algn="ctr"/>
            <a:t> 638 </a:t>
          </a:fld>
          <a:endParaRPr lang="en-GB" sz="1600">
            <a:solidFill>
              <a:schemeClr val="accent6">
                <a:lumMod val="20000"/>
                <a:lumOff val="80000"/>
              </a:schemeClr>
            </a:solidFill>
          </a:endParaRPr>
        </a:p>
      </xdr:txBody>
    </xdr:sp>
    <xdr:clientData/>
  </xdr:twoCellAnchor>
  <xdr:twoCellAnchor>
    <xdr:from>
      <xdr:col>8</xdr:col>
      <xdr:colOff>152401</xdr:colOff>
      <xdr:row>13</xdr:row>
      <xdr:rowOff>152399</xdr:rowOff>
    </xdr:from>
    <xdr:to>
      <xdr:col>9</xdr:col>
      <xdr:colOff>566057</xdr:colOff>
      <xdr:row>15</xdr:row>
      <xdr:rowOff>65314</xdr:rowOff>
    </xdr:to>
    <xdr:sp macro="" textlink="▼RevenueMoM">
      <xdr:nvSpPr>
        <xdr:cNvPr id="26" name="TextBox 25">
          <a:extLst>
            <a:ext uri="{FF2B5EF4-FFF2-40B4-BE49-F238E27FC236}">
              <a16:creationId xmlns:a16="http://schemas.microsoft.com/office/drawing/2014/main" id="{572B8978-6F88-9A01-FFF4-46A6CEAE7408}"/>
            </a:ext>
          </a:extLst>
        </xdr:cNvPr>
        <xdr:cNvSpPr txBox="1"/>
      </xdr:nvSpPr>
      <xdr:spPr>
        <a:xfrm>
          <a:off x="5029201" y="2558142"/>
          <a:ext cx="102325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A8EE1E-8BBE-47F8-8B4B-8F9E2245745C}" type="TxLink">
            <a:rPr lang="en-US" sz="1000" b="0" i="0" u="none" strike="noStrike">
              <a:solidFill>
                <a:schemeClr val="accent6">
                  <a:lumMod val="20000"/>
                  <a:lumOff val="80000"/>
                </a:schemeClr>
              </a:solidFill>
              <a:latin typeface="Calibri"/>
              <a:ea typeface="Calibri"/>
              <a:cs typeface="Calibri"/>
            </a:rPr>
            <a:pPr algn="ctr"/>
            <a:t>▲16% MoM</a:t>
          </a:fld>
          <a:endParaRPr lang="en-GB" sz="1000">
            <a:solidFill>
              <a:schemeClr val="accent6">
                <a:lumMod val="20000"/>
                <a:lumOff val="80000"/>
              </a:schemeClr>
            </a:solidFill>
          </a:endParaRPr>
        </a:p>
      </xdr:txBody>
    </xdr:sp>
    <xdr:clientData/>
  </xdr:twoCellAnchor>
  <xdr:twoCellAnchor>
    <xdr:from>
      <xdr:col>10</xdr:col>
      <xdr:colOff>130629</xdr:colOff>
      <xdr:row>14</xdr:row>
      <xdr:rowOff>0</xdr:rowOff>
    </xdr:from>
    <xdr:to>
      <xdr:col>11</xdr:col>
      <xdr:colOff>413657</xdr:colOff>
      <xdr:row>15</xdr:row>
      <xdr:rowOff>76200</xdr:rowOff>
    </xdr:to>
    <xdr:sp macro="" textlink="OrdersMoM">
      <xdr:nvSpPr>
        <xdr:cNvPr id="27" name="TextBox 26">
          <a:extLst>
            <a:ext uri="{FF2B5EF4-FFF2-40B4-BE49-F238E27FC236}">
              <a16:creationId xmlns:a16="http://schemas.microsoft.com/office/drawing/2014/main" id="{71E77CDC-EB77-9196-9D9F-19E841D7618A}"/>
            </a:ext>
          </a:extLst>
        </xdr:cNvPr>
        <xdr:cNvSpPr txBox="1"/>
      </xdr:nvSpPr>
      <xdr:spPr>
        <a:xfrm>
          <a:off x="6226629" y="2590800"/>
          <a:ext cx="89262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22987B-68B8-4999-8BD7-84FCBFC56445}" type="TxLink">
            <a:rPr lang="en-US" sz="1000" b="0" i="0" u="none" strike="noStrike">
              <a:solidFill>
                <a:schemeClr val="accent6">
                  <a:lumMod val="20000"/>
                  <a:lumOff val="80000"/>
                </a:schemeClr>
              </a:solidFill>
              <a:latin typeface="Calibri"/>
              <a:ea typeface="Calibri"/>
              <a:cs typeface="Calibri"/>
            </a:rPr>
            <a:pPr algn="ctr"/>
            <a:t>#REF!</a:t>
          </a:fld>
          <a:endParaRPr lang="en-GB" sz="1000">
            <a:solidFill>
              <a:schemeClr val="accent6">
                <a:lumMod val="20000"/>
                <a:lumOff val="80000"/>
              </a:schemeClr>
            </a:solidFill>
          </a:endParaRPr>
        </a:p>
      </xdr:txBody>
    </xdr:sp>
    <xdr:clientData/>
  </xdr:twoCellAnchor>
  <xdr:twoCellAnchor>
    <xdr:from>
      <xdr:col>11</xdr:col>
      <xdr:colOff>587829</xdr:colOff>
      <xdr:row>13</xdr:row>
      <xdr:rowOff>163285</xdr:rowOff>
    </xdr:from>
    <xdr:to>
      <xdr:col>13</xdr:col>
      <xdr:colOff>261256</xdr:colOff>
      <xdr:row>15</xdr:row>
      <xdr:rowOff>130629</xdr:rowOff>
    </xdr:to>
    <xdr:sp macro="" textlink="QtyMoM">
      <xdr:nvSpPr>
        <xdr:cNvPr id="28" name="TextBox 27">
          <a:extLst>
            <a:ext uri="{FF2B5EF4-FFF2-40B4-BE49-F238E27FC236}">
              <a16:creationId xmlns:a16="http://schemas.microsoft.com/office/drawing/2014/main" id="{6C7553E9-F31E-E73C-5D90-BE504BA8574B}"/>
            </a:ext>
          </a:extLst>
        </xdr:cNvPr>
        <xdr:cNvSpPr txBox="1"/>
      </xdr:nvSpPr>
      <xdr:spPr>
        <a:xfrm>
          <a:off x="7293429" y="2569028"/>
          <a:ext cx="892627" cy="3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C50CC8-E264-468F-B54D-33B42267C2EF}" type="TxLink">
            <a:rPr lang="en-US" sz="1000" b="0" i="0" u="none" strike="noStrike">
              <a:solidFill>
                <a:schemeClr val="accent6">
                  <a:lumMod val="20000"/>
                  <a:lumOff val="80000"/>
                </a:schemeClr>
              </a:solidFill>
              <a:latin typeface="Calibri"/>
              <a:ea typeface="Calibri"/>
              <a:cs typeface="Calibri"/>
            </a:rPr>
            <a:pPr algn="ctr"/>
            <a:t>#REF!</a:t>
          </a:fld>
          <a:endParaRPr lang="en-GB" sz="1000">
            <a:solidFill>
              <a:schemeClr val="accent6">
                <a:lumMod val="20000"/>
                <a:lumOff val="80000"/>
              </a:schemeClr>
            </a:solidFill>
          </a:endParaRPr>
        </a:p>
      </xdr:txBody>
    </xdr:sp>
    <xdr:clientData/>
  </xdr:twoCellAnchor>
  <xdr:twoCellAnchor>
    <xdr:from>
      <xdr:col>7</xdr:col>
      <xdr:colOff>489856</xdr:colOff>
      <xdr:row>6</xdr:row>
      <xdr:rowOff>163286</xdr:rowOff>
    </xdr:from>
    <xdr:to>
      <xdr:col>11</xdr:col>
      <xdr:colOff>65314</xdr:colOff>
      <xdr:row>8</xdr:row>
      <xdr:rowOff>43543</xdr:rowOff>
    </xdr:to>
    <xdr:sp macro="" textlink="">
      <xdr:nvSpPr>
        <xdr:cNvPr id="29" name="TextBox 28">
          <a:extLst>
            <a:ext uri="{FF2B5EF4-FFF2-40B4-BE49-F238E27FC236}">
              <a16:creationId xmlns:a16="http://schemas.microsoft.com/office/drawing/2014/main" id="{0E93DD55-7DF5-2F2B-DF2B-7A6F4959D5B8}"/>
            </a:ext>
          </a:extLst>
        </xdr:cNvPr>
        <xdr:cNvSpPr txBox="1"/>
      </xdr:nvSpPr>
      <xdr:spPr>
        <a:xfrm>
          <a:off x="4757056" y="1273629"/>
          <a:ext cx="2013858"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a:solidFill>
                <a:schemeClr val="accent6">
                  <a:lumMod val="20000"/>
                  <a:lumOff val="80000"/>
                </a:schemeClr>
              </a:solidFill>
            </a:rPr>
            <a:t>Key</a:t>
          </a:r>
          <a:r>
            <a:rPr lang="en-GB" sz="1200" baseline="0">
              <a:solidFill>
                <a:schemeClr val="accent6">
                  <a:lumMod val="20000"/>
                  <a:lumOff val="80000"/>
                </a:schemeClr>
              </a:solidFill>
            </a:rPr>
            <a:t> Performance Indicators</a:t>
          </a:r>
          <a:endParaRPr lang="en-GB" sz="1200">
            <a:solidFill>
              <a:schemeClr val="accent6">
                <a:lumMod val="20000"/>
                <a:lumOff val="80000"/>
              </a:schemeClr>
            </a:solidFill>
          </a:endParaRPr>
        </a:p>
      </xdr:txBody>
    </xdr:sp>
    <xdr:clientData/>
  </xdr:twoCellAnchor>
  <xdr:twoCellAnchor>
    <xdr:from>
      <xdr:col>7</xdr:col>
      <xdr:colOff>489854</xdr:colOff>
      <xdr:row>8</xdr:row>
      <xdr:rowOff>87086</xdr:rowOff>
    </xdr:from>
    <xdr:to>
      <xdr:col>12</xdr:col>
      <xdr:colOff>283027</xdr:colOff>
      <xdr:row>10</xdr:row>
      <xdr:rowOff>32657</xdr:rowOff>
    </xdr:to>
    <xdr:sp macro="" textlink="">
      <xdr:nvSpPr>
        <xdr:cNvPr id="30" name="TextBox 29">
          <a:extLst>
            <a:ext uri="{FF2B5EF4-FFF2-40B4-BE49-F238E27FC236}">
              <a16:creationId xmlns:a16="http://schemas.microsoft.com/office/drawing/2014/main" id="{8EEB34D6-FB56-B3FF-1D7C-93B9964881DC}"/>
            </a:ext>
          </a:extLst>
        </xdr:cNvPr>
        <xdr:cNvSpPr txBox="1"/>
      </xdr:nvSpPr>
      <xdr:spPr>
        <a:xfrm>
          <a:off x="4757054" y="1567543"/>
          <a:ext cx="2841173"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1">
              <a:solidFill>
                <a:schemeClr val="accent6">
                  <a:lumMod val="20000"/>
                  <a:lumOff val="80000"/>
                </a:schemeClr>
              </a:solidFill>
            </a:rPr>
            <a:t>Overall</a:t>
          </a:r>
          <a:r>
            <a:rPr lang="en-GB" sz="1100" i="1" baseline="0">
              <a:solidFill>
                <a:schemeClr val="accent6">
                  <a:lumMod val="20000"/>
                  <a:lumOff val="80000"/>
                </a:schemeClr>
              </a:solidFill>
            </a:rPr>
            <a:t> health of the business across Q3</a:t>
          </a:r>
          <a:endParaRPr lang="en-GB" sz="1100" i="1">
            <a:solidFill>
              <a:schemeClr val="accent6">
                <a:lumMod val="20000"/>
                <a:lumOff val="80000"/>
              </a:schemeClr>
            </a:solidFill>
          </a:endParaRPr>
        </a:p>
      </xdr:txBody>
    </xdr:sp>
    <xdr:clientData/>
  </xdr:twoCellAnchor>
  <xdr:twoCellAnchor>
    <xdr:from>
      <xdr:col>7</xdr:col>
      <xdr:colOff>370114</xdr:colOff>
      <xdr:row>16</xdr:row>
      <xdr:rowOff>163286</xdr:rowOff>
    </xdr:from>
    <xdr:to>
      <xdr:col>12</xdr:col>
      <xdr:colOff>283027</xdr:colOff>
      <xdr:row>18</xdr:row>
      <xdr:rowOff>108857</xdr:rowOff>
    </xdr:to>
    <xdr:sp macro="" textlink="">
      <xdr:nvSpPr>
        <xdr:cNvPr id="31" name="TextBox 30">
          <a:extLst>
            <a:ext uri="{FF2B5EF4-FFF2-40B4-BE49-F238E27FC236}">
              <a16:creationId xmlns:a16="http://schemas.microsoft.com/office/drawing/2014/main" id="{F8AA5596-31DA-B022-0094-E49E04C85D9D}"/>
            </a:ext>
          </a:extLst>
        </xdr:cNvPr>
        <xdr:cNvSpPr txBox="1"/>
      </xdr:nvSpPr>
      <xdr:spPr>
        <a:xfrm>
          <a:off x="4637314" y="3124200"/>
          <a:ext cx="2960913"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0">
              <a:solidFill>
                <a:sysClr val="windowText" lastClr="000000"/>
              </a:solidFill>
            </a:rPr>
            <a:t>Movie</a:t>
          </a:r>
          <a:r>
            <a:rPr lang="en-GB" sz="1100" i="0" baseline="0">
              <a:solidFill>
                <a:sysClr val="windowText" lastClr="000000"/>
              </a:solidFill>
            </a:rPr>
            <a:t> </a:t>
          </a:r>
          <a:r>
            <a:rPr lang="en-GB" sz="1200" i="0" baseline="0">
              <a:solidFill>
                <a:sysClr val="windowText" lastClr="000000"/>
              </a:solidFill>
            </a:rPr>
            <a:t>Analysis</a:t>
          </a:r>
          <a:endParaRPr lang="en-GB" sz="1200" i="0">
            <a:solidFill>
              <a:sysClr val="windowText" lastClr="000000"/>
            </a:solidFill>
          </a:endParaRPr>
        </a:p>
      </xdr:txBody>
    </xdr:sp>
    <xdr:clientData/>
  </xdr:twoCellAnchor>
  <xdr:twoCellAnchor>
    <xdr:from>
      <xdr:col>7</xdr:col>
      <xdr:colOff>468082</xdr:colOff>
      <xdr:row>18</xdr:row>
      <xdr:rowOff>43542</xdr:rowOff>
    </xdr:from>
    <xdr:to>
      <xdr:col>13</xdr:col>
      <xdr:colOff>250371</xdr:colOff>
      <xdr:row>19</xdr:row>
      <xdr:rowOff>141514</xdr:rowOff>
    </xdr:to>
    <xdr:sp macro="" textlink="">
      <xdr:nvSpPr>
        <xdr:cNvPr id="32" name="TextBox 31">
          <a:extLst>
            <a:ext uri="{FF2B5EF4-FFF2-40B4-BE49-F238E27FC236}">
              <a16:creationId xmlns:a16="http://schemas.microsoft.com/office/drawing/2014/main" id="{4D7C19FF-4B62-4F98-D4AF-D18D609E37B6}"/>
            </a:ext>
          </a:extLst>
        </xdr:cNvPr>
        <xdr:cNvSpPr txBox="1"/>
      </xdr:nvSpPr>
      <xdr:spPr>
        <a:xfrm>
          <a:off x="4735282" y="3374571"/>
          <a:ext cx="343988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ysClr val="windowText" lastClr="000000"/>
              </a:solidFill>
            </a:rPr>
            <a:t>This</a:t>
          </a:r>
          <a:r>
            <a:rPr lang="en-GB" sz="900" b="1" i="1" baseline="0">
              <a:solidFill>
                <a:sysClr val="windowText" lastClr="000000"/>
              </a:solidFill>
            </a:rPr>
            <a:t> chat shows the perfomance of movies in Q3 based on revenue</a:t>
          </a:r>
          <a:endParaRPr lang="en-GB" sz="900" b="1" i="1">
            <a:solidFill>
              <a:sysClr val="windowText" lastClr="000000"/>
            </a:solidFill>
          </a:endParaRPr>
        </a:p>
      </xdr:txBody>
    </xdr:sp>
    <xdr:clientData/>
  </xdr:twoCellAnchor>
  <xdr:twoCellAnchor>
    <xdr:from>
      <xdr:col>14</xdr:col>
      <xdr:colOff>97972</xdr:colOff>
      <xdr:row>6</xdr:row>
      <xdr:rowOff>152400</xdr:rowOff>
    </xdr:from>
    <xdr:to>
      <xdr:col>19</xdr:col>
      <xdr:colOff>10886</xdr:colOff>
      <xdr:row>8</xdr:row>
      <xdr:rowOff>32658</xdr:rowOff>
    </xdr:to>
    <xdr:sp macro="" textlink="">
      <xdr:nvSpPr>
        <xdr:cNvPr id="35" name="TextBox 34">
          <a:extLst>
            <a:ext uri="{FF2B5EF4-FFF2-40B4-BE49-F238E27FC236}">
              <a16:creationId xmlns:a16="http://schemas.microsoft.com/office/drawing/2014/main" id="{EC986A65-AFB4-968C-E3C8-ACF6783BF706}"/>
            </a:ext>
          </a:extLst>
        </xdr:cNvPr>
        <xdr:cNvSpPr txBox="1"/>
      </xdr:nvSpPr>
      <xdr:spPr>
        <a:xfrm>
          <a:off x="8632372" y="1262743"/>
          <a:ext cx="2960914" cy="25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ysClr val="windowText" lastClr="000000"/>
              </a:solidFill>
            </a:rPr>
            <a:t>Weekly</a:t>
          </a:r>
          <a:r>
            <a:rPr lang="en-GB" sz="1200" i="0" baseline="0">
              <a:solidFill>
                <a:sysClr val="windowText" lastClr="000000"/>
              </a:solidFill>
            </a:rPr>
            <a:t> Trend Analysis</a:t>
          </a:r>
          <a:endParaRPr lang="en-GB" sz="1200" i="0">
            <a:solidFill>
              <a:sysClr val="windowText" lastClr="000000"/>
            </a:solidFill>
          </a:endParaRPr>
        </a:p>
      </xdr:txBody>
    </xdr:sp>
    <xdr:clientData/>
  </xdr:twoCellAnchor>
  <xdr:twoCellAnchor>
    <xdr:from>
      <xdr:col>14</xdr:col>
      <xdr:colOff>130625</xdr:colOff>
      <xdr:row>8</xdr:row>
      <xdr:rowOff>87086</xdr:rowOff>
    </xdr:from>
    <xdr:to>
      <xdr:col>19</xdr:col>
      <xdr:colOff>522514</xdr:colOff>
      <xdr:row>10</xdr:row>
      <xdr:rowOff>1</xdr:rowOff>
    </xdr:to>
    <xdr:sp macro="" textlink="">
      <xdr:nvSpPr>
        <xdr:cNvPr id="36" name="TextBox 35">
          <a:extLst>
            <a:ext uri="{FF2B5EF4-FFF2-40B4-BE49-F238E27FC236}">
              <a16:creationId xmlns:a16="http://schemas.microsoft.com/office/drawing/2014/main" id="{D5839077-154D-EDF5-B4F2-E5090AEF3D6F}"/>
            </a:ext>
          </a:extLst>
        </xdr:cNvPr>
        <xdr:cNvSpPr txBox="1"/>
      </xdr:nvSpPr>
      <xdr:spPr>
        <a:xfrm>
          <a:off x="8665025" y="1567543"/>
          <a:ext cx="343988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ysClr val="windowText" lastClr="000000"/>
              </a:solidFill>
            </a:rPr>
            <a:t>Identifies</a:t>
          </a:r>
          <a:r>
            <a:rPr lang="en-GB" sz="900" b="1" i="1" baseline="0">
              <a:solidFill>
                <a:sysClr val="windowText" lastClr="000000"/>
              </a:solidFill>
            </a:rPr>
            <a:t> the day of  the week with the most revenue</a:t>
          </a:r>
          <a:endParaRPr lang="en-GB" sz="900" b="1" i="1">
            <a:solidFill>
              <a:sysClr val="windowText" lastClr="000000"/>
            </a:solidFill>
          </a:endParaRPr>
        </a:p>
      </xdr:txBody>
    </xdr:sp>
    <xdr:clientData/>
  </xdr:twoCellAnchor>
  <xdr:twoCellAnchor>
    <xdr:from>
      <xdr:col>14</xdr:col>
      <xdr:colOff>119741</xdr:colOff>
      <xdr:row>20</xdr:row>
      <xdr:rowOff>76199</xdr:rowOff>
    </xdr:from>
    <xdr:to>
      <xdr:col>18</xdr:col>
      <xdr:colOff>511629</xdr:colOff>
      <xdr:row>21</xdr:row>
      <xdr:rowOff>152399</xdr:rowOff>
    </xdr:to>
    <xdr:sp macro="" textlink="">
      <xdr:nvSpPr>
        <xdr:cNvPr id="37" name="TextBox 36">
          <a:extLst>
            <a:ext uri="{FF2B5EF4-FFF2-40B4-BE49-F238E27FC236}">
              <a16:creationId xmlns:a16="http://schemas.microsoft.com/office/drawing/2014/main" id="{A06C412C-B4B0-31E9-90F0-F9BB21ECA9DD}"/>
            </a:ext>
          </a:extLst>
        </xdr:cNvPr>
        <xdr:cNvSpPr txBox="1"/>
      </xdr:nvSpPr>
      <xdr:spPr>
        <a:xfrm>
          <a:off x="8654141" y="3777342"/>
          <a:ext cx="2830288" cy="2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ysClr val="windowText" lastClr="000000"/>
              </a:solidFill>
            </a:rPr>
            <a:t>Showtime</a:t>
          </a:r>
          <a:r>
            <a:rPr lang="en-GB" sz="1200" i="0" baseline="0">
              <a:solidFill>
                <a:sysClr val="windowText" lastClr="000000"/>
              </a:solidFill>
            </a:rPr>
            <a:t> Based Analysis</a:t>
          </a:r>
          <a:endParaRPr lang="en-GB" sz="1200" i="0">
            <a:solidFill>
              <a:sysClr val="windowText" lastClr="000000"/>
            </a:solidFill>
          </a:endParaRPr>
        </a:p>
      </xdr:txBody>
    </xdr:sp>
    <xdr:clientData/>
  </xdr:twoCellAnchor>
  <xdr:twoCellAnchor>
    <xdr:from>
      <xdr:col>14</xdr:col>
      <xdr:colOff>141511</xdr:colOff>
      <xdr:row>21</xdr:row>
      <xdr:rowOff>152400</xdr:rowOff>
    </xdr:from>
    <xdr:to>
      <xdr:col>19</xdr:col>
      <xdr:colOff>533400</xdr:colOff>
      <xdr:row>23</xdr:row>
      <xdr:rowOff>65315</xdr:rowOff>
    </xdr:to>
    <xdr:sp macro="" textlink="">
      <xdr:nvSpPr>
        <xdr:cNvPr id="38" name="TextBox 37">
          <a:extLst>
            <a:ext uri="{FF2B5EF4-FFF2-40B4-BE49-F238E27FC236}">
              <a16:creationId xmlns:a16="http://schemas.microsoft.com/office/drawing/2014/main" id="{48832D3E-8D3B-D6EA-A7CF-B189A1B64EFB}"/>
            </a:ext>
          </a:extLst>
        </xdr:cNvPr>
        <xdr:cNvSpPr txBox="1"/>
      </xdr:nvSpPr>
      <xdr:spPr>
        <a:xfrm>
          <a:off x="8675911" y="4038600"/>
          <a:ext cx="343988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ysClr val="windowText" lastClr="000000"/>
              </a:solidFill>
            </a:rPr>
            <a:t>Shows</a:t>
          </a:r>
          <a:r>
            <a:rPr lang="en-GB" sz="900" b="1" i="1" baseline="0">
              <a:solidFill>
                <a:sysClr val="windowText" lastClr="000000"/>
              </a:solidFill>
            </a:rPr>
            <a:t> the time of the day with the most/least tickets sold</a:t>
          </a:r>
          <a:endParaRPr lang="en-GB" sz="900" b="1" i="1">
            <a:solidFill>
              <a:sysClr val="windowText" lastClr="000000"/>
            </a:solidFill>
          </a:endParaRPr>
        </a:p>
      </xdr:txBody>
    </xdr:sp>
    <xdr:clientData/>
  </xdr:twoCellAnchor>
  <xdr:twoCellAnchor>
    <xdr:from>
      <xdr:col>19</xdr:col>
      <xdr:colOff>446315</xdr:colOff>
      <xdr:row>6</xdr:row>
      <xdr:rowOff>130627</xdr:rowOff>
    </xdr:from>
    <xdr:to>
      <xdr:col>24</xdr:col>
      <xdr:colOff>457201</xdr:colOff>
      <xdr:row>9</xdr:row>
      <xdr:rowOff>21772</xdr:rowOff>
    </xdr:to>
    <xdr:sp macro="" textlink="">
      <xdr:nvSpPr>
        <xdr:cNvPr id="39" name="TextBox 38">
          <a:extLst>
            <a:ext uri="{FF2B5EF4-FFF2-40B4-BE49-F238E27FC236}">
              <a16:creationId xmlns:a16="http://schemas.microsoft.com/office/drawing/2014/main" id="{3A43F034-49F8-B88D-E4B3-66B4C2298DA3}"/>
            </a:ext>
          </a:extLst>
        </xdr:cNvPr>
        <xdr:cNvSpPr txBox="1"/>
      </xdr:nvSpPr>
      <xdr:spPr>
        <a:xfrm>
          <a:off x="12028715" y="1240970"/>
          <a:ext cx="3058886" cy="446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0">
              <a:solidFill>
                <a:sysClr val="windowText" lastClr="000000"/>
              </a:solidFill>
            </a:rPr>
            <a:t>Revenue</a:t>
          </a:r>
          <a:r>
            <a:rPr lang="en-GB" sz="1100" i="0" baseline="0">
              <a:solidFill>
                <a:sysClr val="windowText" lastClr="000000"/>
              </a:solidFill>
            </a:rPr>
            <a:t> Contribution Based on Ticket Category</a:t>
          </a:r>
          <a:endParaRPr lang="en-GB" sz="1100" i="0">
            <a:solidFill>
              <a:sysClr val="windowText" lastClr="000000"/>
            </a:solidFill>
          </a:endParaRPr>
        </a:p>
      </xdr:txBody>
    </xdr:sp>
    <xdr:clientData/>
  </xdr:twoCellAnchor>
  <xdr:twoCellAnchor>
    <xdr:from>
      <xdr:col>19</xdr:col>
      <xdr:colOff>457197</xdr:colOff>
      <xdr:row>8</xdr:row>
      <xdr:rowOff>54430</xdr:rowOff>
    </xdr:from>
    <xdr:to>
      <xdr:col>25</xdr:col>
      <xdr:colOff>239486</xdr:colOff>
      <xdr:row>9</xdr:row>
      <xdr:rowOff>152402</xdr:rowOff>
    </xdr:to>
    <xdr:sp macro="" textlink="">
      <xdr:nvSpPr>
        <xdr:cNvPr id="40" name="TextBox 39">
          <a:extLst>
            <a:ext uri="{FF2B5EF4-FFF2-40B4-BE49-F238E27FC236}">
              <a16:creationId xmlns:a16="http://schemas.microsoft.com/office/drawing/2014/main" id="{92E39809-DD6B-7623-E251-050A185A0530}"/>
            </a:ext>
          </a:extLst>
        </xdr:cNvPr>
        <xdr:cNvSpPr txBox="1"/>
      </xdr:nvSpPr>
      <xdr:spPr>
        <a:xfrm>
          <a:off x="12039597" y="1534887"/>
          <a:ext cx="3439889"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b="1" i="1">
              <a:solidFill>
                <a:sysClr val="windowText" lastClr="000000"/>
              </a:solidFill>
            </a:rPr>
            <a:t>Compares</a:t>
          </a:r>
          <a:r>
            <a:rPr lang="en-GB" sz="1000" b="1" i="1" baseline="0">
              <a:solidFill>
                <a:sysClr val="windowText" lastClr="000000"/>
              </a:solidFill>
            </a:rPr>
            <a:t> the revenue across the ticket categories</a:t>
          </a:r>
          <a:endParaRPr lang="en-GB" sz="1000" b="1" i="1">
            <a:solidFill>
              <a:sysClr val="windowText" lastClr="000000"/>
            </a:solidFill>
          </a:endParaRPr>
        </a:p>
      </xdr:txBody>
    </xdr:sp>
    <xdr:clientData/>
  </xdr:twoCellAnchor>
  <xdr:twoCellAnchor>
    <xdr:from>
      <xdr:col>20</xdr:col>
      <xdr:colOff>32658</xdr:colOff>
      <xdr:row>21</xdr:row>
      <xdr:rowOff>0</xdr:rowOff>
    </xdr:from>
    <xdr:to>
      <xdr:col>24</xdr:col>
      <xdr:colOff>555172</xdr:colOff>
      <xdr:row>22</xdr:row>
      <xdr:rowOff>65315</xdr:rowOff>
    </xdr:to>
    <xdr:sp macro="" textlink="">
      <xdr:nvSpPr>
        <xdr:cNvPr id="41" name="TextBox 40">
          <a:extLst>
            <a:ext uri="{FF2B5EF4-FFF2-40B4-BE49-F238E27FC236}">
              <a16:creationId xmlns:a16="http://schemas.microsoft.com/office/drawing/2014/main" id="{138E89B4-9D32-2C17-1D92-A8470D5DED37}"/>
            </a:ext>
          </a:extLst>
        </xdr:cNvPr>
        <xdr:cNvSpPr txBox="1"/>
      </xdr:nvSpPr>
      <xdr:spPr>
        <a:xfrm>
          <a:off x="12224658" y="3886200"/>
          <a:ext cx="2960914" cy="25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ysClr val="windowText" lastClr="000000"/>
              </a:solidFill>
            </a:rPr>
            <a:t>Location</a:t>
          </a:r>
          <a:r>
            <a:rPr lang="en-GB" sz="1200" i="0" baseline="0">
              <a:solidFill>
                <a:sysClr val="windowText" lastClr="000000"/>
              </a:solidFill>
            </a:rPr>
            <a:t> Based Analysis</a:t>
          </a:r>
          <a:endParaRPr lang="en-GB" sz="1200" i="0">
            <a:solidFill>
              <a:sysClr val="windowText" lastClr="000000"/>
            </a:solidFill>
          </a:endParaRPr>
        </a:p>
      </xdr:txBody>
    </xdr:sp>
    <xdr:clientData/>
  </xdr:twoCellAnchor>
  <xdr:twoCellAnchor>
    <xdr:from>
      <xdr:col>19</xdr:col>
      <xdr:colOff>598710</xdr:colOff>
      <xdr:row>22</xdr:row>
      <xdr:rowOff>43544</xdr:rowOff>
    </xdr:from>
    <xdr:to>
      <xdr:col>25</xdr:col>
      <xdr:colOff>326571</xdr:colOff>
      <xdr:row>23</xdr:row>
      <xdr:rowOff>141515</xdr:rowOff>
    </xdr:to>
    <xdr:sp macro="" textlink="">
      <xdr:nvSpPr>
        <xdr:cNvPr id="42" name="TextBox 41">
          <a:extLst>
            <a:ext uri="{FF2B5EF4-FFF2-40B4-BE49-F238E27FC236}">
              <a16:creationId xmlns:a16="http://schemas.microsoft.com/office/drawing/2014/main" id="{3D2CACC0-8349-3AAF-E30A-2E893E9D1759}"/>
            </a:ext>
          </a:extLst>
        </xdr:cNvPr>
        <xdr:cNvSpPr txBox="1"/>
      </xdr:nvSpPr>
      <xdr:spPr>
        <a:xfrm>
          <a:off x="12181110" y="4114801"/>
          <a:ext cx="338546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ysClr val="windowText" lastClr="000000"/>
              </a:solidFill>
            </a:rPr>
            <a:t>T</a:t>
          </a:r>
          <a:r>
            <a:rPr lang="en-GB" sz="900" b="1" i="1" baseline="0">
              <a:solidFill>
                <a:sysClr val="windowText" lastClr="000000"/>
              </a:solidFill>
            </a:rPr>
            <a:t>racks the </a:t>
          </a:r>
          <a:r>
            <a:rPr lang="en-GB" sz="1000" b="1" i="1" baseline="0">
              <a:solidFill>
                <a:sysClr val="windowText" lastClr="000000"/>
              </a:solidFill>
            </a:rPr>
            <a:t>revenue</a:t>
          </a:r>
          <a:r>
            <a:rPr lang="en-GB" sz="900" b="1" i="1" baseline="0">
              <a:solidFill>
                <a:sysClr val="windowText" lastClr="000000"/>
              </a:solidFill>
            </a:rPr>
            <a:t> across different states in the US</a:t>
          </a:r>
          <a:endParaRPr lang="en-GB" sz="900" b="1" i="1">
            <a:solidFill>
              <a:sysClr val="windowText" lastClr="000000"/>
            </a:solidFill>
          </a:endParaRPr>
        </a:p>
      </xdr:txBody>
    </xdr:sp>
    <xdr:clientData/>
  </xdr:twoCellAnchor>
  <xdr:twoCellAnchor editAs="oneCell">
    <xdr:from>
      <xdr:col>7</xdr:col>
      <xdr:colOff>391887</xdr:colOff>
      <xdr:row>4</xdr:row>
      <xdr:rowOff>48831</xdr:rowOff>
    </xdr:from>
    <xdr:to>
      <xdr:col>8</xdr:col>
      <xdr:colOff>217714</xdr:colOff>
      <xdr:row>6</xdr:row>
      <xdr:rowOff>37631</xdr:rowOff>
    </xdr:to>
    <xdr:pic>
      <xdr:nvPicPr>
        <xdr:cNvPr id="47" name="Picture 46">
          <a:extLst>
            <a:ext uri="{FF2B5EF4-FFF2-40B4-BE49-F238E27FC236}">
              <a16:creationId xmlns:a16="http://schemas.microsoft.com/office/drawing/2014/main" id="{B3629E9E-E203-6FF6-5968-FD682E8758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659087" y="789060"/>
          <a:ext cx="435427" cy="358914"/>
        </a:xfrm>
        <a:prstGeom prst="rect">
          <a:avLst/>
        </a:prstGeom>
      </xdr:spPr>
    </xdr:pic>
    <xdr:clientData/>
  </xdr:twoCellAnchor>
  <xdr:twoCellAnchor>
    <xdr:from>
      <xdr:col>8</xdr:col>
      <xdr:colOff>402769</xdr:colOff>
      <xdr:row>4</xdr:row>
      <xdr:rowOff>87087</xdr:rowOff>
    </xdr:from>
    <xdr:to>
      <xdr:col>12</xdr:col>
      <xdr:colOff>315686</xdr:colOff>
      <xdr:row>5</xdr:row>
      <xdr:rowOff>119743</xdr:rowOff>
    </xdr:to>
    <xdr:sp macro="" textlink="">
      <xdr:nvSpPr>
        <xdr:cNvPr id="49" name="TextBox 48">
          <a:extLst>
            <a:ext uri="{FF2B5EF4-FFF2-40B4-BE49-F238E27FC236}">
              <a16:creationId xmlns:a16="http://schemas.microsoft.com/office/drawing/2014/main" id="{5A0A1717-1FB3-4025-DD5A-115CD106C034}"/>
            </a:ext>
          </a:extLst>
        </xdr:cNvPr>
        <xdr:cNvSpPr txBox="1"/>
      </xdr:nvSpPr>
      <xdr:spPr>
        <a:xfrm>
          <a:off x="5279569" y="827316"/>
          <a:ext cx="2351317"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a:solidFill>
                <a:sysClr val="windowText" lastClr="000000"/>
              </a:solidFill>
            </a:rPr>
            <a:t>FILMax</a:t>
          </a:r>
          <a:r>
            <a:rPr lang="en-GB" sz="1200" b="1" baseline="0">
              <a:solidFill>
                <a:sysClr val="windowText" lastClr="000000"/>
              </a:solidFill>
            </a:rPr>
            <a:t>    Q3 - SALES OVERVIEW</a:t>
          </a:r>
          <a:endParaRPr lang="en-GB" sz="1200" b="1">
            <a:solidFill>
              <a:sysClr val="windowText" lastClr="000000"/>
            </a:solidFill>
          </a:endParaRPr>
        </a:p>
      </xdr:txBody>
    </xdr:sp>
    <xdr:clientData/>
  </xdr:twoCellAnchor>
  <xdr:twoCellAnchor editAs="oneCell">
    <xdr:from>
      <xdr:col>20</xdr:col>
      <xdr:colOff>315686</xdr:colOff>
      <xdr:row>3</xdr:row>
      <xdr:rowOff>174172</xdr:rowOff>
    </xdr:from>
    <xdr:to>
      <xdr:col>23</xdr:col>
      <xdr:colOff>315686</xdr:colOff>
      <xdr:row>6</xdr:row>
      <xdr:rowOff>21770</xdr:rowOff>
    </xdr:to>
    <mc:AlternateContent xmlns:mc="http://schemas.openxmlformats.org/markup-compatibility/2006" xmlns:a14="http://schemas.microsoft.com/office/drawing/2010/main">
      <mc:Choice Requires="a14">
        <xdr:graphicFrame macro="">
          <xdr:nvGraphicFramePr>
            <xdr:cNvPr id="51" name="Month 1">
              <a:extLst>
                <a:ext uri="{FF2B5EF4-FFF2-40B4-BE49-F238E27FC236}">
                  <a16:creationId xmlns:a16="http://schemas.microsoft.com/office/drawing/2014/main" id="{ACD703AA-6EEE-4169-A8B5-869DA7150BD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507686" y="729343"/>
              <a:ext cx="1828800" cy="4027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478972</xdr:colOff>
      <xdr:row>4</xdr:row>
      <xdr:rowOff>53942</xdr:rowOff>
    </xdr:from>
    <xdr:to>
      <xdr:col>24</xdr:col>
      <xdr:colOff>424544</xdr:colOff>
      <xdr:row>5</xdr:row>
      <xdr:rowOff>142327</xdr:rowOff>
    </xdr:to>
    <xdr:pic>
      <xdr:nvPicPr>
        <xdr:cNvPr id="55" name="Picture 54">
          <a:hlinkClick xmlns:r="http://schemas.openxmlformats.org/officeDocument/2006/relationships" r:id="rId7"/>
          <a:extLst>
            <a:ext uri="{FF2B5EF4-FFF2-40B4-BE49-F238E27FC236}">
              <a16:creationId xmlns:a16="http://schemas.microsoft.com/office/drawing/2014/main" id="{0A91851F-D714-E49D-B72E-CEF204772FF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499772" y="794171"/>
          <a:ext cx="555172" cy="273442"/>
        </a:xfrm>
        <a:prstGeom prst="rect">
          <a:avLst/>
        </a:prstGeom>
      </xdr:spPr>
    </xdr:pic>
    <xdr:clientData/>
  </xdr:twoCellAnchor>
  <xdr:twoCellAnchor>
    <xdr:from>
      <xdr:col>21</xdr:col>
      <xdr:colOff>228597</xdr:colOff>
      <xdr:row>29</xdr:row>
      <xdr:rowOff>43545</xdr:rowOff>
    </xdr:from>
    <xdr:to>
      <xdr:col>22</xdr:col>
      <xdr:colOff>174172</xdr:colOff>
      <xdr:row>30</xdr:row>
      <xdr:rowOff>76201</xdr:rowOff>
    </xdr:to>
    <xdr:sp macro="" textlink="">
      <xdr:nvSpPr>
        <xdr:cNvPr id="56" name="TextBox 55">
          <a:extLst>
            <a:ext uri="{FF2B5EF4-FFF2-40B4-BE49-F238E27FC236}">
              <a16:creationId xmlns:a16="http://schemas.microsoft.com/office/drawing/2014/main" id="{199FE47D-BBF4-4D33-FE40-FAF0397E3972}"/>
            </a:ext>
          </a:extLst>
        </xdr:cNvPr>
        <xdr:cNvSpPr txBox="1"/>
      </xdr:nvSpPr>
      <xdr:spPr>
        <a:xfrm>
          <a:off x="13030197" y="5410202"/>
          <a:ext cx="555175"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a:solidFill>
                <a:sysClr val="windowText" lastClr="000000"/>
              </a:solidFill>
            </a:rPr>
            <a:t>Texas</a:t>
          </a:r>
        </a:p>
      </xdr:txBody>
    </xdr:sp>
    <xdr:clientData/>
  </xdr:twoCellAnchor>
  <xdr:twoCellAnchor>
    <xdr:from>
      <xdr:col>22</xdr:col>
      <xdr:colOff>533400</xdr:colOff>
      <xdr:row>35</xdr:row>
      <xdr:rowOff>0</xdr:rowOff>
    </xdr:from>
    <xdr:to>
      <xdr:col>24</xdr:col>
      <xdr:colOff>478974</xdr:colOff>
      <xdr:row>36</xdr:row>
      <xdr:rowOff>32655</xdr:rowOff>
    </xdr:to>
    <xdr:sp macro="" textlink="Date">
      <xdr:nvSpPr>
        <xdr:cNvPr id="58" name="TextBox 57">
          <a:extLst>
            <a:ext uri="{FF2B5EF4-FFF2-40B4-BE49-F238E27FC236}">
              <a16:creationId xmlns:a16="http://schemas.microsoft.com/office/drawing/2014/main" id="{BB706B8A-D236-4A7A-A171-F952E58C406A}"/>
            </a:ext>
          </a:extLst>
        </xdr:cNvPr>
        <xdr:cNvSpPr txBox="1"/>
      </xdr:nvSpPr>
      <xdr:spPr>
        <a:xfrm>
          <a:off x="13944600" y="6477000"/>
          <a:ext cx="1164774" cy="21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3E16C7A-9BFA-4BEB-AB68-160661C1577E}" type="TxLink">
            <a:rPr lang="en-US" sz="1100" b="0" i="0" u="none" strike="noStrike">
              <a:solidFill>
                <a:schemeClr val="tx1"/>
              </a:solidFill>
              <a:latin typeface="Calibri"/>
              <a:ea typeface="Calibri"/>
              <a:cs typeface="Calibri"/>
            </a:rPr>
            <a:pPr algn="l"/>
            <a:t>24 July 2026</a:t>
          </a:fld>
          <a:endParaRPr lang="en-GB" sz="12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583474</xdr:colOff>
      <xdr:row>2</xdr:row>
      <xdr:rowOff>120832</xdr:rowOff>
    </xdr:from>
    <xdr:to>
      <xdr:col>25</xdr:col>
      <xdr:colOff>60960</xdr:colOff>
      <xdr:row>35</xdr:row>
      <xdr:rowOff>142603</xdr:rowOff>
    </xdr:to>
    <xdr:sp macro="" textlink="">
      <xdr:nvSpPr>
        <xdr:cNvPr id="2" name="Rectangle: Rounded Corners 1">
          <a:extLst>
            <a:ext uri="{FF2B5EF4-FFF2-40B4-BE49-F238E27FC236}">
              <a16:creationId xmlns:a16="http://schemas.microsoft.com/office/drawing/2014/main" id="{F0B4BE70-8806-4532-99DE-0AB027D0BBB7}"/>
            </a:ext>
          </a:extLst>
        </xdr:cNvPr>
        <xdr:cNvSpPr/>
      </xdr:nvSpPr>
      <xdr:spPr>
        <a:xfrm>
          <a:off x="4241074" y="486592"/>
          <a:ext cx="11059886" cy="6056811"/>
        </a:xfrm>
        <a:prstGeom prst="roundRect">
          <a:avLst>
            <a:gd name="adj" fmla="val 3429"/>
          </a:avLst>
        </a:prstGeom>
        <a:solidFill>
          <a:schemeClr val="tx1"/>
        </a:solidFill>
        <a:ln>
          <a:no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7</xdr:col>
      <xdr:colOff>348343</xdr:colOff>
      <xdr:row>6</xdr:row>
      <xdr:rowOff>65314</xdr:rowOff>
    </xdr:from>
    <xdr:to>
      <xdr:col>13</xdr:col>
      <xdr:colOff>457200</xdr:colOff>
      <xdr:row>15</xdr:row>
      <xdr:rowOff>163286</xdr:rowOff>
    </xdr:to>
    <xdr:sp macro="" textlink="">
      <xdr:nvSpPr>
        <xdr:cNvPr id="3" name="Rectangle: Rounded Corners 2">
          <a:extLst>
            <a:ext uri="{FF2B5EF4-FFF2-40B4-BE49-F238E27FC236}">
              <a16:creationId xmlns:a16="http://schemas.microsoft.com/office/drawing/2014/main" id="{9C93B843-EB1D-4D6C-8D2A-5B2323FD65D1}"/>
            </a:ext>
          </a:extLst>
        </xdr:cNvPr>
        <xdr:cNvSpPr/>
      </xdr:nvSpPr>
      <xdr:spPr>
        <a:xfrm>
          <a:off x="4615543" y="1162594"/>
          <a:ext cx="3766457" cy="1743892"/>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304800</xdr:colOff>
      <xdr:row>16</xdr:row>
      <xdr:rowOff>87088</xdr:rowOff>
    </xdr:from>
    <xdr:to>
      <xdr:col>13</xdr:col>
      <xdr:colOff>478972</xdr:colOff>
      <xdr:row>34</xdr:row>
      <xdr:rowOff>76200</xdr:rowOff>
    </xdr:to>
    <xdr:sp macro="" textlink="">
      <xdr:nvSpPr>
        <xdr:cNvPr id="4" name="Rectangle: Rounded Corners 3">
          <a:extLst>
            <a:ext uri="{FF2B5EF4-FFF2-40B4-BE49-F238E27FC236}">
              <a16:creationId xmlns:a16="http://schemas.microsoft.com/office/drawing/2014/main" id="{86275AFE-781C-486B-BC00-56EA1E871945}"/>
            </a:ext>
          </a:extLst>
        </xdr:cNvPr>
        <xdr:cNvSpPr/>
      </xdr:nvSpPr>
      <xdr:spPr>
        <a:xfrm>
          <a:off x="4572000" y="3013168"/>
          <a:ext cx="3831772" cy="3280952"/>
        </a:xfrm>
        <a:prstGeom prst="roundRect">
          <a:avLst>
            <a:gd name="adj" fmla="val 4181"/>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457200</xdr:colOff>
      <xdr:row>6</xdr:row>
      <xdr:rowOff>21772</xdr:rowOff>
    </xdr:from>
    <xdr:to>
      <xdr:col>24</xdr:col>
      <xdr:colOff>511628</xdr:colOff>
      <xdr:row>34</xdr:row>
      <xdr:rowOff>152400</xdr:rowOff>
    </xdr:to>
    <xdr:sp macro="" textlink="">
      <xdr:nvSpPr>
        <xdr:cNvPr id="5" name="Rectangle: Rounded Corners 4">
          <a:extLst>
            <a:ext uri="{FF2B5EF4-FFF2-40B4-BE49-F238E27FC236}">
              <a16:creationId xmlns:a16="http://schemas.microsoft.com/office/drawing/2014/main" id="{715B7A94-0CAF-4983-A693-2CF7E0A6F4CD}"/>
            </a:ext>
          </a:extLst>
        </xdr:cNvPr>
        <xdr:cNvSpPr/>
      </xdr:nvSpPr>
      <xdr:spPr>
        <a:xfrm>
          <a:off x="12039600" y="1119052"/>
          <a:ext cx="3102428" cy="5251268"/>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54429</xdr:colOff>
      <xdr:row>6</xdr:row>
      <xdr:rowOff>54429</xdr:rowOff>
    </xdr:from>
    <xdr:to>
      <xdr:col>19</xdr:col>
      <xdr:colOff>304800</xdr:colOff>
      <xdr:row>19</xdr:row>
      <xdr:rowOff>174171</xdr:rowOff>
    </xdr:to>
    <xdr:sp macro="" textlink="">
      <xdr:nvSpPr>
        <xdr:cNvPr id="6" name="Rectangle: Rounded Corners 5">
          <a:extLst>
            <a:ext uri="{FF2B5EF4-FFF2-40B4-BE49-F238E27FC236}">
              <a16:creationId xmlns:a16="http://schemas.microsoft.com/office/drawing/2014/main" id="{A40710BD-FBF2-4F0F-BDBD-B3134A5C84AB}"/>
            </a:ext>
          </a:extLst>
        </xdr:cNvPr>
        <xdr:cNvSpPr/>
      </xdr:nvSpPr>
      <xdr:spPr>
        <a:xfrm>
          <a:off x="8588829" y="1151709"/>
          <a:ext cx="3298371" cy="2497182"/>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65313</xdr:colOff>
      <xdr:row>20</xdr:row>
      <xdr:rowOff>87086</xdr:rowOff>
    </xdr:from>
    <xdr:to>
      <xdr:col>19</xdr:col>
      <xdr:colOff>304800</xdr:colOff>
      <xdr:row>34</xdr:row>
      <xdr:rowOff>108858</xdr:rowOff>
    </xdr:to>
    <xdr:sp macro="" textlink="">
      <xdr:nvSpPr>
        <xdr:cNvPr id="7" name="Rectangle: Rounded Corners 6">
          <a:extLst>
            <a:ext uri="{FF2B5EF4-FFF2-40B4-BE49-F238E27FC236}">
              <a16:creationId xmlns:a16="http://schemas.microsoft.com/office/drawing/2014/main" id="{B893F17A-6F3C-458E-8069-69D826DD3D65}"/>
            </a:ext>
          </a:extLst>
        </xdr:cNvPr>
        <xdr:cNvSpPr/>
      </xdr:nvSpPr>
      <xdr:spPr>
        <a:xfrm>
          <a:off x="8599713" y="3744686"/>
          <a:ext cx="3287487" cy="2582092"/>
        </a:xfrm>
        <a:prstGeom prst="roundRect">
          <a:avLst>
            <a:gd name="adj" fmla="val 3429"/>
          </a:avLst>
        </a:prstGeom>
        <a:noFill/>
        <a:ln w="3175">
          <a:solidFill>
            <a:srgbClr val="42573E">
              <a:alpha val="40000"/>
            </a:srgbClr>
          </a:solidFill>
        </a:ln>
        <a:effectLst>
          <a:outerShdw blurRad="63500" sx="101000" sy="101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468085</xdr:colOff>
      <xdr:row>6</xdr:row>
      <xdr:rowOff>130629</xdr:rowOff>
    </xdr:from>
    <xdr:to>
      <xdr:col>13</xdr:col>
      <xdr:colOff>381000</xdr:colOff>
      <xdr:row>15</xdr:row>
      <xdr:rowOff>108857</xdr:rowOff>
    </xdr:to>
    <xdr:sp macro="" textlink="">
      <xdr:nvSpPr>
        <xdr:cNvPr id="8" name="Rectangle: Rounded Corners 7">
          <a:extLst>
            <a:ext uri="{FF2B5EF4-FFF2-40B4-BE49-F238E27FC236}">
              <a16:creationId xmlns:a16="http://schemas.microsoft.com/office/drawing/2014/main" id="{CD42C0A5-B720-4E4B-8CA7-E099C7EF91FB}"/>
            </a:ext>
          </a:extLst>
        </xdr:cNvPr>
        <xdr:cNvSpPr/>
      </xdr:nvSpPr>
      <xdr:spPr>
        <a:xfrm>
          <a:off x="4735285" y="1227909"/>
          <a:ext cx="3570515" cy="1624148"/>
        </a:xfrm>
        <a:prstGeom prst="roundRect">
          <a:avLst>
            <a:gd name="adj" fmla="val 3429"/>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7</xdr:col>
      <xdr:colOff>468085</xdr:colOff>
      <xdr:row>18</xdr:row>
      <xdr:rowOff>119740</xdr:rowOff>
    </xdr:from>
    <xdr:to>
      <xdr:col>13</xdr:col>
      <xdr:colOff>304800</xdr:colOff>
      <xdr:row>33</xdr:row>
      <xdr:rowOff>87084</xdr:rowOff>
    </xdr:to>
    <xdr:sp macro="" textlink="">
      <xdr:nvSpPr>
        <xdr:cNvPr id="9" name="Rectangle: Rounded Corners 8">
          <a:extLst>
            <a:ext uri="{FF2B5EF4-FFF2-40B4-BE49-F238E27FC236}">
              <a16:creationId xmlns:a16="http://schemas.microsoft.com/office/drawing/2014/main" id="{91A006AF-3EF7-44C7-884A-A1BCC4792BA6}"/>
            </a:ext>
          </a:extLst>
        </xdr:cNvPr>
        <xdr:cNvSpPr/>
      </xdr:nvSpPr>
      <xdr:spPr>
        <a:xfrm>
          <a:off x="4735285" y="3411580"/>
          <a:ext cx="3494315" cy="2710544"/>
        </a:xfrm>
        <a:prstGeom prst="roundRect">
          <a:avLst>
            <a:gd name="adj" fmla="val 3429"/>
          </a:avLst>
        </a:prstGeom>
        <a:solidFill>
          <a:srgbClr val="16161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130628</xdr:colOff>
      <xdr:row>10</xdr:row>
      <xdr:rowOff>65316</xdr:rowOff>
    </xdr:from>
    <xdr:to>
      <xdr:col>19</xdr:col>
      <xdr:colOff>152400</xdr:colOff>
      <xdr:row>19</xdr:row>
      <xdr:rowOff>97971</xdr:rowOff>
    </xdr:to>
    <xdr:sp macro="" textlink="">
      <xdr:nvSpPr>
        <xdr:cNvPr id="10" name="Rectangle: Rounded Corners 9">
          <a:extLst>
            <a:ext uri="{FF2B5EF4-FFF2-40B4-BE49-F238E27FC236}">
              <a16:creationId xmlns:a16="http://schemas.microsoft.com/office/drawing/2014/main" id="{F6F03234-F170-479D-95B2-BE8852A686F5}"/>
            </a:ext>
          </a:extLst>
        </xdr:cNvPr>
        <xdr:cNvSpPr/>
      </xdr:nvSpPr>
      <xdr:spPr>
        <a:xfrm>
          <a:off x="8665028" y="1894116"/>
          <a:ext cx="3069772" cy="1678575"/>
        </a:xfrm>
        <a:prstGeom prst="roundRect">
          <a:avLst>
            <a:gd name="adj" fmla="val 3429"/>
          </a:avLst>
        </a:prstGeom>
        <a:solidFill>
          <a:srgbClr val="16161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185057</xdr:colOff>
      <xdr:row>23</xdr:row>
      <xdr:rowOff>76200</xdr:rowOff>
    </xdr:from>
    <xdr:to>
      <xdr:col>19</xdr:col>
      <xdr:colOff>65314</xdr:colOff>
      <xdr:row>34</xdr:row>
      <xdr:rowOff>54428</xdr:rowOff>
    </xdr:to>
    <xdr:sp macro="" textlink="">
      <xdr:nvSpPr>
        <xdr:cNvPr id="11" name="Rectangle: Rounded Corners 10">
          <a:extLst>
            <a:ext uri="{FF2B5EF4-FFF2-40B4-BE49-F238E27FC236}">
              <a16:creationId xmlns:a16="http://schemas.microsoft.com/office/drawing/2014/main" id="{09069CB9-476F-4A1A-B2FD-6BCE194D2DF7}"/>
            </a:ext>
          </a:extLst>
        </xdr:cNvPr>
        <xdr:cNvSpPr/>
      </xdr:nvSpPr>
      <xdr:spPr>
        <a:xfrm>
          <a:off x="8719457" y="4282440"/>
          <a:ext cx="2928257" cy="1989908"/>
        </a:xfrm>
        <a:prstGeom prst="roundRect">
          <a:avLst>
            <a:gd name="adj" fmla="val 3429"/>
          </a:avLst>
        </a:prstGeom>
        <a:solidFill>
          <a:srgbClr val="16161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21773</xdr:colOff>
      <xdr:row>10</xdr:row>
      <xdr:rowOff>76200</xdr:rowOff>
    </xdr:from>
    <xdr:to>
      <xdr:col>24</xdr:col>
      <xdr:colOff>370114</xdr:colOff>
      <xdr:row>34</xdr:row>
      <xdr:rowOff>54428</xdr:rowOff>
    </xdr:to>
    <xdr:sp macro="" textlink="">
      <xdr:nvSpPr>
        <xdr:cNvPr id="12" name="Rectangle: Rounded Corners 11">
          <a:extLst>
            <a:ext uri="{FF2B5EF4-FFF2-40B4-BE49-F238E27FC236}">
              <a16:creationId xmlns:a16="http://schemas.microsoft.com/office/drawing/2014/main" id="{1A8CE4D8-5CCF-4F09-97EC-2635D1B95275}"/>
            </a:ext>
          </a:extLst>
        </xdr:cNvPr>
        <xdr:cNvSpPr/>
      </xdr:nvSpPr>
      <xdr:spPr>
        <a:xfrm>
          <a:off x="12213773" y="1905000"/>
          <a:ext cx="2786741" cy="4367348"/>
        </a:xfrm>
        <a:prstGeom prst="roundRect">
          <a:avLst>
            <a:gd name="adj" fmla="val 3429"/>
          </a:avLst>
        </a:prstGeom>
        <a:solidFill>
          <a:srgbClr val="16161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141515</xdr:colOff>
      <xdr:row>7</xdr:row>
      <xdr:rowOff>174173</xdr:rowOff>
    </xdr:from>
    <xdr:to>
      <xdr:col>19</xdr:col>
      <xdr:colOff>87087</xdr:colOff>
      <xdr:row>19</xdr:row>
      <xdr:rowOff>141515</xdr:rowOff>
    </xdr:to>
    <xdr:graphicFrame macro="">
      <xdr:nvGraphicFramePr>
        <xdr:cNvPr id="13" name="Chart 12">
          <a:extLst>
            <a:ext uri="{FF2B5EF4-FFF2-40B4-BE49-F238E27FC236}">
              <a16:creationId xmlns:a16="http://schemas.microsoft.com/office/drawing/2014/main" id="{690F0F34-9C75-4B35-A536-D1BCB9FB7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435429</xdr:colOff>
      <xdr:row>18</xdr:row>
      <xdr:rowOff>87083</xdr:rowOff>
    </xdr:from>
    <xdr:to>
      <xdr:col>13</xdr:col>
      <xdr:colOff>130628</xdr:colOff>
      <xdr:row>33</xdr:row>
      <xdr:rowOff>119744</xdr:rowOff>
    </xdr:to>
    <xdr:graphicFrame macro="">
      <xdr:nvGraphicFramePr>
        <xdr:cNvPr id="14" name="Chart 13">
          <a:extLst>
            <a:ext uri="{FF2B5EF4-FFF2-40B4-BE49-F238E27FC236}">
              <a16:creationId xmlns:a16="http://schemas.microsoft.com/office/drawing/2014/main" id="{B9ED5DF8-666D-4D69-B8B9-B3275B09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217714</xdr:colOff>
      <xdr:row>23</xdr:row>
      <xdr:rowOff>54429</xdr:rowOff>
    </xdr:from>
    <xdr:to>
      <xdr:col>24</xdr:col>
      <xdr:colOff>326572</xdr:colOff>
      <xdr:row>33</xdr:row>
      <xdr:rowOff>104503</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ECD75EB1-9D44-4C72-9B15-9495659DD6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409714" y="4260669"/>
              <a:ext cx="2547258" cy="18788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283028</xdr:colOff>
      <xdr:row>23</xdr:row>
      <xdr:rowOff>10884</xdr:rowOff>
    </xdr:from>
    <xdr:to>
      <xdr:col>19</xdr:col>
      <xdr:colOff>217714</xdr:colOff>
      <xdr:row>33</xdr:row>
      <xdr:rowOff>163285</xdr:rowOff>
    </xdr:to>
    <xdr:graphicFrame macro="">
      <xdr:nvGraphicFramePr>
        <xdr:cNvPr id="16" name="Chart 15">
          <a:extLst>
            <a:ext uri="{FF2B5EF4-FFF2-40B4-BE49-F238E27FC236}">
              <a16:creationId xmlns:a16="http://schemas.microsoft.com/office/drawing/2014/main" id="{BBF8D084-59A3-43E3-955C-6F9CBF876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119742</xdr:colOff>
      <xdr:row>9</xdr:row>
      <xdr:rowOff>163285</xdr:rowOff>
    </xdr:from>
    <xdr:to>
      <xdr:col>24</xdr:col>
      <xdr:colOff>381000</xdr:colOff>
      <xdr:row>20</xdr:row>
      <xdr:rowOff>0</xdr:rowOff>
    </xdr:to>
    <xdr:graphicFrame macro="">
      <xdr:nvGraphicFramePr>
        <xdr:cNvPr id="17" name="Chart 16">
          <a:extLst>
            <a:ext uri="{FF2B5EF4-FFF2-40B4-BE49-F238E27FC236}">
              <a16:creationId xmlns:a16="http://schemas.microsoft.com/office/drawing/2014/main" id="{45425E65-7CE8-4601-9C9E-DA8B26006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43541</xdr:colOff>
      <xdr:row>10</xdr:row>
      <xdr:rowOff>21777</xdr:rowOff>
    </xdr:from>
    <xdr:to>
      <xdr:col>8</xdr:col>
      <xdr:colOff>54427</xdr:colOff>
      <xdr:row>15</xdr:row>
      <xdr:rowOff>43548</xdr:rowOff>
    </xdr:to>
    <xdr:cxnSp macro="">
      <xdr:nvCxnSpPr>
        <xdr:cNvPr id="18" name="Straight Connector 17">
          <a:extLst>
            <a:ext uri="{FF2B5EF4-FFF2-40B4-BE49-F238E27FC236}">
              <a16:creationId xmlns:a16="http://schemas.microsoft.com/office/drawing/2014/main" id="{0D9F0C23-425E-4D33-87E8-2D180E17BB2F}"/>
            </a:ext>
          </a:extLst>
        </xdr:cNvPr>
        <xdr:cNvCxnSpPr/>
      </xdr:nvCxnSpPr>
      <xdr:spPr>
        <a:xfrm flipH="1">
          <a:off x="4920341" y="1850577"/>
          <a:ext cx="10886" cy="936171"/>
        </a:xfrm>
        <a:prstGeom prst="line">
          <a:avLst/>
        </a:prstGeom>
        <a:ln w="19050">
          <a:solidFill>
            <a:srgbClr val="42573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43543</xdr:colOff>
      <xdr:row>10</xdr:row>
      <xdr:rowOff>21775</xdr:rowOff>
    </xdr:from>
    <xdr:to>
      <xdr:col>10</xdr:col>
      <xdr:colOff>54429</xdr:colOff>
      <xdr:row>15</xdr:row>
      <xdr:rowOff>43546</xdr:rowOff>
    </xdr:to>
    <xdr:cxnSp macro="">
      <xdr:nvCxnSpPr>
        <xdr:cNvPr id="19" name="Straight Connector 18">
          <a:extLst>
            <a:ext uri="{FF2B5EF4-FFF2-40B4-BE49-F238E27FC236}">
              <a16:creationId xmlns:a16="http://schemas.microsoft.com/office/drawing/2014/main" id="{44A5BEBB-A00C-4FA5-8FDC-B8CB04BEB705}"/>
            </a:ext>
          </a:extLst>
        </xdr:cNvPr>
        <xdr:cNvCxnSpPr/>
      </xdr:nvCxnSpPr>
      <xdr:spPr>
        <a:xfrm flipH="1">
          <a:off x="6139543" y="1850575"/>
          <a:ext cx="10886" cy="936171"/>
        </a:xfrm>
        <a:prstGeom prst="line">
          <a:avLst/>
        </a:prstGeom>
        <a:ln w="19050">
          <a:solidFill>
            <a:srgbClr val="42573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468084</xdr:colOff>
      <xdr:row>10</xdr:row>
      <xdr:rowOff>21775</xdr:rowOff>
    </xdr:from>
    <xdr:to>
      <xdr:col>11</xdr:col>
      <xdr:colOff>478970</xdr:colOff>
      <xdr:row>15</xdr:row>
      <xdr:rowOff>43546</xdr:rowOff>
    </xdr:to>
    <xdr:cxnSp macro="">
      <xdr:nvCxnSpPr>
        <xdr:cNvPr id="20" name="Straight Connector 19">
          <a:extLst>
            <a:ext uri="{FF2B5EF4-FFF2-40B4-BE49-F238E27FC236}">
              <a16:creationId xmlns:a16="http://schemas.microsoft.com/office/drawing/2014/main" id="{B700BC3E-FE26-46DB-B824-EEA766F8E94A}"/>
            </a:ext>
          </a:extLst>
        </xdr:cNvPr>
        <xdr:cNvCxnSpPr/>
      </xdr:nvCxnSpPr>
      <xdr:spPr>
        <a:xfrm flipH="1">
          <a:off x="7173684" y="1850575"/>
          <a:ext cx="10886" cy="936171"/>
        </a:xfrm>
        <a:prstGeom prst="line">
          <a:avLst/>
        </a:prstGeom>
        <a:ln w="19050">
          <a:solidFill>
            <a:srgbClr val="42573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228601</xdr:colOff>
      <xdr:row>9</xdr:row>
      <xdr:rowOff>163286</xdr:rowOff>
    </xdr:from>
    <xdr:to>
      <xdr:col>9</xdr:col>
      <xdr:colOff>478972</xdr:colOff>
      <xdr:row>11</xdr:row>
      <xdr:rowOff>43542</xdr:rowOff>
    </xdr:to>
    <xdr:sp macro="" textlink="">
      <xdr:nvSpPr>
        <xdr:cNvPr id="21" name="TextBox 20">
          <a:extLst>
            <a:ext uri="{FF2B5EF4-FFF2-40B4-BE49-F238E27FC236}">
              <a16:creationId xmlns:a16="http://schemas.microsoft.com/office/drawing/2014/main" id="{2D100243-A30E-4E64-BC2A-FE4442948F07}"/>
            </a:ext>
          </a:extLst>
        </xdr:cNvPr>
        <xdr:cNvSpPr txBox="1"/>
      </xdr:nvSpPr>
      <xdr:spPr>
        <a:xfrm>
          <a:off x="5105401" y="1809206"/>
          <a:ext cx="859971" cy="24601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42573E"/>
              </a:solidFill>
            </a:rPr>
            <a:t>Revenue</a:t>
          </a:r>
        </a:p>
      </xdr:txBody>
    </xdr:sp>
    <xdr:clientData/>
  </xdr:twoCellAnchor>
  <xdr:twoCellAnchor>
    <xdr:from>
      <xdr:col>10</xdr:col>
      <xdr:colOff>141515</xdr:colOff>
      <xdr:row>9</xdr:row>
      <xdr:rowOff>185056</xdr:rowOff>
    </xdr:from>
    <xdr:to>
      <xdr:col>11</xdr:col>
      <xdr:colOff>391886</xdr:colOff>
      <xdr:row>11</xdr:row>
      <xdr:rowOff>43542</xdr:rowOff>
    </xdr:to>
    <xdr:sp macro="" textlink="">
      <xdr:nvSpPr>
        <xdr:cNvPr id="22" name="TextBox 21">
          <a:extLst>
            <a:ext uri="{FF2B5EF4-FFF2-40B4-BE49-F238E27FC236}">
              <a16:creationId xmlns:a16="http://schemas.microsoft.com/office/drawing/2014/main" id="{B1125051-D419-4DFD-AE28-BA4492A3E480}"/>
            </a:ext>
          </a:extLst>
        </xdr:cNvPr>
        <xdr:cNvSpPr txBox="1"/>
      </xdr:nvSpPr>
      <xdr:spPr>
        <a:xfrm>
          <a:off x="6237515" y="1830976"/>
          <a:ext cx="859971" cy="224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rgbClr val="42573E"/>
              </a:solidFill>
            </a:rPr>
            <a:t>Orders</a:t>
          </a:r>
        </a:p>
      </xdr:txBody>
    </xdr:sp>
    <xdr:clientData/>
  </xdr:twoCellAnchor>
  <xdr:twoCellAnchor>
    <xdr:from>
      <xdr:col>11</xdr:col>
      <xdr:colOff>587829</xdr:colOff>
      <xdr:row>10</xdr:row>
      <xdr:rowOff>0</xdr:rowOff>
    </xdr:from>
    <xdr:to>
      <xdr:col>13</xdr:col>
      <xdr:colOff>185057</xdr:colOff>
      <xdr:row>11</xdr:row>
      <xdr:rowOff>76199</xdr:rowOff>
    </xdr:to>
    <xdr:sp macro="" textlink="">
      <xdr:nvSpPr>
        <xdr:cNvPr id="23" name="TextBox 22">
          <a:extLst>
            <a:ext uri="{FF2B5EF4-FFF2-40B4-BE49-F238E27FC236}">
              <a16:creationId xmlns:a16="http://schemas.microsoft.com/office/drawing/2014/main" id="{B1E175FB-4971-4F60-9B51-4A8C8B8417F0}"/>
            </a:ext>
          </a:extLst>
        </xdr:cNvPr>
        <xdr:cNvSpPr txBox="1"/>
      </xdr:nvSpPr>
      <xdr:spPr>
        <a:xfrm>
          <a:off x="7293429" y="1828800"/>
          <a:ext cx="816428"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rgbClr val="42573E"/>
              </a:solidFill>
            </a:rPr>
            <a:t>Ticket Sold</a:t>
          </a:r>
        </a:p>
      </xdr:txBody>
    </xdr:sp>
    <xdr:clientData/>
  </xdr:twoCellAnchor>
  <xdr:twoCellAnchor>
    <xdr:from>
      <xdr:col>8</xdr:col>
      <xdr:colOff>97970</xdr:colOff>
      <xdr:row>11</xdr:row>
      <xdr:rowOff>97971</xdr:rowOff>
    </xdr:from>
    <xdr:to>
      <xdr:col>9</xdr:col>
      <xdr:colOff>500741</xdr:colOff>
      <xdr:row>13</xdr:row>
      <xdr:rowOff>54429</xdr:rowOff>
    </xdr:to>
    <xdr:sp macro="" textlink="Revenue">
      <xdr:nvSpPr>
        <xdr:cNvPr id="24" name="TextBox 23">
          <a:extLst>
            <a:ext uri="{FF2B5EF4-FFF2-40B4-BE49-F238E27FC236}">
              <a16:creationId xmlns:a16="http://schemas.microsoft.com/office/drawing/2014/main" id="{94E98075-5D92-4D66-9B4D-EA1FBF6F3A7B}"/>
            </a:ext>
          </a:extLst>
        </xdr:cNvPr>
        <xdr:cNvSpPr txBox="1"/>
      </xdr:nvSpPr>
      <xdr:spPr>
        <a:xfrm>
          <a:off x="4974770" y="2109651"/>
          <a:ext cx="1012371" cy="322218"/>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A7DBCF-60E9-4AEF-AB1D-2BAEBA65FFD9}" type="TxLink">
            <a:rPr lang="en-US" sz="1600" b="0" i="0" u="none" strike="noStrike">
              <a:solidFill>
                <a:srgbClr val="42573E"/>
              </a:solidFill>
              <a:latin typeface="Calibri"/>
              <a:ea typeface="Calibri"/>
              <a:cs typeface="Calibri"/>
            </a:rPr>
            <a:pPr algn="ctr"/>
            <a:t> $30,089 </a:t>
          </a:fld>
          <a:endParaRPr lang="en-US" sz="1600">
            <a:solidFill>
              <a:srgbClr val="42573E"/>
            </a:solidFill>
          </a:endParaRPr>
        </a:p>
      </xdr:txBody>
    </xdr:sp>
    <xdr:clientData/>
  </xdr:twoCellAnchor>
  <xdr:twoCellAnchor>
    <xdr:from>
      <xdr:col>11</xdr:col>
      <xdr:colOff>468085</xdr:colOff>
      <xdr:row>11</xdr:row>
      <xdr:rowOff>76200</xdr:rowOff>
    </xdr:from>
    <xdr:to>
      <xdr:col>13</xdr:col>
      <xdr:colOff>228599</xdr:colOff>
      <xdr:row>13</xdr:row>
      <xdr:rowOff>21772</xdr:rowOff>
    </xdr:to>
    <xdr:sp macro="" textlink="Qty">
      <xdr:nvSpPr>
        <xdr:cNvPr id="25" name="TextBox 24">
          <a:extLst>
            <a:ext uri="{FF2B5EF4-FFF2-40B4-BE49-F238E27FC236}">
              <a16:creationId xmlns:a16="http://schemas.microsoft.com/office/drawing/2014/main" id="{575806F0-AB94-41CE-BB12-1245ACF44A38}"/>
            </a:ext>
          </a:extLst>
        </xdr:cNvPr>
        <xdr:cNvSpPr txBox="1"/>
      </xdr:nvSpPr>
      <xdr:spPr>
        <a:xfrm>
          <a:off x="7173685" y="2087880"/>
          <a:ext cx="979714" cy="31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599439-1F3D-4561-8E3B-A4D5508413FD}" type="TxLink">
            <a:rPr lang="en-US" sz="1600" b="0" i="0" u="none" strike="noStrike">
              <a:solidFill>
                <a:srgbClr val="42573E"/>
              </a:solidFill>
              <a:latin typeface="Calibri"/>
              <a:ea typeface="Calibri"/>
              <a:cs typeface="Calibri"/>
            </a:rPr>
            <a:pPr algn="ctr"/>
            <a:t> 1,932.0 </a:t>
          </a:fld>
          <a:endParaRPr lang="en-GB" sz="1600">
            <a:solidFill>
              <a:srgbClr val="42573E"/>
            </a:solidFill>
          </a:endParaRPr>
        </a:p>
      </xdr:txBody>
    </xdr:sp>
    <xdr:clientData/>
  </xdr:twoCellAnchor>
  <xdr:twoCellAnchor>
    <xdr:from>
      <xdr:col>10</xdr:col>
      <xdr:colOff>130629</xdr:colOff>
      <xdr:row>11</xdr:row>
      <xdr:rowOff>87085</xdr:rowOff>
    </xdr:from>
    <xdr:to>
      <xdr:col>11</xdr:col>
      <xdr:colOff>337457</xdr:colOff>
      <xdr:row>12</xdr:row>
      <xdr:rowOff>163285</xdr:rowOff>
    </xdr:to>
    <xdr:sp macro="" textlink="Orders">
      <xdr:nvSpPr>
        <xdr:cNvPr id="26" name="TextBox 25">
          <a:extLst>
            <a:ext uri="{FF2B5EF4-FFF2-40B4-BE49-F238E27FC236}">
              <a16:creationId xmlns:a16="http://schemas.microsoft.com/office/drawing/2014/main" id="{833F6C79-401C-4C79-9569-1299BEA1204C}"/>
            </a:ext>
          </a:extLst>
        </xdr:cNvPr>
        <xdr:cNvSpPr txBox="1"/>
      </xdr:nvSpPr>
      <xdr:spPr>
        <a:xfrm>
          <a:off x="6226629" y="2098765"/>
          <a:ext cx="81642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AAA269-0A94-4258-8DA9-B657D5D73A05}" type="TxLink">
            <a:rPr lang="en-US" sz="1600" b="0" i="0" u="none" strike="noStrike">
              <a:solidFill>
                <a:srgbClr val="42573E"/>
              </a:solidFill>
              <a:latin typeface="Calibri"/>
              <a:ea typeface="Calibri"/>
              <a:cs typeface="Calibri"/>
            </a:rPr>
            <a:pPr algn="ctr"/>
            <a:t> 638 </a:t>
          </a:fld>
          <a:endParaRPr lang="en-GB" sz="1600">
            <a:solidFill>
              <a:srgbClr val="42573E"/>
            </a:solidFill>
          </a:endParaRPr>
        </a:p>
      </xdr:txBody>
    </xdr:sp>
    <xdr:clientData/>
  </xdr:twoCellAnchor>
  <xdr:twoCellAnchor>
    <xdr:from>
      <xdr:col>8</xdr:col>
      <xdr:colOff>152401</xdr:colOff>
      <xdr:row>13</xdr:row>
      <xdr:rowOff>152399</xdr:rowOff>
    </xdr:from>
    <xdr:to>
      <xdr:col>9</xdr:col>
      <xdr:colOff>566057</xdr:colOff>
      <xdr:row>15</xdr:row>
      <xdr:rowOff>65314</xdr:rowOff>
    </xdr:to>
    <xdr:sp macro="" textlink="▼RevenueMoM">
      <xdr:nvSpPr>
        <xdr:cNvPr id="27" name="TextBox 26">
          <a:extLst>
            <a:ext uri="{FF2B5EF4-FFF2-40B4-BE49-F238E27FC236}">
              <a16:creationId xmlns:a16="http://schemas.microsoft.com/office/drawing/2014/main" id="{9603A196-8148-4B09-8F6B-67DC961E9D07}"/>
            </a:ext>
          </a:extLst>
        </xdr:cNvPr>
        <xdr:cNvSpPr txBox="1"/>
      </xdr:nvSpPr>
      <xdr:spPr>
        <a:xfrm>
          <a:off x="5029201" y="2529839"/>
          <a:ext cx="1023256" cy="27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A8EE1E-8BBE-47F8-8B4B-8F9E2245745C}" type="TxLink">
            <a:rPr lang="en-US" sz="1000" b="0" i="0" u="none" strike="noStrike">
              <a:solidFill>
                <a:srgbClr val="42573E"/>
              </a:solidFill>
              <a:latin typeface="Calibri"/>
              <a:ea typeface="Calibri"/>
              <a:cs typeface="Calibri"/>
            </a:rPr>
            <a:pPr algn="ctr"/>
            <a:t>▲16% MoM</a:t>
          </a:fld>
          <a:endParaRPr lang="en-GB" sz="1000">
            <a:solidFill>
              <a:srgbClr val="42573E"/>
            </a:solidFill>
          </a:endParaRPr>
        </a:p>
      </xdr:txBody>
    </xdr:sp>
    <xdr:clientData/>
  </xdr:twoCellAnchor>
  <xdr:twoCellAnchor>
    <xdr:from>
      <xdr:col>10</xdr:col>
      <xdr:colOff>130629</xdr:colOff>
      <xdr:row>14</xdr:row>
      <xdr:rowOff>0</xdr:rowOff>
    </xdr:from>
    <xdr:to>
      <xdr:col>11</xdr:col>
      <xdr:colOff>413657</xdr:colOff>
      <xdr:row>15</xdr:row>
      <xdr:rowOff>76200</xdr:rowOff>
    </xdr:to>
    <xdr:sp macro="" textlink="OrdersMoM">
      <xdr:nvSpPr>
        <xdr:cNvPr id="28" name="TextBox 27">
          <a:extLst>
            <a:ext uri="{FF2B5EF4-FFF2-40B4-BE49-F238E27FC236}">
              <a16:creationId xmlns:a16="http://schemas.microsoft.com/office/drawing/2014/main" id="{B4108AB8-1A39-499A-BE4D-326B5C775645}"/>
            </a:ext>
          </a:extLst>
        </xdr:cNvPr>
        <xdr:cNvSpPr txBox="1"/>
      </xdr:nvSpPr>
      <xdr:spPr>
        <a:xfrm>
          <a:off x="6226629" y="2560320"/>
          <a:ext cx="89262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22987B-68B8-4999-8BD7-84FCBFC56445}" type="TxLink">
            <a:rPr lang="en-US" sz="1000" b="0" i="0" u="none" strike="noStrike">
              <a:solidFill>
                <a:srgbClr val="42573E"/>
              </a:solidFill>
              <a:latin typeface="Calibri"/>
              <a:ea typeface="Calibri"/>
              <a:cs typeface="Calibri"/>
            </a:rPr>
            <a:pPr algn="ctr"/>
            <a:t>#REF!</a:t>
          </a:fld>
          <a:endParaRPr lang="en-GB" sz="1000">
            <a:solidFill>
              <a:srgbClr val="42573E"/>
            </a:solidFill>
          </a:endParaRPr>
        </a:p>
      </xdr:txBody>
    </xdr:sp>
    <xdr:clientData/>
  </xdr:twoCellAnchor>
  <xdr:twoCellAnchor>
    <xdr:from>
      <xdr:col>11</xdr:col>
      <xdr:colOff>587829</xdr:colOff>
      <xdr:row>13</xdr:row>
      <xdr:rowOff>163285</xdr:rowOff>
    </xdr:from>
    <xdr:to>
      <xdr:col>13</xdr:col>
      <xdr:colOff>261256</xdr:colOff>
      <xdr:row>15</xdr:row>
      <xdr:rowOff>130629</xdr:rowOff>
    </xdr:to>
    <xdr:sp macro="" textlink="QtyMoM">
      <xdr:nvSpPr>
        <xdr:cNvPr id="29" name="TextBox 28">
          <a:extLst>
            <a:ext uri="{FF2B5EF4-FFF2-40B4-BE49-F238E27FC236}">
              <a16:creationId xmlns:a16="http://schemas.microsoft.com/office/drawing/2014/main" id="{27C90D64-1A83-4340-8B10-F7A10A216158}"/>
            </a:ext>
          </a:extLst>
        </xdr:cNvPr>
        <xdr:cNvSpPr txBox="1"/>
      </xdr:nvSpPr>
      <xdr:spPr>
        <a:xfrm>
          <a:off x="7293429" y="2540725"/>
          <a:ext cx="892627" cy="333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C50CC8-E264-468F-B54D-33B42267C2EF}" type="TxLink">
            <a:rPr lang="en-US" sz="1000" b="0" i="0" u="none" strike="noStrike">
              <a:solidFill>
                <a:srgbClr val="42573E"/>
              </a:solidFill>
              <a:latin typeface="Calibri"/>
              <a:ea typeface="Calibri"/>
              <a:cs typeface="Calibri"/>
            </a:rPr>
            <a:pPr algn="ctr"/>
            <a:t>#REF!</a:t>
          </a:fld>
          <a:endParaRPr lang="en-GB" sz="1000">
            <a:solidFill>
              <a:srgbClr val="42573E"/>
            </a:solidFill>
          </a:endParaRPr>
        </a:p>
      </xdr:txBody>
    </xdr:sp>
    <xdr:clientData/>
  </xdr:twoCellAnchor>
  <xdr:twoCellAnchor>
    <xdr:from>
      <xdr:col>7</xdr:col>
      <xdr:colOff>489856</xdr:colOff>
      <xdr:row>6</xdr:row>
      <xdr:rowOff>163286</xdr:rowOff>
    </xdr:from>
    <xdr:to>
      <xdr:col>11</xdr:col>
      <xdr:colOff>65314</xdr:colOff>
      <xdr:row>8</xdr:row>
      <xdr:rowOff>43543</xdr:rowOff>
    </xdr:to>
    <xdr:sp macro="" textlink="">
      <xdr:nvSpPr>
        <xdr:cNvPr id="30" name="TextBox 29">
          <a:extLst>
            <a:ext uri="{FF2B5EF4-FFF2-40B4-BE49-F238E27FC236}">
              <a16:creationId xmlns:a16="http://schemas.microsoft.com/office/drawing/2014/main" id="{4D5AD7A6-CDBD-434D-821A-CAA4A1C0F8CE}"/>
            </a:ext>
          </a:extLst>
        </xdr:cNvPr>
        <xdr:cNvSpPr txBox="1"/>
      </xdr:nvSpPr>
      <xdr:spPr>
        <a:xfrm>
          <a:off x="4757056" y="1260566"/>
          <a:ext cx="2013858" cy="246017"/>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a:solidFill>
                <a:srgbClr val="42573E"/>
              </a:solidFill>
            </a:rPr>
            <a:t>Key</a:t>
          </a:r>
          <a:r>
            <a:rPr lang="en-GB" sz="1200" baseline="0">
              <a:solidFill>
                <a:srgbClr val="42573E"/>
              </a:solidFill>
            </a:rPr>
            <a:t> Performance Indicators</a:t>
          </a:r>
          <a:endParaRPr lang="en-GB" sz="1200">
            <a:solidFill>
              <a:srgbClr val="42573E"/>
            </a:solidFill>
          </a:endParaRPr>
        </a:p>
      </xdr:txBody>
    </xdr:sp>
    <xdr:clientData/>
  </xdr:twoCellAnchor>
  <xdr:twoCellAnchor>
    <xdr:from>
      <xdr:col>7</xdr:col>
      <xdr:colOff>489854</xdr:colOff>
      <xdr:row>8</xdr:row>
      <xdr:rowOff>87086</xdr:rowOff>
    </xdr:from>
    <xdr:to>
      <xdr:col>12</xdr:col>
      <xdr:colOff>283027</xdr:colOff>
      <xdr:row>10</xdr:row>
      <xdr:rowOff>32657</xdr:rowOff>
    </xdr:to>
    <xdr:sp macro="" textlink="">
      <xdr:nvSpPr>
        <xdr:cNvPr id="31" name="TextBox 30">
          <a:extLst>
            <a:ext uri="{FF2B5EF4-FFF2-40B4-BE49-F238E27FC236}">
              <a16:creationId xmlns:a16="http://schemas.microsoft.com/office/drawing/2014/main" id="{37CE0C4B-D0D3-4455-8F97-F687132417EC}"/>
            </a:ext>
          </a:extLst>
        </xdr:cNvPr>
        <xdr:cNvSpPr txBox="1"/>
      </xdr:nvSpPr>
      <xdr:spPr>
        <a:xfrm>
          <a:off x="4757054" y="1550126"/>
          <a:ext cx="2841173" cy="31133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1">
              <a:solidFill>
                <a:srgbClr val="42573E"/>
              </a:solidFill>
            </a:rPr>
            <a:t>Overall</a:t>
          </a:r>
          <a:r>
            <a:rPr lang="en-GB" sz="1100" i="1" baseline="0">
              <a:solidFill>
                <a:srgbClr val="42573E"/>
              </a:solidFill>
            </a:rPr>
            <a:t> health of the business across Q3</a:t>
          </a:r>
          <a:endParaRPr lang="en-GB" sz="1100" i="1">
            <a:solidFill>
              <a:srgbClr val="42573E"/>
            </a:solidFill>
          </a:endParaRPr>
        </a:p>
      </xdr:txBody>
    </xdr:sp>
    <xdr:clientData/>
  </xdr:twoCellAnchor>
  <xdr:twoCellAnchor>
    <xdr:from>
      <xdr:col>7</xdr:col>
      <xdr:colOff>370114</xdr:colOff>
      <xdr:row>16</xdr:row>
      <xdr:rowOff>163286</xdr:rowOff>
    </xdr:from>
    <xdr:to>
      <xdr:col>12</xdr:col>
      <xdr:colOff>283027</xdr:colOff>
      <xdr:row>18</xdr:row>
      <xdr:rowOff>108857</xdr:rowOff>
    </xdr:to>
    <xdr:sp macro="" textlink="">
      <xdr:nvSpPr>
        <xdr:cNvPr id="32" name="TextBox 31">
          <a:extLst>
            <a:ext uri="{FF2B5EF4-FFF2-40B4-BE49-F238E27FC236}">
              <a16:creationId xmlns:a16="http://schemas.microsoft.com/office/drawing/2014/main" id="{6DABDFD0-6EB1-47C2-BDAD-4892249F7AAD}"/>
            </a:ext>
          </a:extLst>
        </xdr:cNvPr>
        <xdr:cNvSpPr txBox="1"/>
      </xdr:nvSpPr>
      <xdr:spPr>
        <a:xfrm>
          <a:off x="4637314" y="3089366"/>
          <a:ext cx="2960913" cy="311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0">
              <a:solidFill>
                <a:schemeClr val="accent6">
                  <a:lumMod val="20000"/>
                  <a:lumOff val="80000"/>
                </a:schemeClr>
              </a:solidFill>
            </a:rPr>
            <a:t>Movie</a:t>
          </a:r>
          <a:r>
            <a:rPr lang="en-GB" sz="1100" i="0" baseline="0">
              <a:solidFill>
                <a:schemeClr val="accent6">
                  <a:lumMod val="20000"/>
                  <a:lumOff val="80000"/>
                </a:schemeClr>
              </a:solidFill>
            </a:rPr>
            <a:t> </a:t>
          </a:r>
          <a:r>
            <a:rPr lang="en-GB" sz="1200" i="0" baseline="0">
              <a:solidFill>
                <a:schemeClr val="accent6">
                  <a:lumMod val="20000"/>
                  <a:lumOff val="80000"/>
                </a:schemeClr>
              </a:solidFill>
            </a:rPr>
            <a:t>Analysis</a:t>
          </a:r>
          <a:endParaRPr lang="en-GB" sz="1200" i="0">
            <a:solidFill>
              <a:schemeClr val="accent6">
                <a:lumMod val="20000"/>
                <a:lumOff val="80000"/>
              </a:schemeClr>
            </a:solidFill>
          </a:endParaRPr>
        </a:p>
      </xdr:txBody>
    </xdr:sp>
    <xdr:clientData/>
  </xdr:twoCellAnchor>
  <xdr:twoCellAnchor>
    <xdr:from>
      <xdr:col>7</xdr:col>
      <xdr:colOff>468082</xdr:colOff>
      <xdr:row>18</xdr:row>
      <xdr:rowOff>43542</xdr:rowOff>
    </xdr:from>
    <xdr:to>
      <xdr:col>13</xdr:col>
      <xdr:colOff>250371</xdr:colOff>
      <xdr:row>19</xdr:row>
      <xdr:rowOff>141514</xdr:rowOff>
    </xdr:to>
    <xdr:sp macro="" textlink="">
      <xdr:nvSpPr>
        <xdr:cNvPr id="33" name="TextBox 32">
          <a:extLst>
            <a:ext uri="{FF2B5EF4-FFF2-40B4-BE49-F238E27FC236}">
              <a16:creationId xmlns:a16="http://schemas.microsoft.com/office/drawing/2014/main" id="{4B6B4F27-73E8-4214-A7E1-0692B601E12A}"/>
            </a:ext>
          </a:extLst>
        </xdr:cNvPr>
        <xdr:cNvSpPr txBox="1"/>
      </xdr:nvSpPr>
      <xdr:spPr>
        <a:xfrm>
          <a:off x="4735282" y="3335382"/>
          <a:ext cx="3439889" cy="28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chemeClr val="accent6">
                  <a:lumMod val="20000"/>
                  <a:lumOff val="80000"/>
                </a:schemeClr>
              </a:solidFill>
            </a:rPr>
            <a:t>This</a:t>
          </a:r>
          <a:r>
            <a:rPr lang="en-GB" sz="900" b="1" i="1" baseline="0">
              <a:solidFill>
                <a:schemeClr val="accent6">
                  <a:lumMod val="20000"/>
                  <a:lumOff val="80000"/>
                </a:schemeClr>
              </a:solidFill>
            </a:rPr>
            <a:t> chat shows the perfomance of movies in Q3 based on revenue</a:t>
          </a:r>
          <a:endParaRPr lang="en-GB" sz="900" b="1" i="1">
            <a:solidFill>
              <a:schemeClr val="accent6">
                <a:lumMod val="20000"/>
                <a:lumOff val="80000"/>
              </a:schemeClr>
            </a:solidFill>
          </a:endParaRPr>
        </a:p>
      </xdr:txBody>
    </xdr:sp>
    <xdr:clientData/>
  </xdr:twoCellAnchor>
  <xdr:twoCellAnchor>
    <xdr:from>
      <xdr:col>14</xdr:col>
      <xdr:colOff>97972</xdr:colOff>
      <xdr:row>6</xdr:row>
      <xdr:rowOff>152400</xdr:rowOff>
    </xdr:from>
    <xdr:to>
      <xdr:col>19</xdr:col>
      <xdr:colOff>10886</xdr:colOff>
      <xdr:row>8</xdr:row>
      <xdr:rowOff>32658</xdr:rowOff>
    </xdr:to>
    <xdr:sp macro="" textlink="">
      <xdr:nvSpPr>
        <xdr:cNvPr id="34" name="TextBox 33">
          <a:extLst>
            <a:ext uri="{FF2B5EF4-FFF2-40B4-BE49-F238E27FC236}">
              <a16:creationId xmlns:a16="http://schemas.microsoft.com/office/drawing/2014/main" id="{AF0C4922-EDE4-419D-A310-AE17B75EBD9B}"/>
            </a:ext>
          </a:extLst>
        </xdr:cNvPr>
        <xdr:cNvSpPr txBox="1"/>
      </xdr:nvSpPr>
      <xdr:spPr>
        <a:xfrm>
          <a:off x="8632372" y="1249680"/>
          <a:ext cx="2960914" cy="24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chemeClr val="accent6">
                  <a:lumMod val="20000"/>
                  <a:lumOff val="80000"/>
                </a:schemeClr>
              </a:solidFill>
            </a:rPr>
            <a:t>Weekly</a:t>
          </a:r>
          <a:r>
            <a:rPr lang="en-GB" sz="1200" i="0" baseline="0">
              <a:solidFill>
                <a:schemeClr val="accent6">
                  <a:lumMod val="20000"/>
                  <a:lumOff val="80000"/>
                </a:schemeClr>
              </a:solidFill>
            </a:rPr>
            <a:t> Trend Analysis</a:t>
          </a:r>
          <a:endParaRPr lang="en-GB" sz="1200" i="0">
            <a:solidFill>
              <a:schemeClr val="accent6">
                <a:lumMod val="20000"/>
                <a:lumOff val="80000"/>
              </a:schemeClr>
            </a:solidFill>
          </a:endParaRPr>
        </a:p>
      </xdr:txBody>
    </xdr:sp>
    <xdr:clientData/>
  </xdr:twoCellAnchor>
  <xdr:twoCellAnchor>
    <xdr:from>
      <xdr:col>14</xdr:col>
      <xdr:colOff>130625</xdr:colOff>
      <xdr:row>8</xdr:row>
      <xdr:rowOff>87086</xdr:rowOff>
    </xdr:from>
    <xdr:to>
      <xdr:col>19</xdr:col>
      <xdr:colOff>522514</xdr:colOff>
      <xdr:row>10</xdr:row>
      <xdr:rowOff>1</xdr:rowOff>
    </xdr:to>
    <xdr:sp macro="" textlink="">
      <xdr:nvSpPr>
        <xdr:cNvPr id="35" name="TextBox 34">
          <a:extLst>
            <a:ext uri="{FF2B5EF4-FFF2-40B4-BE49-F238E27FC236}">
              <a16:creationId xmlns:a16="http://schemas.microsoft.com/office/drawing/2014/main" id="{8B85C6DC-AD06-4672-9967-FB78B1EBE5BD}"/>
            </a:ext>
          </a:extLst>
        </xdr:cNvPr>
        <xdr:cNvSpPr txBox="1"/>
      </xdr:nvSpPr>
      <xdr:spPr>
        <a:xfrm>
          <a:off x="8665025" y="1550126"/>
          <a:ext cx="3439889" cy="27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chemeClr val="accent6">
                  <a:lumMod val="20000"/>
                  <a:lumOff val="80000"/>
                </a:schemeClr>
              </a:solidFill>
            </a:rPr>
            <a:t>Identifies</a:t>
          </a:r>
          <a:r>
            <a:rPr lang="en-GB" sz="900" b="1" i="1" baseline="0">
              <a:solidFill>
                <a:schemeClr val="accent6">
                  <a:lumMod val="20000"/>
                  <a:lumOff val="80000"/>
                </a:schemeClr>
              </a:solidFill>
            </a:rPr>
            <a:t> the day of  the week with the most revenue</a:t>
          </a:r>
          <a:endParaRPr lang="en-GB" sz="900" b="1" i="1">
            <a:solidFill>
              <a:schemeClr val="accent6">
                <a:lumMod val="20000"/>
                <a:lumOff val="80000"/>
              </a:schemeClr>
            </a:solidFill>
          </a:endParaRPr>
        </a:p>
      </xdr:txBody>
    </xdr:sp>
    <xdr:clientData/>
  </xdr:twoCellAnchor>
  <xdr:twoCellAnchor>
    <xdr:from>
      <xdr:col>14</xdr:col>
      <xdr:colOff>119741</xdr:colOff>
      <xdr:row>20</xdr:row>
      <xdr:rowOff>76199</xdr:rowOff>
    </xdr:from>
    <xdr:to>
      <xdr:col>18</xdr:col>
      <xdr:colOff>511629</xdr:colOff>
      <xdr:row>21</xdr:row>
      <xdr:rowOff>152399</xdr:rowOff>
    </xdr:to>
    <xdr:sp macro="" textlink="">
      <xdr:nvSpPr>
        <xdr:cNvPr id="36" name="TextBox 35">
          <a:extLst>
            <a:ext uri="{FF2B5EF4-FFF2-40B4-BE49-F238E27FC236}">
              <a16:creationId xmlns:a16="http://schemas.microsoft.com/office/drawing/2014/main" id="{13E58741-7A12-45CF-9172-CE2FAEC47C53}"/>
            </a:ext>
          </a:extLst>
        </xdr:cNvPr>
        <xdr:cNvSpPr txBox="1"/>
      </xdr:nvSpPr>
      <xdr:spPr>
        <a:xfrm>
          <a:off x="8654141" y="3733799"/>
          <a:ext cx="283028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chemeClr val="accent6">
                  <a:lumMod val="20000"/>
                  <a:lumOff val="80000"/>
                </a:schemeClr>
              </a:solidFill>
            </a:rPr>
            <a:t>Showtime</a:t>
          </a:r>
          <a:r>
            <a:rPr lang="en-GB" sz="1200" i="0" baseline="0">
              <a:solidFill>
                <a:schemeClr val="accent6">
                  <a:lumMod val="20000"/>
                  <a:lumOff val="80000"/>
                </a:schemeClr>
              </a:solidFill>
            </a:rPr>
            <a:t> Based Analysis</a:t>
          </a:r>
          <a:endParaRPr lang="en-GB" sz="1200" i="0">
            <a:solidFill>
              <a:schemeClr val="accent6">
                <a:lumMod val="20000"/>
                <a:lumOff val="80000"/>
              </a:schemeClr>
            </a:solidFill>
          </a:endParaRPr>
        </a:p>
      </xdr:txBody>
    </xdr:sp>
    <xdr:clientData/>
  </xdr:twoCellAnchor>
  <xdr:twoCellAnchor>
    <xdr:from>
      <xdr:col>14</xdr:col>
      <xdr:colOff>141511</xdr:colOff>
      <xdr:row>21</xdr:row>
      <xdr:rowOff>152400</xdr:rowOff>
    </xdr:from>
    <xdr:to>
      <xdr:col>19</xdr:col>
      <xdr:colOff>533400</xdr:colOff>
      <xdr:row>23</xdr:row>
      <xdr:rowOff>65315</xdr:rowOff>
    </xdr:to>
    <xdr:sp macro="" textlink="">
      <xdr:nvSpPr>
        <xdr:cNvPr id="37" name="TextBox 36">
          <a:extLst>
            <a:ext uri="{FF2B5EF4-FFF2-40B4-BE49-F238E27FC236}">
              <a16:creationId xmlns:a16="http://schemas.microsoft.com/office/drawing/2014/main" id="{103739A3-1756-4F38-8288-D09CF08A434C}"/>
            </a:ext>
          </a:extLst>
        </xdr:cNvPr>
        <xdr:cNvSpPr txBox="1"/>
      </xdr:nvSpPr>
      <xdr:spPr>
        <a:xfrm>
          <a:off x="8675911" y="3992880"/>
          <a:ext cx="3439889" cy="27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chemeClr val="accent6">
                  <a:lumMod val="20000"/>
                  <a:lumOff val="80000"/>
                </a:schemeClr>
              </a:solidFill>
            </a:rPr>
            <a:t>Shows</a:t>
          </a:r>
          <a:r>
            <a:rPr lang="en-GB" sz="900" b="1" i="1" baseline="0">
              <a:solidFill>
                <a:schemeClr val="accent6">
                  <a:lumMod val="20000"/>
                  <a:lumOff val="80000"/>
                </a:schemeClr>
              </a:solidFill>
            </a:rPr>
            <a:t> the time of the day with the most/least tickets sold</a:t>
          </a:r>
          <a:endParaRPr lang="en-GB" sz="900" b="1" i="1">
            <a:solidFill>
              <a:schemeClr val="accent6">
                <a:lumMod val="20000"/>
                <a:lumOff val="80000"/>
              </a:schemeClr>
            </a:solidFill>
          </a:endParaRPr>
        </a:p>
      </xdr:txBody>
    </xdr:sp>
    <xdr:clientData/>
  </xdr:twoCellAnchor>
  <xdr:twoCellAnchor>
    <xdr:from>
      <xdr:col>19</xdr:col>
      <xdr:colOff>446315</xdr:colOff>
      <xdr:row>6</xdr:row>
      <xdr:rowOff>130627</xdr:rowOff>
    </xdr:from>
    <xdr:to>
      <xdr:col>24</xdr:col>
      <xdr:colOff>457201</xdr:colOff>
      <xdr:row>9</xdr:row>
      <xdr:rowOff>21772</xdr:rowOff>
    </xdr:to>
    <xdr:sp macro="" textlink="">
      <xdr:nvSpPr>
        <xdr:cNvPr id="38" name="TextBox 37">
          <a:extLst>
            <a:ext uri="{FF2B5EF4-FFF2-40B4-BE49-F238E27FC236}">
              <a16:creationId xmlns:a16="http://schemas.microsoft.com/office/drawing/2014/main" id="{1083C859-D268-4E71-8346-28B875E9A5A5}"/>
            </a:ext>
          </a:extLst>
        </xdr:cNvPr>
        <xdr:cNvSpPr txBox="1"/>
      </xdr:nvSpPr>
      <xdr:spPr>
        <a:xfrm>
          <a:off x="12028715" y="1227907"/>
          <a:ext cx="3058886" cy="439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i="0">
              <a:solidFill>
                <a:schemeClr val="accent6">
                  <a:lumMod val="20000"/>
                  <a:lumOff val="80000"/>
                </a:schemeClr>
              </a:solidFill>
            </a:rPr>
            <a:t>Revenue</a:t>
          </a:r>
          <a:r>
            <a:rPr lang="en-GB" sz="1100" i="0" baseline="0">
              <a:solidFill>
                <a:schemeClr val="accent6">
                  <a:lumMod val="20000"/>
                  <a:lumOff val="80000"/>
                </a:schemeClr>
              </a:solidFill>
            </a:rPr>
            <a:t> Contribution Based on Ticket Category</a:t>
          </a:r>
          <a:endParaRPr lang="en-GB" sz="1100" i="0">
            <a:solidFill>
              <a:schemeClr val="accent6">
                <a:lumMod val="20000"/>
                <a:lumOff val="80000"/>
              </a:schemeClr>
            </a:solidFill>
          </a:endParaRPr>
        </a:p>
      </xdr:txBody>
    </xdr:sp>
    <xdr:clientData/>
  </xdr:twoCellAnchor>
  <xdr:twoCellAnchor>
    <xdr:from>
      <xdr:col>19</xdr:col>
      <xdr:colOff>457197</xdr:colOff>
      <xdr:row>8</xdr:row>
      <xdr:rowOff>54430</xdr:rowOff>
    </xdr:from>
    <xdr:to>
      <xdr:col>25</xdr:col>
      <xdr:colOff>239486</xdr:colOff>
      <xdr:row>9</xdr:row>
      <xdr:rowOff>152402</xdr:rowOff>
    </xdr:to>
    <xdr:sp macro="" textlink="">
      <xdr:nvSpPr>
        <xdr:cNvPr id="39" name="TextBox 38">
          <a:extLst>
            <a:ext uri="{FF2B5EF4-FFF2-40B4-BE49-F238E27FC236}">
              <a16:creationId xmlns:a16="http://schemas.microsoft.com/office/drawing/2014/main" id="{73B8F8F5-C1A6-4818-AAF0-AE0122B0C0CF}"/>
            </a:ext>
          </a:extLst>
        </xdr:cNvPr>
        <xdr:cNvSpPr txBox="1"/>
      </xdr:nvSpPr>
      <xdr:spPr>
        <a:xfrm>
          <a:off x="12039597" y="1517470"/>
          <a:ext cx="3439889" cy="28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b="1" i="1">
              <a:solidFill>
                <a:schemeClr val="accent6">
                  <a:lumMod val="20000"/>
                  <a:lumOff val="80000"/>
                </a:schemeClr>
              </a:solidFill>
            </a:rPr>
            <a:t>Compares</a:t>
          </a:r>
          <a:r>
            <a:rPr lang="en-GB" sz="1000" b="1" i="1" baseline="0">
              <a:solidFill>
                <a:schemeClr val="accent6">
                  <a:lumMod val="20000"/>
                  <a:lumOff val="80000"/>
                </a:schemeClr>
              </a:solidFill>
            </a:rPr>
            <a:t> the revenue across the ticket categories</a:t>
          </a:r>
          <a:endParaRPr lang="en-GB" sz="1000" b="1" i="1">
            <a:solidFill>
              <a:schemeClr val="accent6">
                <a:lumMod val="20000"/>
                <a:lumOff val="80000"/>
              </a:schemeClr>
            </a:solidFill>
          </a:endParaRPr>
        </a:p>
      </xdr:txBody>
    </xdr:sp>
    <xdr:clientData/>
  </xdr:twoCellAnchor>
  <xdr:twoCellAnchor>
    <xdr:from>
      <xdr:col>20</xdr:col>
      <xdr:colOff>32658</xdr:colOff>
      <xdr:row>21</xdr:row>
      <xdr:rowOff>0</xdr:rowOff>
    </xdr:from>
    <xdr:to>
      <xdr:col>24</xdr:col>
      <xdr:colOff>555172</xdr:colOff>
      <xdr:row>22</xdr:row>
      <xdr:rowOff>65315</xdr:rowOff>
    </xdr:to>
    <xdr:sp macro="" textlink="">
      <xdr:nvSpPr>
        <xdr:cNvPr id="40" name="TextBox 39">
          <a:extLst>
            <a:ext uri="{FF2B5EF4-FFF2-40B4-BE49-F238E27FC236}">
              <a16:creationId xmlns:a16="http://schemas.microsoft.com/office/drawing/2014/main" id="{1E41B58D-EADC-43B1-9AE9-06B3C221BBA6}"/>
            </a:ext>
          </a:extLst>
        </xdr:cNvPr>
        <xdr:cNvSpPr txBox="1"/>
      </xdr:nvSpPr>
      <xdr:spPr>
        <a:xfrm>
          <a:off x="12224658" y="3840480"/>
          <a:ext cx="2960914" cy="248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i="0">
              <a:solidFill>
                <a:schemeClr val="accent6">
                  <a:lumMod val="20000"/>
                  <a:lumOff val="80000"/>
                </a:schemeClr>
              </a:solidFill>
            </a:rPr>
            <a:t>Location</a:t>
          </a:r>
          <a:r>
            <a:rPr lang="en-GB" sz="1200" i="0" baseline="0">
              <a:solidFill>
                <a:schemeClr val="accent6">
                  <a:lumMod val="20000"/>
                  <a:lumOff val="80000"/>
                </a:schemeClr>
              </a:solidFill>
            </a:rPr>
            <a:t> Based Analysis</a:t>
          </a:r>
          <a:endParaRPr lang="en-GB" sz="1200" i="0">
            <a:solidFill>
              <a:schemeClr val="accent6">
                <a:lumMod val="20000"/>
                <a:lumOff val="80000"/>
              </a:schemeClr>
            </a:solidFill>
          </a:endParaRPr>
        </a:p>
      </xdr:txBody>
    </xdr:sp>
    <xdr:clientData/>
  </xdr:twoCellAnchor>
  <xdr:twoCellAnchor>
    <xdr:from>
      <xdr:col>19</xdr:col>
      <xdr:colOff>598710</xdr:colOff>
      <xdr:row>22</xdr:row>
      <xdr:rowOff>43544</xdr:rowOff>
    </xdr:from>
    <xdr:to>
      <xdr:col>25</xdr:col>
      <xdr:colOff>326571</xdr:colOff>
      <xdr:row>23</xdr:row>
      <xdr:rowOff>141515</xdr:rowOff>
    </xdr:to>
    <xdr:sp macro="" textlink="">
      <xdr:nvSpPr>
        <xdr:cNvPr id="41" name="TextBox 40">
          <a:extLst>
            <a:ext uri="{FF2B5EF4-FFF2-40B4-BE49-F238E27FC236}">
              <a16:creationId xmlns:a16="http://schemas.microsoft.com/office/drawing/2014/main" id="{5017037F-416D-48B0-B3B8-BD0882832CAA}"/>
            </a:ext>
          </a:extLst>
        </xdr:cNvPr>
        <xdr:cNvSpPr txBox="1"/>
      </xdr:nvSpPr>
      <xdr:spPr>
        <a:xfrm>
          <a:off x="12181110" y="4066904"/>
          <a:ext cx="3385461" cy="28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b="1" i="1">
              <a:solidFill>
                <a:schemeClr val="accent6">
                  <a:lumMod val="20000"/>
                  <a:lumOff val="80000"/>
                </a:schemeClr>
              </a:solidFill>
            </a:rPr>
            <a:t>T</a:t>
          </a:r>
          <a:r>
            <a:rPr lang="en-GB" sz="900" b="1" i="1" baseline="0">
              <a:solidFill>
                <a:schemeClr val="accent6">
                  <a:lumMod val="20000"/>
                  <a:lumOff val="80000"/>
                </a:schemeClr>
              </a:solidFill>
            </a:rPr>
            <a:t>racks the </a:t>
          </a:r>
          <a:r>
            <a:rPr lang="en-GB" sz="1000" b="1" i="1" baseline="0">
              <a:solidFill>
                <a:schemeClr val="accent6">
                  <a:lumMod val="20000"/>
                  <a:lumOff val="80000"/>
                </a:schemeClr>
              </a:solidFill>
            </a:rPr>
            <a:t>revenue</a:t>
          </a:r>
          <a:r>
            <a:rPr lang="en-GB" sz="900" b="1" i="1" baseline="0">
              <a:solidFill>
                <a:schemeClr val="accent6">
                  <a:lumMod val="20000"/>
                  <a:lumOff val="80000"/>
                </a:schemeClr>
              </a:solidFill>
            </a:rPr>
            <a:t> across different states in the US</a:t>
          </a:r>
          <a:endParaRPr lang="en-GB" sz="900" b="1" i="1">
            <a:solidFill>
              <a:schemeClr val="accent6">
                <a:lumMod val="20000"/>
                <a:lumOff val="80000"/>
              </a:schemeClr>
            </a:solidFill>
          </a:endParaRPr>
        </a:p>
      </xdr:txBody>
    </xdr:sp>
    <xdr:clientData/>
  </xdr:twoCellAnchor>
  <xdr:twoCellAnchor>
    <xdr:from>
      <xdr:col>8</xdr:col>
      <xdr:colOff>402769</xdr:colOff>
      <xdr:row>4</xdr:row>
      <xdr:rowOff>87087</xdr:rowOff>
    </xdr:from>
    <xdr:to>
      <xdr:col>12</xdr:col>
      <xdr:colOff>315686</xdr:colOff>
      <xdr:row>5</xdr:row>
      <xdr:rowOff>119743</xdr:rowOff>
    </xdr:to>
    <xdr:sp macro="" textlink="">
      <xdr:nvSpPr>
        <xdr:cNvPr id="43" name="TextBox 42">
          <a:extLst>
            <a:ext uri="{FF2B5EF4-FFF2-40B4-BE49-F238E27FC236}">
              <a16:creationId xmlns:a16="http://schemas.microsoft.com/office/drawing/2014/main" id="{5540E134-B958-42BD-BDE4-068431FBD559}"/>
            </a:ext>
          </a:extLst>
        </xdr:cNvPr>
        <xdr:cNvSpPr txBox="1"/>
      </xdr:nvSpPr>
      <xdr:spPr>
        <a:xfrm>
          <a:off x="5279569" y="818607"/>
          <a:ext cx="2351317" cy="21553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i="1">
              <a:solidFill>
                <a:sysClr val="windowText" lastClr="000000"/>
              </a:solidFill>
            </a:rPr>
            <a:t>FILMax</a:t>
          </a:r>
          <a:r>
            <a:rPr lang="en-GB" sz="1200" b="1" i="1" baseline="0">
              <a:solidFill>
                <a:sysClr val="windowText" lastClr="000000"/>
              </a:solidFill>
            </a:rPr>
            <a:t> </a:t>
          </a:r>
          <a:r>
            <a:rPr lang="en-GB" sz="1200" b="1" baseline="0">
              <a:solidFill>
                <a:sysClr val="windowText" lastClr="000000"/>
              </a:solidFill>
            </a:rPr>
            <a:t>   Q3 - SALES OVERVIEW</a:t>
          </a:r>
          <a:endParaRPr lang="en-GB" sz="1200" b="1">
            <a:solidFill>
              <a:sysClr val="windowText" lastClr="000000"/>
            </a:solidFill>
          </a:endParaRPr>
        </a:p>
      </xdr:txBody>
    </xdr:sp>
    <xdr:clientData/>
  </xdr:twoCellAnchor>
  <xdr:twoCellAnchor editAs="oneCell">
    <xdr:from>
      <xdr:col>20</xdr:col>
      <xdr:colOff>315686</xdr:colOff>
      <xdr:row>3</xdr:row>
      <xdr:rowOff>174172</xdr:rowOff>
    </xdr:from>
    <xdr:to>
      <xdr:col>23</xdr:col>
      <xdr:colOff>315686</xdr:colOff>
      <xdr:row>6</xdr:row>
      <xdr:rowOff>21770</xdr:rowOff>
    </xdr:to>
    <mc:AlternateContent xmlns:mc="http://schemas.openxmlformats.org/markup-compatibility/2006" xmlns:a14="http://schemas.microsoft.com/office/drawing/2010/main">
      <mc:Choice Requires="a14">
        <xdr:graphicFrame macro="">
          <xdr:nvGraphicFramePr>
            <xdr:cNvPr id="44" name="Month 2">
              <a:extLst>
                <a:ext uri="{FF2B5EF4-FFF2-40B4-BE49-F238E27FC236}">
                  <a16:creationId xmlns:a16="http://schemas.microsoft.com/office/drawing/2014/main" id="{CE0CF7A4-CD7F-4AAD-98CA-F55A48D06E7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507686" y="729343"/>
              <a:ext cx="1828800" cy="4027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261256</xdr:colOff>
      <xdr:row>29</xdr:row>
      <xdr:rowOff>10888</xdr:rowOff>
    </xdr:from>
    <xdr:to>
      <xdr:col>22</xdr:col>
      <xdr:colOff>250372</xdr:colOff>
      <xdr:row>30</xdr:row>
      <xdr:rowOff>32658</xdr:rowOff>
    </xdr:to>
    <xdr:sp macro="" textlink="">
      <xdr:nvSpPr>
        <xdr:cNvPr id="46" name="TextBox 45">
          <a:extLst>
            <a:ext uri="{FF2B5EF4-FFF2-40B4-BE49-F238E27FC236}">
              <a16:creationId xmlns:a16="http://schemas.microsoft.com/office/drawing/2014/main" id="{3E41E745-05AA-94D8-8855-8F2FD7799F9B}"/>
            </a:ext>
          </a:extLst>
        </xdr:cNvPr>
        <xdr:cNvSpPr txBox="1"/>
      </xdr:nvSpPr>
      <xdr:spPr>
        <a:xfrm>
          <a:off x="13062856" y="5377545"/>
          <a:ext cx="598716" cy="20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a:solidFill>
                <a:sysClr val="windowText" lastClr="000000"/>
              </a:solidFill>
            </a:rPr>
            <a:t>Texas</a:t>
          </a:r>
        </a:p>
      </xdr:txBody>
    </xdr:sp>
    <xdr:clientData/>
  </xdr:twoCellAnchor>
  <xdr:twoCellAnchor editAs="oneCell">
    <xdr:from>
      <xdr:col>7</xdr:col>
      <xdr:colOff>424544</xdr:colOff>
      <xdr:row>4</xdr:row>
      <xdr:rowOff>32656</xdr:rowOff>
    </xdr:from>
    <xdr:to>
      <xdr:col>8</xdr:col>
      <xdr:colOff>239486</xdr:colOff>
      <xdr:row>5</xdr:row>
      <xdr:rowOff>130628</xdr:rowOff>
    </xdr:to>
    <xdr:pic>
      <xdr:nvPicPr>
        <xdr:cNvPr id="49" name="Picture 48">
          <a:extLst>
            <a:ext uri="{FF2B5EF4-FFF2-40B4-BE49-F238E27FC236}">
              <a16:creationId xmlns:a16="http://schemas.microsoft.com/office/drawing/2014/main" id="{51624C0B-9916-E979-A674-16C56DAC7F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691744" y="772885"/>
          <a:ext cx="424542" cy="283029"/>
        </a:xfrm>
        <a:prstGeom prst="rect">
          <a:avLst/>
        </a:prstGeom>
      </xdr:spPr>
    </xdr:pic>
    <xdr:clientData/>
  </xdr:twoCellAnchor>
  <xdr:twoCellAnchor editAs="oneCell">
    <xdr:from>
      <xdr:col>23</xdr:col>
      <xdr:colOff>370115</xdr:colOff>
      <xdr:row>4</xdr:row>
      <xdr:rowOff>10886</xdr:rowOff>
    </xdr:from>
    <xdr:to>
      <xdr:col>24</xdr:col>
      <xdr:colOff>163287</xdr:colOff>
      <xdr:row>5</xdr:row>
      <xdr:rowOff>112417</xdr:rowOff>
    </xdr:to>
    <xdr:pic>
      <xdr:nvPicPr>
        <xdr:cNvPr id="51" name="Graphic 50" descr="Sun with solid fill">
          <a:hlinkClick xmlns:r="http://schemas.openxmlformats.org/officeDocument/2006/relationships" r:id="rId7"/>
          <a:extLst>
            <a:ext uri="{FF2B5EF4-FFF2-40B4-BE49-F238E27FC236}">
              <a16:creationId xmlns:a16="http://schemas.microsoft.com/office/drawing/2014/main" id="{3021E35D-CA71-FF75-51DD-EE68692B122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390915" y="751115"/>
          <a:ext cx="402772" cy="286588"/>
        </a:xfrm>
        <a:prstGeom prst="rect">
          <a:avLst/>
        </a:prstGeom>
      </xdr:spPr>
    </xdr:pic>
    <xdr:clientData/>
  </xdr:twoCellAnchor>
  <xdr:twoCellAnchor>
    <xdr:from>
      <xdr:col>22</xdr:col>
      <xdr:colOff>478971</xdr:colOff>
      <xdr:row>34</xdr:row>
      <xdr:rowOff>87089</xdr:rowOff>
    </xdr:from>
    <xdr:to>
      <xdr:col>24</xdr:col>
      <xdr:colOff>424545</xdr:colOff>
      <xdr:row>35</xdr:row>
      <xdr:rowOff>119744</xdr:rowOff>
    </xdr:to>
    <xdr:sp macro="" textlink="Date">
      <xdr:nvSpPr>
        <xdr:cNvPr id="52" name="TextBox 51">
          <a:extLst>
            <a:ext uri="{FF2B5EF4-FFF2-40B4-BE49-F238E27FC236}">
              <a16:creationId xmlns:a16="http://schemas.microsoft.com/office/drawing/2014/main" id="{D94BC3C4-CA8B-8390-6069-FA17BF569871}"/>
            </a:ext>
          </a:extLst>
        </xdr:cNvPr>
        <xdr:cNvSpPr txBox="1"/>
      </xdr:nvSpPr>
      <xdr:spPr>
        <a:xfrm>
          <a:off x="13890171" y="6379032"/>
          <a:ext cx="1164774" cy="21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3E16C7A-9BFA-4BEB-AB68-160661C1577E}" type="TxLink">
            <a:rPr lang="en-US" sz="1100" b="0" i="0" u="none" strike="noStrike">
              <a:solidFill>
                <a:schemeClr val="accent6">
                  <a:lumMod val="40000"/>
                  <a:lumOff val="60000"/>
                </a:schemeClr>
              </a:solidFill>
              <a:latin typeface="Calibri"/>
              <a:ea typeface="Calibri"/>
              <a:cs typeface="Calibri"/>
            </a:rPr>
            <a:pPr algn="l"/>
            <a:t>24 July 2026</a:t>
          </a:fld>
          <a:endParaRPr lang="en-GB" sz="1200" b="1">
            <a:solidFill>
              <a:schemeClr val="accent6">
                <a:lumMod val="40000"/>
                <a:lumOff val="6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1.54491099537" createdVersion="8" refreshedVersion="8" minRefreshableVersion="3" recordCount="2000" xr:uid="{64006DD4-B336-4786-A5DA-73B58DB28E7D}">
  <cacheSource type="worksheet">
    <worksheetSource name="FilmaxData"/>
  </cacheSource>
  <cacheFields count="12">
    <cacheField name="Sales_ID" numFmtId="0">
      <sharedItems containsSemiMixedTypes="0" containsString="0" containsNumber="1" containsInteger="1" minValue="1" maxValue="2000"/>
    </cacheField>
    <cacheField name="Movie_Name" numFmtId="0">
      <sharedItems count="8">
        <s v="Barbie"/>
        <s v="Oppenheimer"/>
        <s v="John Wick 5"/>
        <s v="Guardians of the Galaxy Vol. 4"/>
        <s v="Avatar 3"/>
        <s v="Fast X"/>
        <s v="The Flash"/>
        <s v="Mission Impossible 8"/>
      </sharedItems>
    </cacheField>
    <cacheField name="Show_Date" numFmtId="14">
      <sharedItems containsSemiMixedTypes="0" containsNonDate="0" containsDate="1" containsString="0" minDate="2025-07-01T00:00:00" maxDate="2025-10-01T00:00:00"/>
    </cacheField>
    <cacheField name="Month" numFmtId="14">
      <sharedItems count="3">
        <s v="Aug"/>
        <s v="Jul"/>
        <s v="Sep"/>
      </sharedItems>
    </cacheField>
    <cacheField name="Weekday" numFmtId="14">
      <sharedItems count="7">
        <s v="Sun"/>
        <s v="Fri"/>
        <s v="Sat"/>
        <s v="Tue"/>
        <s v="Mon"/>
        <s v="Thu"/>
        <s v="Wed"/>
      </sharedItems>
    </cacheField>
    <cacheField name="Show_Time" numFmtId="0">
      <sharedItems count="4">
        <s v="Evening"/>
        <s v="Late Night"/>
        <s v="Afternoon"/>
        <s v="Morning"/>
      </sharedItems>
    </cacheField>
    <cacheField name="Ticket_Category" numFmtId="0">
      <sharedItems count="5">
        <s v="VIP"/>
        <s v="Regular"/>
        <s v="Couple"/>
        <s v="Family"/>
        <s v="Student"/>
      </sharedItems>
    </cacheField>
    <cacheField name="Tickets_Sold" numFmtId="0">
      <sharedItems containsSemiMixedTypes="0" containsString="0" containsNumber="1" containsInteger="1" minValue="1" maxValue="5"/>
    </cacheField>
    <cacheField name="Ticket_Price" numFmtId="0">
      <sharedItems containsSemiMixedTypes="0" containsString="0" containsNumber="1" containsInteger="1" minValue="8" maxValue="30"/>
    </cacheField>
    <cacheField name="Payment_Method" numFmtId="0">
      <sharedItems/>
    </cacheField>
    <cacheField name="Cinema_Branch" numFmtId="0">
      <sharedItems count="4">
        <s v="California"/>
        <s v="New York"/>
        <s v="Texas"/>
        <s v="Florida"/>
      </sharedItems>
    </cacheField>
    <cacheField name="Total_Revenue" numFmtId="0">
      <sharedItems containsSemiMixedTypes="0" containsString="0" containsNumber="1" containsInteger="1" minValue="8" maxValue="150"/>
    </cacheField>
  </cacheFields>
  <extLst>
    <ext xmlns:x14="http://schemas.microsoft.com/office/spreadsheetml/2009/9/main" uri="{725AE2AE-9491-48be-B2B4-4EB974FC3084}">
      <x14:pivotCacheDefinition pivotCacheId="1559204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354"/>
    <x v="0"/>
    <d v="2025-08-17T00:00:00"/>
    <x v="0"/>
    <x v="0"/>
    <x v="0"/>
    <x v="0"/>
    <n v="4"/>
    <n v="25"/>
    <s v="Mobile Wallet"/>
    <x v="0"/>
    <n v="100"/>
  </r>
  <r>
    <n v="1890"/>
    <x v="1"/>
    <d v="2025-07-11T00:00:00"/>
    <x v="1"/>
    <x v="1"/>
    <x v="1"/>
    <x v="1"/>
    <n v="5"/>
    <n v="12"/>
    <s v="Mobile Wallet"/>
    <x v="1"/>
    <n v="60"/>
  </r>
  <r>
    <n v="386"/>
    <x v="2"/>
    <d v="2025-09-06T00:00:00"/>
    <x v="2"/>
    <x v="2"/>
    <x v="2"/>
    <x v="0"/>
    <n v="1"/>
    <n v="25"/>
    <s v="Card"/>
    <x v="1"/>
    <n v="25"/>
  </r>
  <r>
    <n v="1406"/>
    <x v="2"/>
    <d v="2025-08-12T00:00:00"/>
    <x v="0"/>
    <x v="3"/>
    <x v="0"/>
    <x v="2"/>
    <n v="5"/>
    <n v="20"/>
    <s v="Cash"/>
    <x v="1"/>
    <n v="100"/>
  </r>
  <r>
    <n v="1425"/>
    <x v="2"/>
    <d v="2025-08-22T00:00:00"/>
    <x v="0"/>
    <x v="1"/>
    <x v="0"/>
    <x v="2"/>
    <n v="2"/>
    <n v="20"/>
    <s v="Card"/>
    <x v="0"/>
    <n v="40"/>
  </r>
  <r>
    <n v="39"/>
    <x v="3"/>
    <d v="2025-07-21T00:00:00"/>
    <x v="1"/>
    <x v="4"/>
    <x v="2"/>
    <x v="1"/>
    <n v="4"/>
    <n v="12"/>
    <s v="Mobile Wallet"/>
    <x v="2"/>
    <n v="48"/>
  </r>
  <r>
    <n v="1412"/>
    <x v="4"/>
    <d v="2025-09-06T00:00:00"/>
    <x v="2"/>
    <x v="2"/>
    <x v="0"/>
    <x v="1"/>
    <n v="2"/>
    <n v="12"/>
    <s v="Cash"/>
    <x v="2"/>
    <n v="24"/>
  </r>
  <r>
    <n v="1845"/>
    <x v="0"/>
    <d v="2025-07-24T00:00:00"/>
    <x v="1"/>
    <x v="5"/>
    <x v="2"/>
    <x v="1"/>
    <n v="1"/>
    <n v="12"/>
    <s v="Card"/>
    <x v="3"/>
    <n v="12"/>
  </r>
  <r>
    <n v="1285"/>
    <x v="5"/>
    <d v="2025-07-08T00:00:00"/>
    <x v="1"/>
    <x v="3"/>
    <x v="2"/>
    <x v="1"/>
    <n v="4"/>
    <n v="12"/>
    <s v="Card"/>
    <x v="3"/>
    <n v="48"/>
  </r>
  <r>
    <n v="1223"/>
    <x v="3"/>
    <d v="2025-08-02T00:00:00"/>
    <x v="0"/>
    <x v="2"/>
    <x v="2"/>
    <x v="1"/>
    <n v="5"/>
    <n v="12"/>
    <s v="Cash"/>
    <x v="1"/>
    <n v="60"/>
  </r>
  <r>
    <n v="1471"/>
    <x v="1"/>
    <d v="2025-08-23T00:00:00"/>
    <x v="0"/>
    <x v="2"/>
    <x v="1"/>
    <x v="1"/>
    <n v="1"/>
    <n v="12"/>
    <s v="Card"/>
    <x v="0"/>
    <n v="12"/>
  </r>
  <r>
    <n v="506"/>
    <x v="3"/>
    <d v="2025-09-14T00:00:00"/>
    <x v="2"/>
    <x v="0"/>
    <x v="0"/>
    <x v="1"/>
    <n v="4"/>
    <n v="12"/>
    <s v="Mobile Wallet"/>
    <x v="3"/>
    <n v="48"/>
  </r>
  <r>
    <n v="357"/>
    <x v="3"/>
    <d v="2025-07-28T00:00:00"/>
    <x v="1"/>
    <x v="4"/>
    <x v="0"/>
    <x v="3"/>
    <n v="4"/>
    <n v="30"/>
    <s v="Card"/>
    <x v="1"/>
    <n v="120"/>
  </r>
  <r>
    <n v="774"/>
    <x v="3"/>
    <d v="2025-09-23T00:00:00"/>
    <x v="2"/>
    <x v="3"/>
    <x v="0"/>
    <x v="1"/>
    <n v="1"/>
    <n v="12"/>
    <s v="Cash"/>
    <x v="0"/>
    <n v="12"/>
  </r>
  <r>
    <n v="639"/>
    <x v="3"/>
    <d v="2025-09-16T00:00:00"/>
    <x v="2"/>
    <x v="3"/>
    <x v="0"/>
    <x v="3"/>
    <n v="5"/>
    <n v="30"/>
    <s v="Cash"/>
    <x v="3"/>
    <n v="150"/>
  </r>
  <r>
    <n v="1153"/>
    <x v="3"/>
    <d v="2025-07-13T00:00:00"/>
    <x v="1"/>
    <x v="0"/>
    <x v="0"/>
    <x v="4"/>
    <n v="2"/>
    <n v="8"/>
    <s v="Cash"/>
    <x v="0"/>
    <n v="16"/>
  </r>
  <r>
    <n v="1016"/>
    <x v="3"/>
    <d v="2025-08-11T00:00:00"/>
    <x v="0"/>
    <x v="4"/>
    <x v="1"/>
    <x v="1"/>
    <n v="1"/>
    <n v="12"/>
    <s v="Cash"/>
    <x v="0"/>
    <n v="12"/>
  </r>
  <r>
    <n v="1098"/>
    <x v="3"/>
    <d v="2025-08-03T00:00:00"/>
    <x v="0"/>
    <x v="0"/>
    <x v="1"/>
    <x v="1"/>
    <n v="4"/>
    <n v="12"/>
    <s v="Mobile Wallet"/>
    <x v="0"/>
    <n v="48"/>
  </r>
  <r>
    <n v="352"/>
    <x v="3"/>
    <d v="2025-07-13T00:00:00"/>
    <x v="1"/>
    <x v="0"/>
    <x v="0"/>
    <x v="3"/>
    <n v="1"/>
    <n v="30"/>
    <s v="Cash"/>
    <x v="3"/>
    <n v="30"/>
  </r>
  <r>
    <n v="9"/>
    <x v="5"/>
    <d v="2025-09-25T00:00:00"/>
    <x v="2"/>
    <x v="5"/>
    <x v="0"/>
    <x v="1"/>
    <n v="4"/>
    <n v="12"/>
    <s v="Cash"/>
    <x v="1"/>
    <n v="48"/>
  </r>
  <r>
    <n v="182"/>
    <x v="5"/>
    <d v="2025-08-24T00:00:00"/>
    <x v="0"/>
    <x v="0"/>
    <x v="0"/>
    <x v="1"/>
    <n v="1"/>
    <n v="12"/>
    <s v="Card"/>
    <x v="0"/>
    <n v="12"/>
  </r>
  <r>
    <n v="1353"/>
    <x v="5"/>
    <d v="2025-08-17T00:00:00"/>
    <x v="0"/>
    <x v="0"/>
    <x v="0"/>
    <x v="3"/>
    <n v="1"/>
    <n v="30"/>
    <s v="Mobile Wallet"/>
    <x v="1"/>
    <n v="30"/>
  </r>
  <r>
    <n v="1724"/>
    <x v="4"/>
    <d v="2025-09-24T00:00:00"/>
    <x v="2"/>
    <x v="6"/>
    <x v="0"/>
    <x v="1"/>
    <n v="4"/>
    <n v="12"/>
    <s v="Cash"/>
    <x v="2"/>
    <n v="48"/>
  </r>
  <r>
    <n v="884"/>
    <x v="2"/>
    <d v="2025-08-12T00:00:00"/>
    <x v="0"/>
    <x v="3"/>
    <x v="0"/>
    <x v="1"/>
    <n v="1"/>
    <n v="12"/>
    <s v="Cash"/>
    <x v="1"/>
    <n v="12"/>
  </r>
  <r>
    <n v="958"/>
    <x v="3"/>
    <d v="2025-08-18T00:00:00"/>
    <x v="0"/>
    <x v="4"/>
    <x v="0"/>
    <x v="2"/>
    <n v="2"/>
    <n v="20"/>
    <s v="Mobile Wallet"/>
    <x v="1"/>
    <n v="40"/>
  </r>
  <r>
    <n v="267"/>
    <x v="6"/>
    <d v="2025-07-13T00:00:00"/>
    <x v="1"/>
    <x v="0"/>
    <x v="1"/>
    <x v="0"/>
    <n v="1"/>
    <n v="25"/>
    <s v="Cash"/>
    <x v="2"/>
    <n v="25"/>
  </r>
  <r>
    <n v="1192"/>
    <x v="7"/>
    <d v="2025-07-09T00:00:00"/>
    <x v="1"/>
    <x v="6"/>
    <x v="1"/>
    <x v="3"/>
    <n v="3"/>
    <n v="30"/>
    <s v="Mobile Wallet"/>
    <x v="1"/>
    <n v="90"/>
  </r>
  <r>
    <n v="1009"/>
    <x v="6"/>
    <d v="2025-09-26T00:00:00"/>
    <x v="2"/>
    <x v="1"/>
    <x v="1"/>
    <x v="4"/>
    <n v="2"/>
    <n v="8"/>
    <s v="Mobile Wallet"/>
    <x v="2"/>
    <n v="16"/>
  </r>
  <r>
    <n v="94"/>
    <x v="0"/>
    <d v="2025-07-24T00:00:00"/>
    <x v="1"/>
    <x v="5"/>
    <x v="2"/>
    <x v="0"/>
    <n v="3"/>
    <n v="25"/>
    <s v="Card"/>
    <x v="3"/>
    <n v="75"/>
  </r>
  <r>
    <n v="1041"/>
    <x v="1"/>
    <d v="2025-09-07T00:00:00"/>
    <x v="2"/>
    <x v="0"/>
    <x v="0"/>
    <x v="1"/>
    <n v="2"/>
    <n v="12"/>
    <s v="Card"/>
    <x v="2"/>
    <n v="24"/>
  </r>
  <r>
    <n v="1244"/>
    <x v="5"/>
    <d v="2025-08-02T00:00:00"/>
    <x v="0"/>
    <x v="2"/>
    <x v="2"/>
    <x v="4"/>
    <n v="5"/>
    <n v="8"/>
    <s v="Mobile Wallet"/>
    <x v="3"/>
    <n v="40"/>
  </r>
  <r>
    <n v="1147"/>
    <x v="5"/>
    <d v="2025-08-18T00:00:00"/>
    <x v="0"/>
    <x v="4"/>
    <x v="2"/>
    <x v="2"/>
    <n v="1"/>
    <n v="20"/>
    <s v="Mobile Wallet"/>
    <x v="0"/>
    <n v="20"/>
  </r>
  <r>
    <n v="163"/>
    <x v="2"/>
    <d v="2025-08-30T00:00:00"/>
    <x v="0"/>
    <x v="2"/>
    <x v="2"/>
    <x v="1"/>
    <n v="1"/>
    <n v="12"/>
    <s v="Mobile Wallet"/>
    <x v="0"/>
    <n v="12"/>
  </r>
  <r>
    <n v="1052"/>
    <x v="3"/>
    <d v="2025-07-20T00:00:00"/>
    <x v="1"/>
    <x v="0"/>
    <x v="2"/>
    <x v="1"/>
    <n v="5"/>
    <n v="12"/>
    <s v="Mobile Wallet"/>
    <x v="2"/>
    <n v="60"/>
  </r>
  <r>
    <n v="507"/>
    <x v="2"/>
    <d v="2025-09-13T00:00:00"/>
    <x v="2"/>
    <x v="2"/>
    <x v="2"/>
    <x v="2"/>
    <n v="1"/>
    <n v="20"/>
    <s v="Mobile Wallet"/>
    <x v="0"/>
    <n v="20"/>
  </r>
  <r>
    <n v="370"/>
    <x v="5"/>
    <d v="2025-07-03T00:00:00"/>
    <x v="1"/>
    <x v="5"/>
    <x v="2"/>
    <x v="4"/>
    <n v="4"/>
    <n v="8"/>
    <s v="Cash"/>
    <x v="3"/>
    <n v="32"/>
  </r>
  <r>
    <n v="1191"/>
    <x v="7"/>
    <d v="2025-09-21T00:00:00"/>
    <x v="2"/>
    <x v="0"/>
    <x v="2"/>
    <x v="1"/>
    <n v="1"/>
    <n v="12"/>
    <s v="Cash"/>
    <x v="3"/>
    <n v="12"/>
  </r>
  <r>
    <n v="316"/>
    <x v="2"/>
    <d v="2025-07-18T00:00:00"/>
    <x v="1"/>
    <x v="1"/>
    <x v="3"/>
    <x v="1"/>
    <n v="3"/>
    <n v="12"/>
    <s v="Cash"/>
    <x v="1"/>
    <n v="36"/>
  </r>
  <r>
    <n v="1172"/>
    <x v="7"/>
    <d v="2025-07-05T00:00:00"/>
    <x v="1"/>
    <x v="2"/>
    <x v="0"/>
    <x v="1"/>
    <n v="1"/>
    <n v="12"/>
    <s v="Cash"/>
    <x v="1"/>
    <n v="12"/>
  </r>
  <r>
    <n v="184"/>
    <x v="7"/>
    <d v="2025-09-28T00:00:00"/>
    <x v="2"/>
    <x v="0"/>
    <x v="0"/>
    <x v="1"/>
    <n v="2"/>
    <n v="12"/>
    <s v="Cash"/>
    <x v="2"/>
    <n v="24"/>
  </r>
  <r>
    <n v="1766"/>
    <x v="2"/>
    <d v="2025-09-18T00:00:00"/>
    <x v="2"/>
    <x v="5"/>
    <x v="0"/>
    <x v="1"/>
    <n v="1"/>
    <n v="12"/>
    <s v="Cash"/>
    <x v="0"/>
    <n v="12"/>
  </r>
  <r>
    <n v="1073"/>
    <x v="4"/>
    <d v="2025-08-16T00:00:00"/>
    <x v="0"/>
    <x v="2"/>
    <x v="0"/>
    <x v="1"/>
    <n v="2"/>
    <n v="12"/>
    <s v="Card"/>
    <x v="0"/>
    <n v="24"/>
  </r>
  <r>
    <n v="826"/>
    <x v="6"/>
    <d v="2025-07-27T00:00:00"/>
    <x v="1"/>
    <x v="0"/>
    <x v="0"/>
    <x v="2"/>
    <n v="1"/>
    <n v="20"/>
    <s v="Mobile Wallet"/>
    <x v="0"/>
    <n v="20"/>
  </r>
  <r>
    <n v="1446"/>
    <x v="3"/>
    <d v="2025-08-14T00:00:00"/>
    <x v="0"/>
    <x v="5"/>
    <x v="0"/>
    <x v="0"/>
    <n v="5"/>
    <n v="25"/>
    <s v="Cash"/>
    <x v="1"/>
    <n v="125"/>
  </r>
  <r>
    <n v="50"/>
    <x v="0"/>
    <d v="2025-08-30T00:00:00"/>
    <x v="0"/>
    <x v="2"/>
    <x v="0"/>
    <x v="1"/>
    <n v="3"/>
    <n v="12"/>
    <s v="Card"/>
    <x v="1"/>
    <n v="36"/>
  </r>
  <r>
    <n v="874"/>
    <x v="3"/>
    <d v="2025-08-17T00:00:00"/>
    <x v="0"/>
    <x v="0"/>
    <x v="0"/>
    <x v="1"/>
    <n v="4"/>
    <n v="12"/>
    <s v="Mobile Wallet"/>
    <x v="1"/>
    <n v="48"/>
  </r>
  <r>
    <n v="749"/>
    <x v="3"/>
    <d v="2025-09-20T00:00:00"/>
    <x v="2"/>
    <x v="2"/>
    <x v="0"/>
    <x v="2"/>
    <n v="5"/>
    <n v="20"/>
    <s v="Mobile Wallet"/>
    <x v="0"/>
    <n v="100"/>
  </r>
  <r>
    <n v="1011"/>
    <x v="1"/>
    <d v="2025-08-31T00:00:00"/>
    <x v="0"/>
    <x v="0"/>
    <x v="0"/>
    <x v="0"/>
    <n v="1"/>
    <n v="25"/>
    <s v="Card"/>
    <x v="3"/>
    <n v="25"/>
  </r>
  <r>
    <n v="897"/>
    <x v="0"/>
    <d v="2025-08-17T00:00:00"/>
    <x v="0"/>
    <x v="0"/>
    <x v="0"/>
    <x v="0"/>
    <n v="5"/>
    <n v="25"/>
    <s v="Card"/>
    <x v="0"/>
    <n v="125"/>
  </r>
  <r>
    <n v="38"/>
    <x v="3"/>
    <d v="2025-07-27T00:00:00"/>
    <x v="1"/>
    <x v="0"/>
    <x v="0"/>
    <x v="1"/>
    <n v="2"/>
    <n v="12"/>
    <s v="Card"/>
    <x v="3"/>
    <n v="24"/>
  </r>
  <r>
    <n v="406"/>
    <x v="3"/>
    <d v="2025-08-29T00:00:00"/>
    <x v="0"/>
    <x v="1"/>
    <x v="0"/>
    <x v="0"/>
    <n v="5"/>
    <n v="25"/>
    <s v="Cash"/>
    <x v="3"/>
    <n v="125"/>
  </r>
  <r>
    <n v="337"/>
    <x v="3"/>
    <d v="2025-09-08T00:00:00"/>
    <x v="2"/>
    <x v="4"/>
    <x v="0"/>
    <x v="1"/>
    <n v="2"/>
    <n v="12"/>
    <s v="Mobile Wallet"/>
    <x v="0"/>
    <n v="24"/>
  </r>
  <r>
    <n v="912"/>
    <x v="3"/>
    <d v="2025-08-24T00:00:00"/>
    <x v="0"/>
    <x v="0"/>
    <x v="3"/>
    <x v="1"/>
    <n v="1"/>
    <n v="12"/>
    <s v="Card"/>
    <x v="0"/>
    <n v="12"/>
  </r>
  <r>
    <n v="1492"/>
    <x v="3"/>
    <d v="2025-09-27T00:00:00"/>
    <x v="2"/>
    <x v="2"/>
    <x v="3"/>
    <x v="0"/>
    <n v="5"/>
    <n v="25"/>
    <s v="Card"/>
    <x v="0"/>
    <n v="125"/>
  </r>
  <r>
    <n v="736"/>
    <x v="3"/>
    <d v="2025-09-01T00:00:00"/>
    <x v="2"/>
    <x v="4"/>
    <x v="2"/>
    <x v="4"/>
    <n v="5"/>
    <n v="8"/>
    <s v="Card"/>
    <x v="2"/>
    <n v="40"/>
  </r>
  <r>
    <n v="1742"/>
    <x v="3"/>
    <d v="2025-09-28T00:00:00"/>
    <x v="2"/>
    <x v="0"/>
    <x v="2"/>
    <x v="2"/>
    <n v="2"/>
    <n v="20"/>
    <s v="Card"/>
    <x v="2"/>
    <n v="40"/>
  </r>
  <r>
    <n v="164"/>
    <x v="3"/>
    <d v="2025-08-09T00:00:00"/>
    <x v="0"/>
    <x v="2"/>
    <x v="1"/>
    <x v="2"/>
    <n v="5"/>
    <n v="20"/>
    <s v="Cash"/>
    <x v="0"/>
    <n v="100"/>
  </r>
  <r>
    <n v="1987"/>
    <x v="3"/>
    <d v="2025-09-04T00:00:00"/>
    <x v="2"/>
    <x v="5"/>
    <x v="1"/>
    <x v="1"/>
    <n v="2"/>
    <n v="12"/>
    <s v="Mobile Wallet"/>
    <x v="0"/>
    <n v="24"/>
  </r>
  <r>
    <n v="85"/>
    <x v="3"/>
    <d v="2025-09-12T00:00:00"/>
    <x v="2"/>
    <x v="1"/>
    <x v="1"/>
    <x v="0"/>
    <n v="3"/>
    <n v="25"/>
    <s v="Cash"/>
    <x v="1"/>
    <n v="75"/>
  </r>
  <r>
    <n v="1892"/>
    <x v="3"/>
    <d v="2025-08-29T00:00:00"/>
    <x v="0"/>
    <x v="1"/>
    <x v="0"/>
    <x v="0"/>
    <n v="2"/>
    <n v="25"/>
    <s v="Mobile Wallet"/>
    <x v="0"/>
    <n v="50"/>
  </r>
  <r>
    <n v="1518"/>
    <x v="3"/>
    <d v="2025-09-02T00:00:00"/>
    <x v="2"/>
    <x v="3"/>
    <x v="0"/>
    <x v="1"/>
    <n v="1"/>
    <n v="12"/>
    <s v="Card"/>
    <x v="0"/>
    <n v="12"/>
  </r>
  <r>
    <n v="326"/>
    <x v="3"/>
    <d v="2025-07-15T00:00:00"/>
    <x v="1"/>
    <x v="3"/>
    <x v="0"/>
    <x v="3"/>
    <n v="1"/>
    <n v="30"/>
    <s v="Card"/>
    <x v="2"/>
    <n v="30"/>
  </r>
  <r>
    <n v="792"/>
    <x v="3"/>
    <d v="2025-07-20T00:00:00"/>
    <x v="1"/>
    <x v="0"/>
    <x v="0"/>
    <x v="3"/>
    <n v="1"/>
    <n v="30"/>
    <s v="Mobile Wallet"/>
    <x v="3"/>
    <n v="30"/>
  </r>
  <r>
    <n v="1532"/>
    <x v="3"/>
    <d v="2025-09-21T00:00:00"/>
    <x v="2"/>
    <x v="0"/>
    <x v="0"/>
    <x v="4"/>
    <n v="2"/>
    <n v="8"/>
    <s v="Cash"/>
    <x v="0"/>
    <n v="16"/>
  </r>
  <r>
    <n v="910"/>
    <x v="3"/>
    <d v="2025-07-24T00:00:00"/>
    <x v="1"/>
    <x v="5"/>
    <x v="0"/>
    <x v="1"/>
    <n v="2"/>
    <n v="12"/>
    <s v="Card"/>
    <x v="3"/>
    <n v="24"/>
  </r>
  <r>
    <n v="760"/>
    <x v="3"/>
    <d v="2025-08-11T00:00:00"/>
    <x v="0"/>
    <x v="4"/>
    <x v="0"/>
    <x v="1"/>
    <n v="3"/>
    <n v="12"/>
    <s v="Card"/>
    <x v="1"/>
    <n v="36"/>
  </r>
  <r>
    <n v="1854"/>
    <x v="3"/>
    <d v="2025-08-09T00:00:00"/>
    <x v="0"/>
    <x v="2"/>
    <x v="0"/>
    <x v="3"/>
    <n v="4"/>
    <n v="30"/>
    <s v="Cash"/>
    <x v="3"/>
    <n v="120"/>
  </r>
  <r>
    <n v="225"/>
    <x v="4"/>
    <d v="2025-08-18T00:00:00"/>
    <x v="0"/>
    <x v="4"/>
    <x v="1"/>
    <x v="1"/>
    <n v="1"/>
    <n v="12"/>
    <s v="Cash"/>
    <x v="2"/>
    <n v="12"/>
  </r>
  <r>
    <n v="31"/>
    <x v="1"/>
    <d v="2025-08-25T00:00:00"/>
    <x v="0"/>
    <x v="4"/>
    <x v="0"/>
    <x v="1"/>
    <n v="4"/>
    <n v="12"/>
    <s v="Cash"/>
    <x v="3"/>
    <n v="48"/>
  </r>
  <r>
    <n v="1501"/>
    <x v="7"/>
    <d v="2025-09-07T00:00:00"/>
    <x v="2"/>
    <x v="0"/>
    <x v="0"/>
    <x v="1"/>
    <n v="2"/>
    <n v="12"/>
    <s v="Cash"/>
    <x v="3"/>
    <n v="24"/>
  </r>
  <r>
    <n v="1818"/>
    <x v="5"/>
    <d v="2025-08-21T00:00:00"/>
    <x v="0"/>
    <x v="5"/>
    <x v="1"/>
    <x v="2"/>
    <n v="2"/>
    <n v="20"/>
    <s v="Cash"/>
    <x v="3"/>
    <n v="40"/>
  </r>
  <r>
    <n v="129"/>
    <x v="6"/>
    <d v="2025-09-05T00:00:00"/>
    <x v="2"/>
    <x v="1"/>
    <x v="0"/>
    <x v="2"/>
    <n v="1"/>
    <n v="20"/>
    <s v="Cash"/>
    <x v="2"/>
    <n v="20"/>
  </r>
  <r>
    <n v="345"/>
    <x v="7"/>
    <d v="2025-08-13T00:00:00"/>
    <x v="0"/>
    <x v="6"/>
    <x v="3"/>
    <x v="3"/>
    <n v="2"/>
    <n v="30"/>
    <s v="Cash"/>
    <x v="0"/>
    <n v="60"/>
  </r>
  <r>
    <n v="648"/>
    <x v="3"/>
    <d v="2025-08-24T00:00:00"/>
    <x v="0"/>
    <x v="0"/>
    <x v="0"/>
    <x v="0"/>
    <n v="2"/>
    <n v="25"/>
    <s v="Card"/>
    <x v="1"/>
    <n v="50"/>
  </r>
  <r>
    <n v="1646"/>
    <x v="7"/>
    <d v="2025-08-02T00:00:00"/>
    <x v="0"/>
    <x v="2"/>
    <x v="1"/>
    <x v="1"/>
    <n v="4"/>
    <n v="12"/>
    <s v="Card"/>
    <x v="2"/>
    <n v="48"/>
  </r>
  <r>
    <n v="426"/>
    <x v="1"/>
    <d v="2025-08-09T00:00:00"/>
    <x v="0"/>
    <x v="2"/>
    <x v="0"/>
    <x v="3"/>
    <n v="4"/>
    <n v="30"/>
    <s v="Mobile Wallet"/>
    <x v="1"/>
    <n v="120"/>
  </r>
  <r>
    <n v="1545"/>
    <x v="2"/>
    <d v="2025-09-13T00:00:00"/>
    <x v="2"/>
    <x v="2"/>
    <x v="0"/>
    <x v="2"/>
    <n v="1"/>
    <n v="20"/>
    <s v="Mobile Wallet"/>
    <x v="0"/>
    <n v="20"/>
  </r>
  <r>
    <n v="488"/>
    <x v="6"/>
    <d v="2025-08-01T00:00:00"/>
    <x v="0"/>
    <x v="1"/>
    <x v="2"/>
    <x v="2"/>
    <n v="5"/>
    <n v="20"/>
    <s v="Cash"/>
    <x v="0"/>
    <n v="100"/>
  </r>
  <r>
    <n v="422"/>
    <x v="4"/>
    <d v="2025-07-20T00:00:00"/>
    <x v="1"/>
    <x v="0"/>
    <x v="0"/>
    <x v="1"/>
    <n v="5"/>
    <n v="12"/>
    <s v="Mobile Wallet"/>
    <x v="3"/>
    <n v="60"/>
  </r>
  <r>
    <n v="384"/>
    <x v="1"/>
    <d v="2025-09-13T00:00:00"/>
    <x v="2"/>
    <x v="2"/>
    <x v="2"/>
    <x v="1"/>
    <n v="4"/>
    <n v="12"/>
    <s v="Mobile Wallet"/>
    <x v="1"/>
    <n v="48"/>
  </r>
  <r>
    <n v="1103"/>
    <x v="6"/>
    <d v="2025-09-11T00:00:00"/>
    <x v="2"/>
    <x v="5"/>
    <x v="0"/>
    <x v="3"/>
    <n v="1"/>
    <n v="30"/>
    <s v="Cash"/>
    <x v="2"/>
    <n v="30"/>
  </r>
  <r>
    <n v="185"/>
    <x v="3"/>
    <d v="2025-08-03T00:00:00"/>
    <x v="0"/>
    <x v="0"/>
    <x v="3"/>
    <x v="4"/>
    <n v="5"/>
    <n v="8"/>
    <s v="Mobile Wallet"/>
    <x v="1"/>
    <n v="40"/>
  </r>
  <r>
    <n v="567"/>
    <x v="4"/>
    <d v="2025-07-16T00:00:00"/>
    <x v="1"/>
    <x v="6"/>
    <x v="1"/>
    <x v="1"/>
    <n v="4"/>
    <n v="12"/>
    <s v="Card"/>
    <x v="1"/>
    <n v="48"/>
  </r>
  <r>
    <n v="230"/>
    <x v="1"/>
    <d v="2025-07-22T00:00:00"/>
    <x v="1"/>
    <x v="3"/>
    <x v="1"/>
    <x v="1"/>
    <n v="3"/>
    <n v="12"/>
    <s v="Card"/>
    <x v="1"/>
    <n v="36"/>
  </r>
  <r>
    <n v="23"/>
    <x v="4"/>
    <d v="2025-09-27T00:00:00"/>
    <x v="2"/>
    <x v="2"/>
    <x v="2"/>
    <x v="3"/>
    <n v="4"/>
    <n v="30"/>
    <s v="Cash"/>
    <x v="3"/>
    <n v="120"/>
  </r>
  <r>
    <n v="973"/>
    <x v="3"/>
    <d v="2025-07-19T00:00:00"/>
    <x v="1"/>
    <x v="2"/>
    <x v="0"/>
    <x v="4"/>
    <n v="3"/>
    <n v="8"/>
    <s v="Card"/>
    <x v="3"/>
    <n v="24"/>
  </r>
  <r>
    <n v="1228"/>
    <x v="2"/>
    <d v="2025-08-05T00:00:00"/>
    <x v="0"/>
    <x v="3"/>
    <x v="2"/>
    <x v="1"/>
    <n v="4"/>
    <n v="12"/>
    <s v="Mobile Wallet"/>
    <x v="2"/>
    <n v="48"/>
  </r>
  <r>
    <n v="1252"/>
    <x v="0"/>
    <d v="2025-08-01T00:00:00"/>
    <x v="0"/>
    <x v="1"/>
    <x v="0"/>
    <x v="1"/>
    <n v="3"/>
    <n v="12"/>
    <s v="Mobile Wallet"/>
    <x v="2"/>
    <n v="36"/>
  </r>
  <r>
    <n v="898"/>
    <x v="6"/>
    <d v="2025-07-14T00:00:00"/>
    <x v="1"/>
    <x v="4"/>
    <x v="0"/>
    <x v="1"/>
    <n v="1"/>
    <n v="12"/>
    <s v="Card"/>
    <x v="1"/>
    <n v="12"/>
  </r>
  <r>
    <n v="750"/>
    <x v="4"/>
    <d v="2025-09-20T00:00:00"/>
    <x v="2"/>
    <x v="2"/>
    <x v="2"/>
    <x v="0"/>
    <n v="2"/>
    <n v="25"/>
    <s v="Mobile Wallet"/>
    <x v="1"/>
    <n v="50"/>
  </r>
  <r>
    <n v="41"/>
    <x v="7"/>
    <d v="2025-09-14T00:00:00"/>
    <x v="2"/>
    <x v="0"/>
    <x v="3"/>
    <x v="2"/>
    <n v="4"/>
    <n v="20"/>
    <s v="Card"/>
    <x v="0"/>
    <n v="80"/>
  </r>
  <r>
    <n v="1853"/>
    <x v="0"/>
    <d v="2025-08-24T00:00:00"/>
    <x v="0"/>
    <x v="0"/>
    <x v="0"/>
    <x v="0"/>
    <n v="2"/>
    <n v="25"/>
    <s v="Mobile Wallet"/>
    <x v="2"/>
    <n v="50"/>
  </r>
  <r>
    <n v="822"/>
    <x v="6"/>
    <d v="2025-07-01T00:00:00"/>
    <x v="1"/>
    <x v="3"/>
    <x v="0"/>
    <x v="1"/>
    <n v="3"/>
    <n v="12"/>
    <s v="Cash"/>
    <x v="1"/>
    <n v="36"/>
  </r>
  <r>
    <n v="177"/>
    <x v="7"/>
    <d v="2025-07-13T00:00:00"/>
    <x v="1"/>
    <x v="0"/>
    <x v="1"/>
    <x v="1"/>
    <n v="1"/>
    <n v="12"/>
    <s v="Mobile Wallet"/>
    <x v="1"/>
    <n v="12"/>
  </r>
  <r>
    <n v="754"/>
    <x v="4"/>
    <d v="2025-08-10T00:00:00"/>
    <x v="0"/>
    <x v="0"/>
    <x v="2"/>
    <x v="1"/>
    <n v="2"/>
    <n v="12"/>
    <s v="Cash"/>
    <x v="2"/>
    <n v="24"/>
  </r>
  <r>
    <n v="432"/>
    <x v="0"/>
    <d v="2025-07-15T00:00:00"/>
    <x v="1"/>
    <x v="3"/>
    <x v="1"/>
    <x v="2"/>
    <n v="5"/>
    <n v="20"/>
    <s v="Cash"/>
    <x v="0"/>
    <n v="100"/>
  </r>
  <r>
    <n v="1027"/>
    <x v="4"/>
    <d v="2025-08-21T00:00:00"/>
    <x v="0"/>
    <x v="5"/>
    <x v="3"/>
    <x v="3"/>
    <n v="2"/>
    <n v="30"/>
    <s v="Cash"/>
    <x v="3"/>
    <n v="60"/>
  </r>
  <r>
    <n v="777"/>
    <x v="3"/>
    <d v="2025-07-06T00:00:00"/>
    <x v="1"/>
    <x v="0"/>
    <x v="3"/>
    <x v="1"/>
    <n v="4"/>
    <n v="12"/>
    <s v="Card"/>
    <x v="0"/>
    <n v="48"/>
  </r>
  <r>
    <n v="262"/>
    <x v="3"/>
    <d v="2025-09-07T00:00:00"/>
    <x v="2"/>
    <x v="0"/>
    <x v="1"/>
    <x v="0"/>
    <n v="3"/>
    <n v="25"/>
    <s v="Cash"/>
    <x v="1"/>
    <n v="75"/>
  </r>
  <r>
    <n v="722"/>
    <x v="3"/>
    <d v="2025-09-08T00:00:00"/>
    <x v="2"/>
    <x v="4"/>
    <x v="3"/>
    <x v="4"/>
    <n v="5"/>
    <n v="8"/>
    <s v="Card"/>
    <x v="2"/>
    <n v="40"/>
  </r>
  <r>
    <n v="56"/>
    <x v="3"/>
    <d v="2025-07-20T00:00:00"/>
    <x v="1"/>
    <x v="0"/>
    <x v="0"/>
    <x v="4"/>
    <n v="2"/>
    <n v="8"/>
    <s v="Card"/>
    <x v="2"/>
    <n v="16"/>
  </r>
  <r>
    <n v="1556"/>
    <x v="3"/>
    <d v="2025-08-16T00:00:00"/>
    <x v="0"/>
    <x v="2"/>
    <x v="1"/>
    <x v="0"/>
    <n v="5"/>
    <n v="25"/>
    <s v="Cash"/>
    <x v="3"/>
    <n v="125"/>
  </r>
  <r>
    <n v="1835"/>
    <x v="3"/>
    <d v="2025-07-02T00:00:00"/>
    <x v="1"/>
    <x v="6"/>
    <x v="0"/>
    <x v="1"/>
    <n v="5"/>
    <n v="12"/>
    <s v="Card"/>
    <x v="2"/>
    <n v="60"/>
  </r>
  <r>
    <n v="631"/>
    <x v="3"/>
    <d v="2025-07-02T00:00:00"/>
    <x v="1"/>
    <x v="6"/>
    <x v="0"/>
    <x v="0"/>
    <n v="1"/>
    <n v="25"/>
    <s v="Card"/>
    <x v="2"/>
    <n v="25"/>
  </r>
  <r>
    <n v="974"/>
    <x v="7"/>
    <d v="2025-09-25T00:00:00"/>
    <x v="2"/>
    <x v="5"/>
    <x v="0"/>
    <x v="4"/>
    <n v="5"/>
    <n v="8"/>
    <s v="Card"/>
    <x v="1"/>
    <n v="40"/>
  </r>
  <r>
    <n v="1478"/>
    <x v="2"/>
    <d v="2025-07-30T00:00:00"/>
    <x v="1"/>
    <x v="6"/>
    <x v="0"/>
    <x v="0"/>
    <n v="3"/>
    <n v="25"/>
    <s v="Mobile Wallet"/>
    <x v="0"/>
    <n v="75"/>
  </r>
  <r>
    <n v="781"/>
    <x v="3"/>
    <d v="2025-07-13T00:00:00"/>
    <x v="1"/>
    <x v="0"/>
    <x v="0"/>
    <x v="1"/>
    <n v="1"/>
    <n v="12"/>
    <s v="Card"/>
    <x v="2"/>
    <n v="12"/>
  </r>
  <r>
    <n v="1740"/>
    <x v="7"/>
    <d v="2025-07-31T00:00:00"/>
    <x v="1"/>
    <x v="5"/>
    <x v="1"/>
    <x v="0"/>
    <n v="3"/>
    <n v="25"/>
    <s v="Card"/>
    <x v="2"/>
    <n v="75"/>
  </r>
  <r>
    <n v="1448"/>
    <x v="2"/>
    <d v="2025-07-13T00:00:00"/>
    <x v="1"/>
    <x v="0"/>
    <x v="0"/>
    <x v="4"/>
    <n v="4"/>
    <n v="8"/>
    <s v="Mobile Wallet"/>
    <x v="2"/>
    <n v="32"/>
  </r>
  <r>
    <n v="1813"/>
    <x v="5"/>
    <d v="2025-09-18T00:00:00"/>
    <x v="2"/>
    <x v="5"/>
    <x v="2"/>
    <x v="1"/>
    <n v="5"/>
    <n v="12"/>
    <s v="Card"/>
    <x v="2"/>
    <n v="60"/>
  </r>
  <r>
    <n v="1443"/>
    <x v="6"/>
    <d v="2025-08-10T00:00:00"/>
    <x v="0"/>
    <x v="0"/>
    <x v="2"/>
    <x v="1"/>
    <n v="4"/>
    <n v="12"/>
    <s v="Card"/>
    <x v="0"/>
    <n v="48"/>
  </r>
  <r>
    <n v="1775"/>
    <x v="5"/>
    <d v="2025-09-14T00:00:00"/>
    <x v="2"/>
    <x v="0"/>
    <x v="2"/>
    <x v="4"/>
    <n v="1"/>
    <n v="8"/>
    <s v="Cash"/>
    <x v="1"/>
    <n v="8"/>
  </r>
  <r>
    <n v="1175"/>
    <x v="3"/>
    <d v="2025-07-13T00:00:00"/>
    <x v="1"/>
    <x v="0"/>
    <x v="0"/>
    <x v="1"/>
    <n v="1"/>
    <n v="12"/>
    <s v="Cash"/>
    <x v="2"/>
    <n v="12"/>
  </r>
  <r>
    <n v="790"/>
    <x v="5"/>
    <d v="2025-07-25T00:00:00"/>
    <x v="1"/>
    <x v="1"/>
    <x v="1"/>
    <x v="3"/>
    <n v="5"/>
    <n v="30"/>
    <s v="Mobile Wallet"/>
    <x v="3"/>
    <n v="150"/>
  </r>
  <r>
    <n v="681"/>
    <x v="2"/>
    <d v="2025-07-24T00:00:00"/>
    <x v="1"/>
    <x v="5"/>
    <x v="1"/>
    <x v="1"/>
    <n v="5"/>
    <n v="12"/>
    <s v="Cash"/>
    <x v="1"/>
    <n v="60"/>
  </r>
  <r>
    <n v="1571"/>
    <x v="4"/>
    <d v="2025-09-25T00:00:00"/>
    <x v="2"/>
    <x v="5"/>
    <x v="0"/>
    <x v="1"/>
    <n v="4"/>
    <n v="12"/>
    <s v="Card"/>
    <x v="3"/>
    <n v="48"/>
  </r>
  <r>
    <n v="1679"/>
    <x v="0"/>
    <d v="2025-09-13T00:00:00"/>
    <x v="2"/>
    <x v="2"/>
    <x v="0"/>
    <x v="2"/>
    <n v="5"/>
    <n v="20"/>
    <s v="Card"/>
    <x v="1"/>
    <n v="100"/>
  </r>
  <r>
    <n v="1017"/>
    <x v="4"/>
    <d v="2025-07-20T00:00:00"/>
    <x v="1"/>
    <x v="0"/>
    <x v="0"/>
    <x v="4"/>
    <n v="3"/>
    <n v="8"/>
    <s v="Mobile Wallet"/>
    <x v="2"/>
    <n v="24"/>
  </r>
  <r>
    <n v="1857"/>
    <x v="1"/>
    <d v="2025-08-02T00:00:00"/>
    <x v="0"/>
    <x v="2"/>
    <x v="0"/>
    <x v="1"/>
    <n v="3"/>
    <n v="12"/>
    <s v="Card"/>
    <x v="0"/>
    <n v="36"/>
  </r>
  <r>
    <n v="1380"/>
    <x v="4"/>
    <d v="2025-07-28T00:00:00"/>
    <x v="1"/>
    <x v="4"/>
    <x v="0"/>
    <x v="4"/>
    <n v="2"/>
    <n v="8"/>
    <s v="Mobile Wallet"/>
    <x v="2"/>
    <n v="16"/>
  </r>
  <r>
    <n v="33"/>
    <x v="6"/>
    <d v="2025-08-28T00:00:00"/>
    <x v="0"/>
    <x v="5"/>
    <x v="0"/>
    <x v="1"/>
    <n v="2"/>
    <n v="12"/>
    <s v="Card"/>
    <x v="2"/>
    <n v="24"/>
  </r>
  <r>
    <n v="1530"/>
    <x v="6"/>
    <d v="2025-08-09T00:00:00"/>
    <x v="0"/>
    <x v="2"/>
    <x v="0"/>
    <x v="1"/>
    <n v="5"/>
    <n v="12"/>
    <s v="Cash"/>
    <x v="0"/>
    <n v="60"/>
  </r>
  <r>
    <n v="1723"/>
    <x v="5"/>
    <d v="2025-08-15T00:00:00"/>
    <x v="0"/>
    <x v="1"/>
    <x v="0"/>
    <x v="3"/>
    <n v="1"/>
    <n v="30"/>
    <s v="Cash"/>
    <x v="1"/>
    <n v="30"/>
  </r>
  <r>
    <n v="153"/>
    <x v="3"/>
    <d v="2025-08-09T00:00:00"/>
    <x v="0"/>
    <x v="2"/>
    <x v="0"/>
    <x v="4"/>
    <n v="2"/>
    <n v="8"/>
    <s v="Card"/>
    <x v="0"/>
    <n v="16"/>
  </r>
  <r>
    <n v="672"/>
    <x v="0"/>
    <d v="2025-07-21T00:00:00"/>
    <x v="1"/>
    <x v="4"/>
    <x v="0"/>
    <x v="1"/>
    <n v="3"/>
    <n v="12"/>
    <s v="Mobile Wallet"/>
    <x v="3"/>
    <n v="36"/>
  </r>
  <r>
    <n v="1066"/>
    <x v="7"/>
    <d v="2025-09-14T00:00:00"/>
    <x v="2"/>
    <x v="0"/>
    <x v="0"/>
    <x v="1"/>
    <n v="2"/>
    <n v="12"/>
    <s v="Cash"/>
    <x v="0"/>
    <n v="24"/>
  </r>
  <r>
    <n v="1748"/>
    <x v="3"/>
    <d v="2025-09-20T00:00:00"/>
    <x v="2"/>
    <x v="2"/>
    <x v="0"/>
    <x v="1"/>
    <n v="5"/>
    <n v="12"/>
    <s v="Cash"/>
    <x v="0"/>
    <n v="60"/>
  </r>
  <r>
    <n v="1682"/>
    <x v="4"/>
    <d v="2025-07-20T00:00:00"/>
    <x v="1"/>
    <x v="0"/>
    <x v="0"/>
    <x v="1"/>
    <n v="3"/>
    <n v="12"/>
    <s v="Cash"/>
    <x v="0"/>
    <n v="36"/>
  </r>
  <r>
    <n v="1761"/>
    <x v="2"/>
    <d v="2025-08-17T00:00:00"/>
    <x v="0"/>
    <x v="0"/>
    <x v="0"/>
    <x v="1"/>
    <n v="2"/>
    <n v="12"/>
    <s v="Card"/>
    <x v="2"/>
    <n v="24"/>
  </r>
  <r>
    <n v="1515"/>
    <x v="6"/>
    <d v="2025-08-02T00:00:00"/>
    <x v="0"/>
    <x v="2"/>
    <x v="0"/>
    <x v="2"/>
    <n v="2"/>
    <n v="20"/>
    <s v="Cash"/>
    <x v="0"/>
    <n v="40"/>
  </r>
  <r>
    <n v="142"/>
    <x v="3"/>
    <d v="2025-09-10T00:00:00"/>
    <x v="2"/>
    <x v="6"/>
    <x v="0"/>
    <x v="0"/>
    <n v="1"/>
    <n v="25"/>
    <s v="Card"/>
    <x v="2"/>
    <n v="25"/>
  </r>
  <r>
    <n v="940"/>
    <x v="4"/>
    <d v="2025-08-02T00:00:00"/>
    <x v="0"/>
    <x v="2"/>
    <x v="0"/>
    <x v="1"/>
    <n v="2"/>
    <n v="12"/>
    <s v="Cash"/>
    <x v="2"/>
    <n v="24"/>
  </r>
  <r>
    <n v="1567"/>
    <x v="1"/>
    <d v="2025-07-31T00:00:00"/>
    <x v="1"/>
    <x v="5"/>
    <x v="0"/>
    <x v="0"/>
    <n v="1"/>
    <n v="25"/>
    <s v="Card"/>
    <x v="3"/>
    <n v="25"/>
  </r>
  <r>
    <n v="1985"/>
    <x v="0"/>
    <d v="2025-08-02T00:00:00"/>
    <x v="0"/>
    <x v="2"/>
    <x v="0"/>
    <x v="2"/>
    <n v="3"/>
    <n v="20"/>
    <s v="Cash"/>
    <x v="3"/>
    <n v="60"/>
  </r>
  <r>
    <n v="627"/>
    <x v="1"/>
    <d v="2025-08-31T00:00:00"/>
    <x v="0"/>
    <x v="0"/>
    <x v="0"/>
    <x v="1"/>
    <n v="5"/>
    <n v="12"/>
    <s v="Cash"/>
    <x v="2"/>
    <n v="60"/>
  </r>
  <r>
    <n v="283"/>
    <x v="0"/>
    <d v="2025-09-21T00:00:00"/>
    <x v="2"/>
    <x v="0"/>
    <x v="0"/>
    <x v="1"/>
    <n v="4"/>
    <n v="12"/>
    <s v="Cash"/>
    <x v="3"/>
    <n v="48"/>
  </r>
  <r>
    <n v="1961"/>
    <x v="4"/>
    <d v="2025-09-14T00:00:00"/>
    <x v="2"/>
    <x v="0"/>
    <x v="0"/>
    <x v="0"/>
    <n v="5"/>
    <n v="25"/>
    <s v="Cash"/>
    <x v="2"/>
    <n v="125"/>
  </r>
  <r>
    <n v="887"/>
    <x v="3"/>
    <d v="2025-07-28T00:00:00"/>
    <x v="1"/>
    <x v="4"/>
    <x v="0"/>
    <x v="0"/>
    <n v="4"/>
    <n v="25"/>
    <s v="Cash"/>
    <x v="3"/>
    <n v="100"/>
  </r>
  <r>
    <n v="436"/>
    <x v="2"/>
    <d v="2025-07-25T00:00:00"/>
    <x v="1"/>
    <x v="1"/>
    <x v="0"/>
    <x v="1"/>
    <n v="3"/>
    <n v="12"/>
    <s v="Cash"/>
    <x v="3"/>
    <n v="36"/>
  </r>
  <r>
    <n v="67"/>
    <x v="6"/>
    <d v="2025-09-29T00:00:00"/>
    <x v="2"/>
    <x v="4"/>
    <x v="0"/>
    <x v="1"/>
    <n v="3"/>
    <n v="12"/>
    <s v="Card"/>
    <x v="1"/>
    <n v="36"/>
  </r>
  <r>
    <n v="1332"/>
    <x v="0"/>
    <d v="2025-09-13T00:00:00"/>
    <x v="2"/>
    <x v="2"/>
    <x v="0"/>
    <x v="4"/>
    <n v="4"/>
    <n v="8"/>
    <s v="Mobile Wallet"/>
    <x v="3"/>
    <n v="32"/>
  </r>
  <r>
    <n v="1294"/>
    <x v="3"/>
    <d v="2025-08-03T00:00:00"/>
    <x v="0"/>
    <x v="0"/>
    <x v="0"/>
    <x v="0"/>
    <n v="5"/>
    <n v="25"/>
    <s v="Card"/>
    <x v="3"/>
    <n v="125"/>
  </r>
  <r>
    <n v="637"/>
    <x v="3"/>
    <d v="2025-09-13T00:00:00"/>
    <x v="2"/>
    <x v="2"/>
    <x v="0"/>
    <x v="3"/>
    <n v="3"/>
    <n v="30"/>
    <s v="Mobile Wallet"/>
    <x v="1"/>
    <n v="90"/>
  </r>
  <r>
    <n v="126"/>
    <x v="2"/>
    <d v="2025-09-07T00:00:00"/>
    <x v="2"/>
    <x v="0"/>
    <x v="0"/>
    <x v="4"/>
    <n v="1"/>
    <n v="8"/>
    <s v="Cash"/>
    <x v="1"/>
    <n v="8"/>
  </r>
  <r>
    <n v="811"/>
    <x v="7"/>
    <d v="2025-07-05T00:00:00"/>
    <x v="1"/>
    <x v="2"/>
    <x v="0"/>
    <x v="1"/>
    <n v="5"/>
    <n v="12"/>
    <s v="Card"/>
    <x v="1"/>
    <n v="60"/>
  </r>
  <r>
    <n v="1498"/>
    <x v="2"/>
    <d v="2025-07-13T00:00:00"/>
    <x v="1"/>
    <x v="0"/>
    <x v="0"/>
    <x v="2"/>
    <n v="5"/>
    <n v="20"/>
    <s v="Mobile Wallet"/>
    <x v="2"/>
    <n v="100"/>
  </r>
  <r>
    <n v="451"/>
    <x v="0"/>
    <d v="2025-07-04T00:00:00"/>
    <x v="1"/>
    <x v="1"/>
    <x v="0"/>
    <x v="1"/>
    <n v="5"/>
    <n v="12"/>
    <s v="Mobile Wallet"/>
    <x v="1"/>
    <n v="60"/>
  </r>
  <r>
    <n v="4"/>
    <x v="5"/>
    <d v="2025-07-01T00:00:00"/>
    <x v="1"/>
    <x v="3"/>
    <x v="0"/>
    <x v="1"/>
    <n v="3"/>
    <n v="12"/>
    <s v="Mobile Wallet"/>
    <x v="0"/>
    <n v="36"/>
  </r>
  <r>
    <n v="628"/>
    <x v="0"/>
    <d v="2025-08-27T00:00:00"/>
    <x v="0"/>
    <x v="6"/>
    <x v="0"/>
    <x v="4"/>
    <n v="4"/>
    <n v="8"/>
    <s v="Card"/>
    <x v="2"/>
    <n v="32"/>
  </r>
  <r>
    <n v="829"/>
    <x v="5"/>
    <d v="2025-07-26T00:00:00"/>
    <x v="1"/>
    <x v="2"/>
    <x v="0"/>
    <x v="1"/>
    <n v="5"/>
    <n v="12"/>
    <s v="Mobile Wallet"/>
    <x v="0"/>
    <n v="60"/>
  </r>
  <r>
    <n v="1520"/>
    <x v="1"/>
    <d v="2025-07-06T00:00:00"/>
    <x v="1"/>
    <x v="0"/>
    <x v="0"/>
    <x v="1"/>
    <n v="1"/>
    <n v="12"/>
    <s v="Mobile Wallet"/>
    <x v="0"/>
    <n v="12"/>
  </r>
  <r>
    <n v="1605"/>
    <x v="6"/>
    <d v="2025-08-09T00:00:00"/>
    <x v="0"/>
    <x v="2"/>
    <x v="0"/>
    <x v="1"/>
    <n v="2"/>
    <n v="12"/>
    <s v="Cash"/>
    <x v="1"/>
    <n v="24"/>
  </r>
  <r>
    <n v="1141"/>
    <x v="0"/>
    <d v="2025-07-13T00:00:00"/>
    <x v="1"/>
    <x v="0"/>
    <x v="0"/>
    <x v="1"/>
    <n v="4"/>
    <n v="12"/>
    <s v="Cash"/>
    <x v="3"/>
    <n v="48"/>
  </r>
  <r>
    <n v="1924"/>
    <x v="7"/>
    <d v="2025-09-08T00:00:00"/>
    <x v="2"/>
    <x v="4"/>
    <x v="0"/>
    <x v="1"/>
    <n v="4"/>
    <n v="12"/>
    <s v="Cash"/>
    <x v="1"/>
    <n v="48"/>
  </r>
  <r>
    <n v="1061"/>
    <x v="3"/>
    <d v="2025-07-28T00:00:00"/>
    <x v="1"/>
    <x v="4"/>
    <x v="0"/>
    <x v="1"/>
    <n v="2"/>
    <n v="12"/>
    <s v="Cash"/>
    <x v="2"/>
    <n v="24"/>
  </r>
  <r>
    <n v="1127"/>
    <x v="6"/>
    <d v="2025-08-26T00:00:00"/>
    <x v="0"/>
    <x v="3"/>
    <x v="0"/>
    <x v="4"/>
    <n v="5"/>
    <n v="8"/>
    <s v="Cash"/>
    <x v="2"/>
    <n v="40"/>
  </r>
  <r>
    <n v="840"/>
    <x v="1"/>
    <d v="2025-08-01T00:00:00"/>
    <x v="0"/>
    <x v="1"/>
    <x v="0"/>
    <x v="1"/>
    <n v="5"/>
    <n v="12"/>
    <s v="Card"/>
    <x v="2"/>
    <n v="60"/>
  </r>
  <r>
    <n v="493"/>
    <x v="3"/>
    <d v="2025-08-26T00:00:00"/>
    <x v="0"/>
    <x v="3"/>
    <x v="0"/>
    <x v="4"/>
    <n v="5"/>
    <n v="8"/>
    <s v="Mobile Wallet"/>
    <x v="3"/>
    <n v="40"/>
  </r>
  <r>
    <n v="1033"/>
    <x v="3"/>
    <d v="2025-07-24T00:00:00"/>
    <x v="1"/>
    <x v="5"/>
    <x v="0"/>
    <x v="4"/>
    <n v="4"/>
    <n v="8"/>
    <s v="Mobile Wallet"/>
    <x v="3"/>
    <n v="32"/>
  </r>
  <r>
    <n v="1209"/>
    <x v="3"/>
    <d v="2025-09-17T00:00:00"/>
    <x v="2"/>
    <x v="6"/>
    <x v="0"/>
    <x v="1"/>
    <n v="4"/>
    <n v="12"/>
    <s v="Card"/>
    <x v="3"/>
    <n v="48"/>
  </r>
  <r>
    <n v="1862"/>
    <x v="0"/>
    <d v="2025-09-01T00:00:00"/>
    <x v="2"/>
    <x v="4"/>
    <x v="0"/>
    <x v="0"/>
    <n v="4"/>
    <n v="25"/>
    <s v="Cash"/>
    <x v="0"/>
    <n v="100"/>
  </r>
  <r>
    <n v="710"/>
    <x v="2"/>
    <d v="2025-07-16T00:00:00"/>
    <x v="1"/>
    <x v="6"/>
    <x v="0"/>
    <x v="1"/>
    <n v="5"/>
    <n v="12"/>
    <s v="Cash"/>
    <x v="2"/>
    <n v="60"/>
  </r>
  <r>
    <n v="720"/>
    <x v="6"/>
    <d v="2025-09-28T00:00:00"/>
    <x v="2"/>
    <x v="0"/>
    <x v="0"/>
    <x v="1"/>
    <n v="3"/>
    <n v="12"/>
    <s v="Mobile Wallet"/>
    <x v="1"/>
    <n v="36"/>
  </r>
  <r>
    <n v="73"/>
    <x v="3"/>
    <d v="2025-09-19T00:00:00"/>
    <x v="2"/>
    <x v="1"/>
    <x v="0"/>
    <x v="1"/>
    <n v="1"/>
    <n v="12"/>
    <s v="Cash"/>
    <x v="1"/>
    <n v="12"/>
  </r>
  <r>
    <n v="805"/>
    <x v="0"/>
    <d v="2025-07-14T00:00:00"/>
    <x v="1"/>
    <x v="4"/>
    <x v="0"/>
    <x v="0"/>
    <n v="3"/>
    <n v="25"/>
    <s v="Card"/>
    <x v="1"/>
    <n v="75"/>
  </r>
  <r>
    <n v="301"/>
    <x v="3"/>
    <d v="2025-08-03T00:00:00"/>
    <x v="0"/>
    <x v="0"/>
    <x v="0"/>
    <x v="2"/>
    <n v="5"/>
    <n v="20"/>
    <s v="Mobile Wallet"/>
    <x v="3"/>
    <n v="100"/>
  </r>
  <r>
    <n v="795"/>
    <x v="3"/>
    <d v="2025-07-06T00:00:00"/>
    <x v="1"/>
    <x v="0"/>
    <x v="0"/>
    <x v="1"/>
    <n v="3"/>
    <n v="12"/>
    <s v="Cash"/>
    <x v="0"/>
    <n v="36"/>
  </r>
  <r>
    <n v="1126"/>
    <x v="3"/>
    <d v="2025-09-09T00:00:00"/>
    <x v="2"/>
    <x v="3"/>
    <x v="0"/>
    <x v="0"/>
    <n v="2"/>
    <n v="25"/>
    <s v="Card"/>
    <x v="1"/>
    <n v="50"/>
  </r>
  <r>
    <n v="327"/>
    <x v="3"/>
    <d v="2025-08-17T00:00:00"/>
    <x v="0"/>
    <x v="0"/>
    <x v="0"/>
    <x v="2"/>
    <n v="3"/>
    <n v="20"/>
    <s v="Cash"/>
    <x v="1"/>
    <n v="60"/>
  </r>
  <r>
    <n v="744"/>
    <x v="3"/>
    <d v="2025-09-10T00:00:00"/>
    <x v="2"/>
    <x v="6"/>
    <x v="0"/>
    <x v="1"/>
    <n v="4"/>
    <n v="12"/>
    <s v="Cash"/>
    <x v="3"/>
    <n v="48"/>
  </r>
  <r>
    <n v="1539"/>
    <x v="3"/>
    <d v="2025-09-30T00:00:00"/>
    <x v="2"/>
    <x v="3"/>
    <x v="0"/>
    <x v="4"/>
    <n v="2"/>
    <n v="8"/>
    <s v="Card"/>
    <x v="3"/>
    <n v="16"/>
  </r>
  <r>
    <n v="1094"/>
    <x v="3"/>
    <d v="2025-09-07T00:00:00"/>
    <x v="2"/>
    <x v="0"/>
    <x v="0"/>
    <x v="2"/>
    <n v="4"/>
    <n v="20"/>
    <s v="Mobile Wallet"/>
    <x v="2"/>
    <n v="80"/>
  </r>
  <r>
    <n v="189"/>
    <x v="3"/>
    <d v="2025-09-07T00:00:00"/>
    <x v="2"/>
    <x v="0"/>
    <x v="0"/>
    <x v="4"/>
    <n v="3"/>
    <n v="8"/>
    <s v="Mobile Wallet"/>
    <x v="0"/>
    <n v="24"/>
  </r>
  <r>
    <n v="548"/>
    <x v="3"/>
    <d v="2025-09-05T00:00:00"/>
    <x v="2"/>
    <x v="1"/>
    <x v="0"/>
    <x v="1"/>
    <n v="2"/>
    <n v="12"/>
    <s v="Card"/>
    <x v="1"/>
    <n v="24"/>
  </r>
  <r>
    <n v="496"/>
    <x v="3"/>
    <d v="2025-07-22T00:00:00"/>
    <x v="1"/>
    <x v="3"/>
    <x v="0"/>
    <x v="1"/>
    <n v="1"/>
    <n v="12"/>
    <s v="Mobile Wallet"/>
    <x v="1"/>
    <n v="12"/>
  </r>
  <r>
    <n v="1134"/>
    <x v="3"/>
    <d v="2025-09-08T00:00:00"/>
    <x v="2"/>
    <x v="4"/>
    <x v="0"/>
    <x v="0"/>
    <n v="5"/>
    <n v="25"/>
    <s v="Mobile Wallet"/>
    <x v="3"/>
    <n v="125"/>
  </r>
  <r>
    <n v="1563"/>
    <x v="3"/>
    <d v="2025-08-13T00:00:00"/>
    <x v="0"/>
    <x v="6"/>
    <x v="0"/>
    <x v="1"/>
    <n v="2"/>
    <n v="12"/>
    <s v="Cash"/>
    <x v="2"/>
    <n v="24"/>
  </r>
  <r>
    <n v="1936"/>
    <x v="3"/>
    <d v="2025-09-22T00:00:00"/>
    <x v="2"/>
    <x v="4"/>
    <x v="0"/>
    <x v="0"/>
    <n v="5"/>
    <n v="25"/>
    <s v="Card"/>
    <x v="2"/>
    <n v="125"/>
  </r>
  <r>
    <n v="979"/>
    <x v="3"/>
    <d v="2025-07-13T00:00:00"/>
    <x v="1"/>
    <x v="0"/>
    <x v="0"/>
    <x v="4"/>
    <n v="1"/>
    <n v="8"/>
    <s v="Mobile Wallet"/>
    <x v="0"/>
    <n v="8"/>
  </r>
  <r>
    <n v="1741"/>
    <x v="3"/>
    <d v="2025-09-17T00:00:00"/>
    <x v="2"/>
    <x v="6"/>
    <x v="0"/>
    <x v="3"/>
    <n v="4"/>
    <n v="30"/>
    <s v="Cash"/>
    <x v="1"/>
    <n v="120"/>
  </r>
  <r>
    <n v="1852"/>
    <x v="3"/>
    <d v="2025-09-15T00:00:00"/>
    <x v="2"/>
    <x v="4"/>
    <x v="0"/>
    <x v="1"/>
    <n v="4"/>
    <n v="12"/>
    <s v="Card"/>
    <x v="1"/>
    <n v="48"/>
  </r>
  <r>
    <n v="1596"/>
    <x v="3"/>
    <d v="2025-07-31T00:00:00"/>
    <x v="1"/>
    <x v="5"/>
    <x v="0"/>
    <x v="0"/>
    <n v="3"/>
    <n v="25"/>
    <s v="Card"/>
    <x v="1"/>
    <n v="75"/>
  </r>
  <r>
    <n v="471"/>
    <x v="3"/>
    <d v="2025-09-13T00:00:00"/>
    <x v="2"/>
    <x v="2"/>
    <x v="0"/>
    <x v="1"/>
    <n v="3"/>
    <n v="12"/>
    <s v="Cash"/>
    <x v="2"/>
    <n v="36"/>
  </r>
  <r>
    <n v="123"/>
    <x v="3"/>
    <d v="2025-09-20T00:00:00"/>
    <x v="2"/>
    <x v="2"/>
    <x v="0"/>
    <x v="3"/>
    <n v="1"/>
    <n v="30"/>
    <s v="Mobile Wallet"/>
    <x v="1"/>
    <n v="30"/>
  </r>
  <r>
    <n v="1579"/>
    <x v="3"/>
    <d v="2025-09-08T00:00:00"/>
    <x v="2"/>
    <x v="4"/>
    <x v="0"/>
    <x v="4"/>
    <n v="2"/>
    <n v="8"/>
    <s v="Cash"/>
    <x v="0"/>
    <n v="16"/>
  </r>
  <r>
    <n v="305"/>
    <x v="3"/>
    <d v="2025-07-21T00:00:00"/>
    <x v="1"/>
    <x v="4"/>
    <x v="0"/>
    <x v="3"/>
    <n v="4"/>
    <n v="30"/>
    <s v="Card"/>
    <x v="1"/>
    <n v="120"/>
  </r>
  <r>
    <n v="1115"/>
    <x v="3"/>
    <d v="2025-07-12T00:00:00"/>
    <x v="1"/>
    <x v="2"/>
    <x v="0"/>
    <x v="1"/>
    <n v="4"/>
    <n v="12"/>
    <s v="Cash"/>
    <x v="2"/>
    <n v="48"/>
  </r>
  <r>
    <n v="532"/>
    <x v="3"/>
    <d v="2025-07-21T00:00:00"/>
    <x v="1"/>
    <x v="4"/>
    <x v="0"/>
    <x v="2"/>
    <n v="1"/>
    <n v="20"/>
    <s v="Cash"/>
    <x v="3"/>
    <n v="20"/>
  </r>
  <r>
    <n v="1426"/>
    <x v="3"/>
    <d v="2025-08-30T00:00:00"/>
    <x v="0"/>
    <x v="2"/>
    <x v="0"/>
    <x v="0"/>
    <n v="5"/>
    <n v="25"/>
    <s v="Mobile Wallet"/>
    <x v="3"/>
    <n v="125"/>
  </r>
  <r>
    <n v="504"/>
    <x v="3"/>
    <d v="2025-07-26T00:00:00"/>
    <x v="1"/>
    <x v="2"/>
    <x v="0"/>
    <x v="3"/>
    <n v="1"/>
    <n v="30"/>
    <s v="Mobile Wallet"/>
    <x v="2"/>
    <n v="30"/>
  </r>
  <r>
    <n v="359"/>
    <x v="3"/>
    <d v="2025-07-29T00:00:00"/>
    <x v="1"/>
    <x v="3"/>
    <x v="0"/>
    <x v="0"/>
    <n v="4"/>
    <n v="25"/>
    <s v="Mobile Wallet"/>
    <x v="2"/>
    <n v="100"/>
  </r>
  <r>
    <n v="1867"/>
    <x v="3"/>
    <d v="2025-07-09T00:00:00"/>
    <x v="1"/>
    <x v="6"/>
    <x v="0"/>
    <x v="1"/>
    <n v="5"/>
    <n v="12"/>
    <s v="Card"/>
    <x v="1"/>
    <n v="60"/>
  </r>
  <r>
    <n v="312"/>
    <x v="3"/>
    <d v="2025-09-21T00:00:00"/>
    <x v="2"/>
    <x v="0"/>
    <x v="0"/>
    <x v="2"/>
    <n v="1"/>
    <n v="20"/>
    <s v="Cash"/>
    <x v="1"/>
    <n v="20"/>
  </r>
  <r>
    <n v="1999"/>
    <x v="3"/>
    <d v="2025-09-21T00:00:00"/>
    <x v="2"/>
    <x v="0"/>
    <x v="0"/>
    <x v="0"/>
    <n v="4"/>
    <n v="25"/>
    <s v="Mobile Wallet"/>
    <x v="0"/>
    <n v="100"/>
  </r>
  <r>
    <n v="291"/>
    <x v="3"/>
    <d v="2025-09-28T00:00:00"/>
    <x v="2"/>
    <x v="0"/>
    <x v="0"/>
    <x v="0"/>
    <n v="1"/>
    <n v="25"/>
    <s v="Mobile Wallet"/>
    <x v="0"/>
    <n v="25"/>
  </r>
  <r>
    <n v="1708"/>
    <x v="3"/>
    <d v="2025-07-21T00:00:00"/>
    <x v="1"/>
    <x v="4"/>
    <x v="0"/>
    <x v="1"/>
    <n v="4"/>
    <n v="12"/>
    <s v="Mobile Wallet"/>
    <x v="3"/>
    <n v="48"/>
  </r>
  <r>
    <n v="1345"/>
    <x v="3"/>
    <d v="2025-08-21T00:00:00"/>
    <x v="0"/>
    <x v="5"/>
    <x v="0"/>
    <x v="1"/>
    <n v="2"/>
    <n v="12"/>
    <s v="Mobile Wallet"/>
    <x v="2"/>
    <n v="24"/>
  </r>
  <r>
    <n v="893"/>
    <x v="3"/>
    <d v="2025-08-23T00:00:00"/>
    <x v="0"/>
    <x v="2"/>
    <x v="0"/>
    <x v="4"/>
    <n v="5"/>
    <n v="8"/>
    <s v="Cash"/>
    <x v="2"/>
    <n v="40"/>
  </r>
  <r>
    <n v="469"/>
    <x v="3"/>
    <d v="2025-07-26T00:00:00"/>
    <x v="1"/>
    <x v="2"/>
    <x v="0"/>
    <x v="1"/>
    <n v="3"/>
    <n v="12"/>
    <s v="Mobile Wallet"/>
    <x v="1"/>
    <n v="36"/>
  </r>
  <r>
    <n v="1023"/>
    <x v="3"/>
    <d v="2025-08-20T00:00:00"/>
    <x v="0"/>
    <x v="6"/>
    <x v="0"/>
    <x v="4"/>
    <n v="4"/>
    <n v="8"/>
    <s v="Card"/>
    <x v="2"/>
    <n v="32"/>
  </r>
  <r>
    <n v="75"/>
    <x v="3"/>
    <d v="2025-08-27T00:00:00"/>
    <x v="0"/>
    <x v="6"/>
    <x v="0"/>
    <x v="2"/>
    <n v="3"/>
    <n v="20"/>
    <s v="Card"/>
    <x v="3"/>
    <n v="60"/>
  </r>
  <r>
    <n v="442"/>
    <x v="3"/>
    <d v="2025-08-09T00:00:00"/>
    <x v="0"/>
    <x v="2"/>
    <x v="0"/>
    <x v="0"/>
    <n v="4"/>
    <n v="25"/>
    <s v="Mobile Wallet"/>
    <x v="3"/>
    <n v="100"/>
  </r>
  <r>
    <n v="906"/>
    <x v="3"/>
    <d v="2025-08-30T00:00:00"/>
    <x v="0"/>
    <x v="2"/>
    <x v="0"/>
    <x v="1"/>
    <n v="2"/>
    <n v="12"/>
    <s v="Mobile Wallet"/>
    <x v="1"/>
    <n v="24"/>
  </r>
  <r>
    <n v="1088"/>
    <x v="3"/>
    <d v="2025-08-08T00:00:00"/>
    <x v="0"/>
    <x v="1"/>
    <x v="0"/>
    <x v="1"/>
    <n v="4"/>
    <n v="12"/>
    <s v="Card"/>
    <x v="2"/>
    <n v="48"/>
  </r>
  <r>
    <n v="1264"/>
    <x v="3"/>
    <d v="2025-07-06T00:00:00"/>
    <x v="1"/>
    <x v="0"/>
    <x v="0"/>
    <x v="1"/>
    <n v="2"/>
    <n v="12"/>
    <s v="Cash"/>
    <x v="3"/>
    <n v="24"/>
  </r>
  <r>
    <n v="964"/>
    <x v="3"/>
    <d v="2025-08-02T00:00:00"/>
    <x v="0"/>
    <x v="2"/>
    <x v="0"/>
    <x v="3"/>
    <n v="3"/>
    <n v="30"/>
    <s v="Mobile Wallet"/>
    <x v="3"/>
    <n v="90"/>
  </r>
  <r>
    <n v="281"/>
    <x v="3"/>
    <d v="2025-08-25T00:00:00"/>
    <x v="0"/>
    <x v="4"/>
    <x v="0"/>
    <x v="1"/>
    <n v="1"/>
    <n v="12"/>
    <s v="Cash"/>
    <x v="2"/>
    <n v="12"/>
  </r>
  <r>
    <n v="787"/>
    <x v="3"/>
    <d v="2025-09-19T00:00:00"/>
    <x v="2"/>
    <x v="1"/>
    <x v="0"/>
    <x v="3"/>
    <n v="4"/>
    <n v="30"/>
    <s v="Card"/>
    <x v="1"/>
    <n v="120"/>
  </r>
  <r>
    <n v="814"/>
    <x v="3"/>
    <d v="2025-08-11T00:00:00"/>
    <x v="0"/>
    <x v="4"/>
    <x v="0"/>
    <x v="1"/>
    <n v="3"/>
    <n v="12"/>
    <s v="Mobile Wallet"/>
    <x v="3"/>
    <n v="36"/>
  </r>
  <r>
    <n v="1634"/>
    <x v="3"/>
    <d v="2025-08-30T00:00:00"/>
    <x v="0"/>
    <x v="2"/>
    <x v="0"/>
    <x v="1"/>
    <n v="1"/>
    <n v="12"/>
    <s v="Card"/>
    <x v="3"/>
    <n v="12"/>
  </r>
  <r>
    <n v="1371"/>
    <x v="3"/>
    <d v="2025-09-29T00:00:00"/>
    <x v="2"/>
    <x v="4"/>
    <x v="0"/>
    <x v="1"/>
    <n v="4"/>
    <n v="12"/>
    <s v="Cash"/>
    <x v="0"/>
    <n v="48"/>
  </r>
  <r>
    <n v="1268"/>
    <x v="3"/>
    <d v="2025-07-21T00:00:00"/>
    <x v="1"/>
    <x v="4"/>
    <x v="0"/>
    <x v="0"/>
    <n v="3"/>
    <n v="25"/>
    <s v="Card"/>
    <x v="0"/>
    <n v="75"/>
  </r>
  <r>
    <n v="967"/>
    <x v="3"/>
    <d v="2025-08-24T00:00:00"/>
    <x v="0"/>
    <x v="0"/>
    <x v="0"/>
    <x v="4"/>
    <n v="1"/>
    <n v="8"/>
    <s v="Mobile Wallet"/>
    <x v="1"/>
    <n v="8"/>
  </r>
  <r>
    <n v="1367"/>
    <x v="3"/>
    <d v="2025-07-16T00:00:00"/>
    <x v="1"/>
    <x v="6"/>
    <x v="0"/>
    <x v="1"/>
    <n v="2"/>
    <n v="12"/>
    <s v="Cash"/>
    <x v="0"/>
    <n v="24"/>
  </r>
  <r>
    <n v="1324"/>
    <x v="3"/>
    <d v="2025-09-22T00:00:00"/>
    <x v="2"/>
    <x v="4"/>
    <x v="0"/>
    <x v="0"/>
    <n v="4"/>
    <n v="25"/>
    <s v="Mobile Wallet"/>
    <x v="3"/>
    <n v="100"/>
  </r>
  <r>
    <n v="1142"/>
    <x v="3"/>
    <d v="2025-08-02T00:00:00"/>
    <x v="0"/>
    <x v="2"/>
    <x v="0"/>
    <x v="3"/>
    <n v="2"/>
    <n v="30"/>
    <s v="Card"/>
    <x v="1"/>
    <n v="60"/>
  </r>
  <r>
    <n v="1603"/>
    <x v="3"/>
    <d v="2025-08-09T00:00:00"/>
    <x v="0"/>
    <x v="2"/>
    <x v="0"/>
    <x v="1"/>
    <n v="5"/>
    <n v="12"/>
    <s v="Card"/>
    <x v="1"/>
    <n v="60"/>
  </r>
  <r>
    <n v="1756"/>
    <x v="3"/>
    <d v="2025-09-20T00:00:00"/>
    <x v="2"/>
    <x v="2"/>
    <x v="0"/>
    <x v="1"/>
    <n v="1"/>
    <n v="12"/>
    <s v="Mobile Wallet"/>
    <x v="3"/>
    <n v="12"/>
  </r>
  <r>
    <n v="518"/>
    <x v="3"/>
    <d v="2025-07-28T00:00:00"/>
    <x v="1"/>
    <x v="4"/>
    <x v="0"/>
    <x v="1"/>
    <n v="2"/>
    <n v="12"/>
    <s v="Cash"/>
    <x v="0"/>
    <n v="24"/>
  </r>
  <r>
    <n v="1710"/>
    <x v="3"/>
    <d v="2025-09-15T00:00:00"/>
    <x v="2"/>
    <x v="4"/>
    <x v="0"/>
    <x v="3"/>
    <n v="5"/>
    <n v="30"/>
    <s v="Cash"/>
    <x v="2"/>
    <n v="150"/>
  </r>
  <r>
    <n v="1130"/>
    <x v="3"/>
    <d v="2025-07-13T00:00:00"/>
    <x v="1"/>
    <x v="0"/>
    <x v="0"/>
    <x v="2"/>
    <n v="1"/>
    <n v="20"/>
    <s v="Cash"/>
    <x v="0"/>
    <n v="20"/>
  </r>
  <r>
    <n v="1782"/>
    <x v="3"/>
    <d v="2025-07-24T00:00:00"/>
    <x v="1"/>
    <x v="5"/>
    <x v="0"/>
    <x v="1"/>
    <n v="2"/>
    <n v="12"/>
    <s v="Cash"/>
    <x v="1"/>
    <n v="24"/>
  </r>
  <r>
    <n v="355"/>
    <x v="3"/>
    <d v="2025-09-19T00:00:00"/>
    <x v="2"/>
    <x v="1"/>
    <x v="0"/>
    <x v="4"/>
    <n v="4"/>
    <n v="8"/>
    <s v="Card"/>
    <x v="0"/>
    <n v="32"/>
  </r>
  <r>
    <n v="1499"/>
    <x v="3"/>
    <d v="2025-08-24T00:00:00"/>
    <x v="0"/>
    <x v="0"/>
    <x v="0"/>
    <x v="1"/>
    <n v="3"/>
    <n v="12"/>
    <s v="Cash"/>
    <x v="0"/>
    <n v="36"/>
  </r>
  <r>
    <n v="788"/>
    <x v="3"/>
    <d v="2025-09-30T00:00:00"/>
    <x v="2"/>
    <x v="3"/>
    <x v="0"/>
    <x v="1"/>
    <n v="1"/>
    <n v="12"/>
    <s v="Mobile Wallet"/>
    <x v="1"/>
    <n v="12"/>
  </r>
  <r>
    <n v="752"/>
    <x v="3"/>
    <d v="2025-07-26T00:00:00"/>
    <x v="1"/>
    <x v="2"/>
    <x v="0"/>
    <x v="4"/>
    <n v="2"/>
    <n v="8"/>
    <s v="Card"/>
    <x v="1"/>
    <n v="16"/>
  </r>
  <r>
    <n v="1921"/>
    <x v="7"/>
    <d v="2025-08-07T00:00:00"/>
    <x v="0"/>
    <x v="5"/>
    <x v="0"/>
    <x v="3"/>
    <n v="2"/>
    <n v="30"/>
    <s v="Cash"/>
    <x v="3"/>
    <n v="60"/>
  </r>
  <r>
    <n v="1964"/>
    <x v="4"/>
    <d v="2025-08-19T00:00:00"/>
    <x v="0"/>
    <x v="3"/>
    <x v="0"/>
    <x v="0"/>
    <n v="1"/>
    <n v="25"/>
    <s v="Mobile Wallet"/>
    <x v="2"/>
    <n v="25"/>
  </r>
  <r>
    <n v="1841"/>
    <x v="4"/>
    <d v="2025-09-16T00:00:00"/>
    <x v="2"/>
    <x v="3"/>
    <x v="0"/>
    <x v="0"/>
    <n v="5"/>
    <n v="25"/>
    <s v="Mobile Wallet"/>
    <x v="3"/>
    <n v="125"/>
  </r>
  <r>
    <n v="48"/>
    <x v="5"/>
    <d v="2025-07-26T00:00:00"/>
    <x v="1"/>
    <x v="2"/>
    <x v="0"/>
    <x v="4"/>
    <n v="3"/>
    <n v="8"/>
    <s v="Cash"/>
    <x v="3"/>
    <n v="24"/>
  </r>
  <r>
    <n v="452"/>
    <x v="0"/>
    <d v="2025-09-07T00:00:00"/>
    <x v="2"/>
    <x v="0"/>
    <x v="0"/>
    <x v="3"/>
    <n v="3"/>
    <n v="30"/>
    <s v="Cash"/>
    <x v="1"/>
    <n v="90"/>
  </r>
  <r>
    <n v="154"/>
    <x v="7"/>
    <d v="2025-08-02T00:00:00"/>
    <x v="0"/>
    <x v="2"/>
    <x v="0"/>
    <x v="2"/>
    <n v="2"/>
    <n v="20"/>
    <s v="Mobile Wallet"/>
    <x v="3"/>
    <n v="40"/>
  </r>
  <r>
    <n v="1566"/>
    <x v="7"/>
    <d v="2025-09-27T00:00:00"/>
    <x v="2"/>
    <x v="2"/>
    <x v="0"/>
    <x v="4"/>
    <n v="4"/>
    <n v="8"/>
    <s v="Mobile Wallet"/>
    <x v="1"/>
    <n v="32"/>
  </r>
  <r>
    <n v="1877"/>
    <x v="1"/>
    <d v="2025-07-27T00:00:00"/>
    <x v="1"/>
    <x v="0"/>
    <x v="0"/>
    <x v="1"/>
    <n v="5"/>
    <n v="12"/>
    <s v="Card"/>
    <x v="3"/>
    <n v="60"/>
  </r>
  <r>
    <n v="817"/>
    <x v="3"/>
    <d v="2025-08-17T00:00:00"/>
    <x v="0"/>
    <x v="0"/>
    <x v="0"/>
    <x v="1"/>
    <n v="3"/>
    <n v="12"/>
    <s v="Mobile Wallet"/>
    <x v="3"/>
    <n v="36"/>
  </r>
  <r>
    <n v="968"/>
    <x v="0"/>
    <d v="2025-09-24T00:00:00"/>
    <x v="2"/>
    <x v="6"/>
    <x v="0"/>
    <x v="0"/>
    <n v="1"/>
    <n v="25"/>
    <s v="Mobile Wallet"/>
    <x v="3"/>
    <n v="25"/>
  </r>
  <r>
    <n v="1399"/>
    <x v="6"/>
    <d v="2025-09-22T00:00:00"/>
    <x v="2"/>
    <x v="4"/>
    <x v="0"/>
    <x v="1"/>
    <n v="1"/>
    <n v="12"/>
    <s v="Mobile Wallet"/>
    <x v="0"/>
    <n v="12"/>
  </r>
  <r>
    <n v="980"/>
    <x v="0"/>
    <d v="2025-09-12T00:00:00"/>
    <x v="2"/>
    <x v="1"/>
    <x v="0"/>
    <x v="3"/>
    <n v="2"/>
    <n v="30"/>
    <s v="Mobile Wallet"/>
    <x v="2"/>
    <n v="60"/>
  </r>
  <r>
    <n v="174"/>
    <x v="6"/>
    <d v="2025-09-11T00:00:00"/>
    <x v="2"/>
    <x v="5"/>
    <x v="0"/>
    <x v="2"/>
    <n v="5"/>
    <n v="20"/>
    <s v="Card"/>
    <x v="1"/>
    <n v="100"/>
  </r>
  <r>
    <n v="1810"/>
    <x v="4"/>
    <d v="2025-09-05T00:00:00"/>
    <x v="2"/>
    <x v="1"/>
    <x v="0"/>
    <x v="1"/>
    <n v="3"/>
    <n v="12"/>
    <s v="Card"/>
    <x v="0"/>
    <n v="36"/>
  </r>
  <r>
    <n v="1089"/>
    <x v="2"/>
    <d v="2025-07-08T00:00:00"/>
    <x v="1"/>
    <x v="3"/>
    <x v="0"/>
    <x v="0"/>
    <n v="1"/>
    <n v="25"/>
    <s v="Card"/>
    <x v="2"/>
    <n v="25"/>
  </r>
  <r>
    <n v="1001"/>
    <x v="0"/>
    <d v="2025-09-27T00:00:00"/>
    <x v="2"/>
    <x v="2"/>
    <x v="0"/>
    <x v="4"/>
    <n v="3"/>
    <n v="8"/>
    <s v="Cash"/>
    <x v="2"/>
    <n v="24"/>
  </r>
  <r>
    <n v="444"/>
    <x v="2"/>
    <d v="2025-09-03T00:00:00"/>
    <x v="2"/>
    <x v="6"/>
    <x v="0"/>
    <x v="2"/>
    <n v="2"/>
    <n v="20"/>
    <s v="Mobile Wallet"/>
    <x v="0"/>
    <n v="40"/>
  </r>
  <r>
    <n v="1683"/>
    <x v="1"/>
    <d v="2025-07-24T00:00:00"/>
    <x v="1"/>
    <x v="5"/>
    <x v="0"/>
    <x v="4"/>
    <n v="2"/>
    <n v="8"/>
    <s v="Card"/>
    <x v="3"/>
    <n v="16"/>
  </r>
  <r>
    <n v="625"/>
    <x v="1"/>
    <d v="2025-09-27T00:00:00"/>
    <x v="2"/>
    <x v="2"/>
    <x v="0"/>
    <x v="1"/>
    <n v="4"/>
    <n v="12"/>
    <s v="Cash"/>
    <x v="0"/>
    <n v="48"/>
  </r>
  <r>
    <n v="1781"/>
    <x v="0"/>
    <d v="2025-08-15T00:00:00"/>
    <x v="0"/>
    <x v="1"/>
    <x v="0"/>
    <x v="1"/>
    <n v="2"/>
    <n v="12"/>
    <s v="Card"/>
    <x v="3"/>
    <n v="24"/>
  </r>
  <r>
    <n v="366"/>
    <x v="5"/>
    <d v="2025-07-11T00:00:00"/>
    <x v="1"/>
    <x v="1"/>
    <x v="0"/>
    <x v="1"/>
    <n v="5"/>
    <n v="12"/>
    <s v="Card"/>
    <x v="2"/>
    <n v="60"/>
  </r>
  <r>
    <n v="404"/>
    <x v="3"/>
    <d v="2025-09-14T00:00:00"/>
    <x v="2"/>
    <x v="0"/>
    <x v="0"/>
    <x v="1"/>
    <n v="4"/>
    <n v="12"/>
    <s v="Cash"/>
    <x v="1"/>
    <n v="48"/>
  </r>
  <r>
    <n v="1619"/>
    <x v="0"/>
    <d v="2025-09-06T00:00:00"/>
    <x v="2"/>
    <x v="2"/>
    <x v="0"/>
    <x v="4"/>
    <n v="1"/>
    <n v="8"/>
    <s v="Card"/>
    <x v="2"/>
    <n v="8"/>
  </r>
  <r>
    <n v="983"/>
    <x v="6"/>
    <d v="2025-08-31T00:00:00"/>
    <x v="0"/>
    <x v="0"/>
    <x v="0"/>
    <x v="4"/>
    <n v="2"/>
    <n v="8"/>
    <s v="Card"/>
    <x v="0"/>
    <n v="16"/>
  </r>
  <r>
    <n v="1774"/>
    <x v="6"/>
    <d v="2025-09-11T00:00:00"/>
    <x v="2"/>
    <x v="5"/>
    <x v="0"/>
    <x v="4"/>
    <n v="1"/>
    <n v="8"/>
    <s v="Cash"/>
    <x v="3"/>
    <n v="8"/>
  </r>
  <r>
    <n v="569"/>
    <x v="5"/>
    <d v="2025-07-15T00:00:00"/>
    <x v="1"/>
    <x v="3"/>
    <x v="0"/>
    <x v="2"/>
    <n v="4"/>
    <n v="20"/>
    <s v="Cash"/>
    <x v="3"/>
    <n v="80"/>
  </r>
  <r>
    <n v="1114"/>
    <x v="5"/>
    <d v="2025-09-27T00:00:00"/>
    <x v="2"/>
    <x v="2"/>
    <x v="0"/>
    <x v="1"/>
    <n v="1"/>
    <n v="12"/>
    <s v="Cash"/>
    <x v="0"/>
    <n v="12"/>
  </r>
  <r>
    <n v="1938"/>
    <x v="0"/>
    <d v="2025-08-03T00:00:00"/>
    <x v="0"/>
    <x v="0"/>
    <x v="0"/>
    <x v="1"/>
    <n v="4"/>
    <n v="12"/>
    <s v="Mobile Wallet"/>
    <x v="1"/>
    <n v="48"/>
  </r>
  <r>
    <n v="804"/>
    <x v="3"/>
    <d v="2025-08-22T00:00:00"/>
    <x v="0"/>
    <x v="1"/>
    <x v="0"/>
    <x v="3"/>
    <n v="3"/>
    <n v="30"/>
    <s v="Card"/>
    <x v="0"/>
    <n v="90"/>
  </r>
  <r>
    <n v="1051"/>
    <x v="4"/>
    <d v="2025-08-27T00:00:00"/>
    <x v="0"/>
    <x v="6"/>
    <x v="0"/>
    <x v="1"/>
    <n v="5"/>
    <n v="12"/>
    <s v="Card"/>
    <x v="0"/>
    <n v="60"/>
  </r>
  <r>
    <n v="1186"/>
    <x v="6"/>
    <d v="2025-09-19T00:00:00"/>
    <x v="2"/>
    <x v="1"/>
    <x v="0"/>
    <x v="0"/>
    <n v="2"/>
    <n v="25"/>
    <s v="Cash"/>
    <x v="3"/>
    <n v="50"/>
  </r>
  <r>
    <n v="1174"/>
    <x v="5"/>
    <d v="2025-07-30T00:00:00"/>
    <x v="1"/>
    <x v="6"/>
    <x v="0"/>
    <x v="1"/>
    <n v="3"/>
    <n v="12"/>
    <s v="Card"/>
    <x v="0"/>
    <n v="36"/>
  </r>
  <r>
    <n v="694"/>
    <x v="6"/>
    <d v="2025-09-01T00:00:00"/>
    <x v="2"/>
    <x v="4"/>
    <x v="0"/>
    <x v="1"/>
    <n v="4"/>
    <n v="12"/>
    <s v="Mobile Wallet"/>
    <x v="1"/>
    <n v="48"/>
  </r>
  <r>
    <n v="663"/>
    <x v="1"/>
    <d v="2025-09-09T00:00:00"/>
    <x v="2"/>
    <x v="3"/>
    <x v="0"/>
    <x v="1"/>
    <n v="2"/>
    <n v="12"/>
    <s v="Card"/>
    <x v="1"/>
    <n v="24"/>
  </r>
  <r>
    <n v="854"/>
    <x v="7"/>
    <d v="2025-07-22T00:00:00"/>
    <x v="1"/>
    <x v="3"/>
    <x v="0"/>
    <x v="3"/>
    <n v="5"/>
    <n v="30"/>
    <s v="Card"/>
    <x v="0"/>
    <n v="150"/>
  </r>
  <r>
    <n v="1299"/>
    <x v="1"/>
    <d v="2025-07-12T00:00:00"/>
    <x v="1"/>
    <x v="2"/>
    <x v="0"/>
    <x v="1"/>
    <n v="2"/>
    <n v="12"/>
    <s v="Card"/>
    <x v="0"/>
    <n v="24"/>
  </r>
  <r>
    <n v="845"/>
    <x v="1"/>
    <d v="2025-08-16T00:00:00"/>
    <x v="0"/>
    <x v="2"/>
    <x v="0"/>
    <x v="0"/>
    <n v="2"/>
    <n v="25"/>
    <s v="Mobile Wallet"/>
    <x v="2"/>
    <n v="50"/>
  </r>
  <r>
    <n v="136"/>
    <x v="1"/>
    <d v="2025-08-24T00:00:00"/>
    <x v="0"/>
    <x v="0"/>
    <x v="0"/>
    <x v="2"/>
    <n v="1"/>
    <n v="20"/>
    <s v="Cash"/>
    <x v="3"/>
    <n v="20"/>
  </r>
  <r>
    <n v="1620"/>
    <x v="1"/>
    <d v="2025-08-22T00:00:00"/>
    <x v="0"/>
    <x v="1"/>
    <x v="0"/>
    <x v="1"/>
    <n v="5"/>
    <n v="12"/>
    <s v="Card"/>
    <x v="0"/>
    <n v="60"/>
  </r>
  <r>
    <n v="963"/>
    <x v="0"/>
    <d v="2025-07-08T00:00:00"/>
    <x v="1"/>
    <x v="3"/>
    <x v="0"/>
    <x v="1"/>
    <n v="3"/>
    <n v="12"/>
    <s v="Mobile Wallet"/>
    <x v="1"/>
    <n v="36"/>
  </r>
  <r>
    <n v="957"/>
    <x v="6"/>
    <d v="2025-08-20T00:00:00"/>
    <x v="0"/>
    <x v="6"/>
    <x v="0"/>
    <x v="4"/>
    <n v="5"/>
    <n v="8"/>
    <s v="Mobile Wallet"/>
    <x v="1"/>
    <n v="40"/>
  </r>
  <r>
    <n v="1909"/>
    <x v="4"/>
    <d v="2025-08-29T00:00:00"/>
    <x v="0"/>
    <x v="1"/>
    <x v="0"/>
    <x v="0"/>
    <n v="1"/>
    <n v="25"/>
    <s v="Mobile Wallet"/>
    <x v="2"/>
    <n v="25"/>
  </r>
  <r>
    <n v="512"/>
    <x v="4"/>
    <d v="2025-07-19T00:00:00"/>
    <x v="1"/>
    <x v="2"/>
    <x v="0"/>
    <x v="2"/>
    <n v="4"/>
    <n v="20"/>
    <s v="Cash"/>
    <x v="1"/>
    <n v="80"/>
  </r>
  <r>
    <n v="921"/>
    <x v="1"/>
    <d v="2025-08-01T00:00:00"/>
    <x v="0"/>
    <x v="1"/>
    <x v="0"/>
    <x v="1"/>
    <n v="1"/>
    <n v="12"/>
    <s v="Card"/>
    <x v="0"/>
    <n v="12"/>
  </r>
  <r>
    <n v="1630"/>
    <x v="0"/>
    <d v="2025-07-07T00:00:00"/>
    <x v="1"/>
    <x v="4"/>
    <x v="0"/>
    <x v="0"/>
    <n v="5"/>
    <n v="25"/>
    <s v="Mobile Wallet"/>
    <x v="1"/>
    <n v="125"/>
  </r>
  <r>
    <n v="1969"/>
    <x v="3"/>
    <d v="2025-08-31T00:00:00"/>
    <x v="0"/>
    <x v="0"/>
    <x v="0"/>
    <x v="0"/>
    <n v="5"/>
    <n v="25"/>
    <s v="Mobile Wallet"/>
    <x v="1"/>
    <n v="125"/>
  </r>
  <r>
    <n v="1326"/>
    <x v="3"/>
    <d v="2025-09-22T00:00:00"/>
    <x v="2"/>
    <x v="4"/>
    <x v="0"/>
    <x v="4"/>
    <n v="4"/>
    <n v="8"/>
    <s v="Card"/>
    <x v="1"/>
    <n v="32"/>
  </r>
  <r>
    <n v="630"/>
    <x v="5"/>
    <d v="2025-08-04T00:00:00"/>
    <x v="0"/>
    <x v="4"/>
    <x v="0"/>
    <x v="1"/>
    <n v="4"/>
    <n v="12"/>
    <s v="Cash"/>
    <x v="0"/>
    <n v="48"/>
  </r>
  <r>
    <n v="2"/>
    <x v="6"/>
    <d v="2025-08-16T00:00:00"/>
    <x v="0"/>
    <x v="2"/>
    <x v="0"/>
    <x v="1"/>
    <n v="5"/>
    <n v="12"/>
    <s v="Cash"/>
    <x v="0"/>
    <n v="60"/>
  </r>
  <r>
    <n v="1034"/>
    <x v="0"/>
    <d v="2025-08-30T00:00:00"/>
    <x v="0"/>
    <x v="2"/>
    <x v="0"/>
    <x v="1"/>
    <n v="1"/>
    <n v="12"/>
    <s v="Mobile Wallet"/>
    <x v="1"/>
    <n v="12"/>
  </r>
  <r>
    <n v="1409"/>
    <x v="5"/>
    <d v="2025-08-22T00:00:00"/>
    <x v="0"/>
    <x v="1"/>
    <x v="0"/>
    <x v="1"/>
    <n v="3"/>
    <n v="12"/>
    <s v="Mobile Wallet"/>
    <x v="1"/>
    <n v="36"/>
  </r>
  <r>
    <n v="721"/>
    <x v="4"/>
    <d v="2025-09-22T00:00:00"/>
    <x v="2"/>
    <x v="4"/>
    <x v="0"/>
    <x v="2"/>
    <n v="3"/>
    <n v="20"/>
    <s v="Card"/>
    <x v="0"/>
    <n v="60"/>
  </r>
  <r>
    <n v="400"/>
    <x v="3"/>
    <d v="2025-08-11T00:00:00"/>
    <x v="0"/>
    <x v="4"/>
    <x v="0"/>
    <x v="0"/>
    <n v="2"/>
    <n v="25"/>
    <s v="Cash"/>
    <x v="2"/>
    <n v="50"/>
  </r>
  <r>
    <n v="896"/>
    <x v="6"/>
    <d v="2025-08-21T00:00:00"/>
    <x v="0"/>
    <x v="5"/>
    <x v="0"/>
    <x v="2"/>
    <n v="1"/>
    <n v="20"/>
    <s v="Mobile Wallet"/>
    <x v="3"/>
    <n v="20"/>
  </r>
  <r>
    <n v="1891"/>
    <x v="4"/>
    <d v="2025-07-22T00:00:00"/>
    <x v="1"/>
    <x v="3"/>
    <x v="0"/>
    <x v="4"/>
    <n v="5"/>
    <n v="8"/>
    <s v="Card"/>
    <x v="1"/>
    <n v="40"/>
  </r>
  <r>
    <n v="1054"/>
    <x v="5"/>
    <d v="2025-07-01T00:00:00"/>
    <x v="1"/>
    <x v="3"/>
    <x v="0"/>
    <x v="1"/>
    <n v="2"/>
    <n v="12"/>
    <s v="Mobile Wallet"/>
    <x v="0"/>
    <n v="24"/>
  </r>
  <r>
    <n v="251"/>
    <x v="0"/>
    <d v="2025-07-31T00:00:00"/>
    <x v="1"/>
    <x v="5"/>
    <x v="0"/>
    <x v="1"/>
    <n v="4"/>
    <n v="12"/>
    <s v="Cash"/>
    <x v="0"/>
    <n v="48"/>
  </r>
  <r>
    <n v="1125"/>
    <x v="0"/>
    <d v="2025-09-23T00:00:00"/>
    <x v="2"/>
    <x v="3"/>
    <x v="0"/>
    <x v="4"/>
    <n v="5"/>
    <n v="8"/>
    <s v="Mobile Wallet"/>
    <x v="2"/>
    <n v="40"/>
  </r>
  <r>
    <n v="1881"/>
    <x v="0"/>
    <d v="2025-08-07T00:00:00"/>
    <x v="0"/>
    <x v="5"/>
    <x v="0"/>
    <x v="0"/>
    <n v="2"/>
    <n v="25"/>
    <s v="Card"/>
    <x v="3"/>
    <n v="50"/>
  </r>
  <r>
    <n v="1570"/>
    <x v="0"/>
    <d v="2025-09-03T00:00:00"/>
    <x v="2"/>
    <x v="6"/>
    <x v="0"/>
    <x v="2"/>
    <n v="4"/>
    <n v="20"/>
    <s v="Card"/>
    <x v="1"/>
    <n v="80"/>
  </r>
  <r>
    <n v="908"/>
    <x v="7"/>
    <d v="2025-09-06T00:00:00"/>
    <x v="2"/>
    <x v="2"/>
    <x v="0"/>
    <x v="1"/>
    <n v="3"/>
    <n v="12"/>
    <s v="Cash"/>
    <x v="1"/>
    <n v="36"/>
  </r>
  <r>
    <n v="1516"/>
    <x v="0"/>
    <d v="2025-07-11T00:00:00"/>
    <x v="1"/>
    <x v="1"/>
    <x v="0"/>
    <x v="3"/>
    <n v="3"/>
    <n v="30"/>
    <s v="Mobile Wallet"/>
    <x v="0"/>
    <n v="90"/>
  </r>
  <r>
    <n v="277"/>
    <x v="3"/>
    <d v="2025-08-20T00:00:00"/>
    <x v="0"/>
    <x v="6"/>
    <x v="0"/>
    <x v="4"/>
    <n v="2"/>
    <n v="8"/>
    <s v="Cash"/>
    <x v="1"/>
    <n v="16"/>
  </r>
  <r>
    <n v="1355"/>
    <x v="4"/>
    <d v="2025-09-27T00:00:00"/>
    <x v="2"/>
    <x v="2"/>
    <x v="0"/>
    <x v="1"/>
    <n v="2"/>
    <n v="12"/>
    <s v="Cash"/>
    <x v="0"/>
    <n v="24"/>
  </r>
  <r>
    <n v="124"/>
    <x v="5"/>
    <d v="2025-07-11T00:00:00"/>
    <x v="1"/>
    <x v="1"/>
    <x v="0"/>
    <x v="1"/>
    <n v="2"/>
    <n v="12"/>
    <s v="Card"/>
    <x v="0"/>
    <n v="24"/>
  </r>
  <r>
    <n v="1728"/>
    <x v="3"/>
    <d v="2025-07-02T00:00:00"/>
    <x v="1"/>
    <x v="6"/>
    <x v="0"/>
    <x v="1"/>
    <n v="3"/>
    <n v="12"/>
    <s v="Mobile Wallet"/>
    <x v="2"/>
    <n v="36"/>
  </r>
  <r>
    <n v="1696"/>
    <x v="2"/>
    <d v="2025-09-14T00:00:00"/>
    <x v="2"/>
    <x v="0"/>
    <x v="0"/>
    <x v="1"/>
    <n v="5"/>
    <n v="12"/>
    <s v="Cash"/>
    <x v="3"/>
    <n v="60"/>
  </r>
  <r>
    <n v="1086"/>
    <x v="3"/>
    <d v="2025-09-27T00:00:00"/>
    <x v="2"/>
    <x v="2"/>
    <x v="0"/>
    <x v="4"/>
    <n v="1"/>
    <n v="8"/>
    <s v="Mobile Wallet"/>
    <x v="0"/>
    <n v="8"/>
  </r>
  <r>
    <n v="1065"/>
    <x v="0"/>
    <d v="2025-08-24T00:00:00"/>
    <x v="0"/>
    <x v="0"/>
    <x v="0"/>
    <x v="0"/>
    <n v="3"/>
    <n v="25"/>
    <s v="Card"/>
    <x v="0"/>
    <n v="75"/>
  </r>
  <r>
    <n v="1199"/>
    <x v="7"/>
    <d v="2025-08-23T00:00:00"/>
    <x v="0"/>
    <x v="2"/>
    <x v="0"/>
    <x v="1"/>
    <n v="4"/>
    <n v="12"/>
    <s v="Card"/>
    <x v="1"/>
    <n v="48"/>
  </r>
  <r>
    <n v="118"/>
    <x v="0"/>
    <d v="2025-09-05T00:00:00"/>
    <x v="2"/>
    <x v="1"/>
    <x v="0"/>
    <x v="0"/>
    <n v="3"/>
    <n v="25"/>
    <s v="Cash"/>
    <x v="2"/>
    <n v="75"/>
  </r>
  <r>
    <n v="988"/>
    <x v="6"/>
    <d v="2025-08-23T00:00:00"/>
    <x v="0"/>
    <x v="2"/>
    <x v="0"/>
    <x v="0"/>
    <n v="3"/>
    <n v="25"/>
    <s v="Mobile Wallet"/>
    <x v="0"/>
    <n v="75"/>
  </r>
  <r>
    <n v="1797"/>
    <x v="5"/>
    <d v="2025-08-10T00:00:00"/>
    <x v="0"/>
    <x v="0"/>
    <x v="0"/>
    <x v="0"/>
    <n v="2"/>
    <n v="25"/>
    <s v="Cash"/>
    <x v="2"/>
    <n v="50"/>
  </r>
  <r>
    <n v="428"/>
    <x v="6"/>
    <d v="2025-08-29T00:00:00"/>
    <x v="0"/>
    <x v="1"/>
    <x v="0"/>
    <x v="3"/>
    <n v="3"/>
    <n v="30"/>
    <s v="Mobile Wallet"/>
    <x v="3"/>
    <n v="90"/>
  </r>
  <r>
    <n v="956"/>
    <x v="7"/>
    <d v="2025-07-06T00:00:00"/>
    <x v="1"/>
    <x v="0"/>
    <x v="0"/>
    <x v="4"/>
    <n v="5"/>
    <n v="8"/>
    <s v="Mobile Wallet"/>
    <x v="2"/>
    <n v="40"/>
  </r>
  <r>
    <n v="1035"/>
    <x v="3"/>
    <d v="2025-07-05T00:00:00"/>
    <x v="1"/>
    <x v="2"/>
    <x v="0"/>
    <x v="1"/>
    <n v="5"/>
    <n v="12"/>
    <s v="Cash"/>
    <x v="3"/>
    <n v="60"/>
  </r>
  <r>
    <n v="606"/>
    <x v="7"/>
    <d v="2025-09-28T00:00:00"/>
    <x v="2"/>
    <x v="0"/>
    <x v="0"/>
    <x v="0"/>
    <n v="5"/>
    <n v="25"/>
    <s v="Card"/>
    <x v="2"/>
    <n v="125"/>
  </r>
  <r>
    <n v="1931"/>
    <x v="2"/>
    <d v="2025-09-06T00:00:00"/>
    <x v="2"/>
    <x v="2"/>
    <x v="0"/>
    <x v="3"/>
    <n v="5"/>
    <n v="30"/>
    <s v="Card"/>
    <x v="3"/>
    <n v="150"/>
  </r>
  <r>
    <n v="1477"/>
    <x v="5"/>
    <d v="2025-09-27T00:00:00"/>
    <x v="2"/>
    <x v="2"/>
    <x v="0"/>
    <x v="3"/>
    <n v="4"/>
    <n v="30"/>
    <s v="Card"/>
    <x v="0"/>
    <n v="120"/>
  </r>
  <r>
    <n v="1338"/>
    <x v="0"/>
    <d v="2025-07-06T00:00:00"/>
    <x v="1"/>
    <x v="0"/>
    <x v="0"/>
    <x v="4"/>
    <n v="3"/>
    <n v="8"/>
    <s v="Mobile Wallet"/>
    <x v="3"/>
    <n v="24"/>
  </r>
  <r>
    <n v="152"/>
    <x v="7"/>
    <d v="2025-09-27T00:00:00"/>
    <x v="2"/>
    <x v="2"/>
    <x v="0"/>
    <x v="1"/>
    <n v="5"/>
    <n v="12"/>
    <s v="Mobile Wallet"/>
    <x v="3"/>
    <n v="60"/>
  </r>
  <r>
    <n v="1833"/>
    <x v="6"/>
    <d v="2025-07-11T00:00:00"/>
    <x v="1"/>
    <x v="1"/>
    <x v="0"/>
    <x v="2"/>
    <n v="4"/>
    <n v="20"/>
    <s v="Card"/>
    <x v="1"/>
    <n v="80"/>
  </r>
  <r>
    <n v="209"/>
    <x v="0"/>
    <d v="2025-09-15T00:00:00"/>
    <x v="2"/>
    <x v="4"/>
    <x v="0"/>
    <x v="1"/>
    <n v="3"/>
    <n v="12"/>
    <s v="Cash"/>
    <x v="0"/>
    <n v="36"/>
  </r>
  <r>
    <n v="290"/>
    <x v="2"/>
    <d v="2025-08-31T00:00:00"/>
    <x v="0"/>
    <x v="0"/>
    <x v="0"/>
    <x v="1"/>
    <n v="4"/>
    <n v="12"/>
    <s v="Card"/>
    <x v="3"/>
    <n v="48"/>
  </r>
  <r>
    <n v="340"/>
    <x v="6"/>
    <d v="2025-07-13T00:00:00"/>
    <x v="1"/>
    <x v="0"/>
    <x v="0"/>
    <x v="1"/>
    <n v="1"/>
    <n v="12"/>
    <s v="Mobile Wallet"/>
    <x v="0"/>
    <n v="12"/>
  </r>
  <r>
    <n v="1719"/>
    <x v="4"/>
    <d v="2025-08-23T00:00:00"/>
    <x v="0"/>
    <x v="2"/>
    <x v="0"/>
    <x v="1"/>
    <n v="3"/>
    <n v="12"/>
    <s v="Cash"/>
    <x v="2"/>
    <n v="36"/>
  </r>
  <r>
    <n v="799"/>
    <x v="3"/>
    <d v="2025-08-31T00:00:00"/>
    <x v="0"/>
    <x v="0"/>
    <x v="0"/>
    <x v="3"/>
    <n v="3"/>
    <n v="30"/>
    <s v="Mobile Wallet"/>
    <x v="3"/>
    <n v="90"/>
  </r>
  <r>
    <n v="825"/>
    <x v="2"/>
    <d v="2025-08-31T00:00:00"/>
    <x v="0"/>
    <x v="0"/>
    <x v="0"/>
    <x v="1"/>
    <n v="5"/>
    <n v="12"/>
    <s v="Mobile Wallet"/>
    <x v="1"/>
    <n v="60"/>
  </r>
  <r>
    <n v="1188"/>
    <x v="3"/>
    <d v="2025-09-12T00:00:00"/>
    <x v="2"/>
    <x v="1"/>
    <x v="0"/>
    <x v="1"/>
    <n v="5"/>
    <n v="12"/>
    <s v="Card"/>
    <x v="3"/>
    <n v="60"/>
  </r>
  <r>
    <n v="690"/>
    <x v="4"/>
    <d v="2025-09-08T00:00:00"/>
    <x v="2"/>
    <x v="4"/>
    <x v="0"/>
    <x v="1"/>
    <n v="4"/>
    <n v="12"/>
    <s v="Mobile Wallet"/>
    <x v="0"/>
    <n v="48"/>
  </r>
  <r>
    <n v="1953"/>
    <x v="7"/>
    <d v="2025-08-08T00:00:00"/>
    <x v="0"/>
    <x v="1"/>
    <x v="0"/>
    <x v="3"/>
    <n v="3"/>
    <n v="30"/>
    <s v="Mobile Wallet"/>
    <x v="1"/>
    <n v="90"/>
  </r>
  <r>
    <n v="192"/>
    <x v="7"/>
    <d v="2025-07-26T00:00:00"/>
    <x v="1"/>
    <x v="2"/>
    <x v="0"/>
    <x v="3"/>
    <n v="5"/>
    <n v="30"/>
    <s v="Cash"/>
    <x v="2"/>
    <n v="150"/>
  </r>
  <r>
    <n v="53"/>
    <x v="7"/>
    <d v="2025-08-30T00:00:00"/>
    <x v="0"/>
    <x v="2"/>
    <x v="0"/>
    <x v="1"/>
    <n v="5"/>
    <n v="12"/>
    <s v="Card"/>
    <x v="2"/>
    <n v="60"/>
  </r>
  <r>
    <n v="295"/>
    <x v="4"/>
    <d v="2025-09-07T00:00:00"/>
    <x v="2"/>
    <x v="0"/>
    <x v="0"/>
    <x v="1"/>
    <n v="3"/>
    <n v="12"/>
    <s v="Card"/>
    <x v="2"/>
    <n v="36"/>
  </r>
  <r>
    <n v="1267"/>
    <x v="5"/>
    <d v="2025-08-07T00:00:00"/>
    <x v="0"/>
    <x v="5"/>
    <x v="0"/>
    <x v="1"/>
    <n v="1"/>
    <n v="12"/>
    <s v="Card"/>
    <x v="0"/>
    <n v="12"/>
  </r>
  <r>
    <n v="377"/>
    <x v="6"/>
    <d v="2025-08-30T00:00:00"/>
    <x v="0"/>
    <x v="2"/>
    <x v="0"/>
    <x v="1"/>
    <n v="2"/>
    <n v="12"/>
    <s v="Mobile Wallet"/>
    <x v="2"/>
    <n v="24"/>
  </r>
  <r>
    <n v="588"/>
    <x v="7"/>
    <d v="2025-09-27T00:00:00"/>
    <x v="2"/>
    <x v="2"/>
    <x v="0"/>
    <x v="4"/>
    <n v="5"/>
    <n v="8"/>
    <s v="Card"/>
    <x v="1"/>
    <n v="40"/>
  </r>
  <r>
    <n v="1907"/>
    <x v="1"/>
    <d v="2025-09-14T00:00:00"/>
    <x v="2"/>
    <x v="0"/>
    <x v="0"/>
    <x v="0"/>
    <n v="1"/>
    <n v="25"/>
    <s v="Mobile Wallet"/>
    <x v="2"/>
    <n v="25"/>
  </r>
  <r>
    <n v="1744"/>
    <x v="7"/>
    <d v="2025-07-03T00:00:00"/>
    <x v="1"/>
    <x v="5"/>
    <x v="0"/>
    <x v="1"/>
    <n v="4"/>
    <n v="12"/>
    <s v="Cash"/>
    <x v="2"/>
    <n v="48"/>
  </r>
  <r>
    <n v="1823"/>
    <x v="6"/>
    <d v="2025-09-01T00:00:00"/>
    <x v="2"/>
    <x v="4"/>
    <x v="0"/>
    <x v="2"/>
    <n v="2"/>
    <n v="20"/>
    <s v="Cash"/>
    <x v="1"/>
    <n v="40"/>
  </r>
  <r>
    <n v="143"/>
    <x v="6"/>
    <d v="2025-07-27T00:00:00"/>
    <x v="1"/>
    <x v="0"/>
    <x v="0"/>
    <x v="4"/>
    <n v="2"/>
    <n v="8"/>
    <s v="Cash"/>
    <x v="1"/>
    <n v="16"/>
  </r>
  <r>
    <n v="591"/>
    <x v="3"/>
    <d v="2025-09-05T00:00:00"/>
    <x v="2"/>
    <x v="1"/>
    <x v="0"/>
    <x v="2"/>
    <n v="2"/>
    <n v="20"/>
    <s v="Mobile Wallet"/>
    <x v="2"/>
    <n v="40"/>
  </r>
  <r>
    <n v="1442"/>
    <x v="4"/>
    <d v="2025-08-11T00:00:00"/>
    <x v="0"/>
    <x v="4"/>
    <x v="0"/>
    <x v="0"/>
    <n v="2"/>
    <n v="25"/>
    <s v="Cash"/>
    <x v="3"/>
    <n v="50"/>
  </r>
  <r>
    <n v="633"/>
    <x v="1"/>
    <d v="2025-09-22T00:00:00"/>
    <x v="2"/>
    <x v="4"/>
    <x v="0"/>
    <x v="1"/>
    <n v="1"/>
    <n v="12"/>
    <s v="Card"/>
    <x v="0"/>
    <n v="12"/>
  </r>
  <r>
    <n v="1365"/>
    <x v="2"/>
    <d v="2025-07-15T00:00:00"/>
    <x v="1"/>
    <x v="3"/>
    <x v="0"/>
    <x v="3"/>
    <n v="5"/>
    <n v="30"/>
    <s v="Cash"/>
    <x v="0"/>
    <n v="150"/>
  </r>
  <r>
    <n v="1980"/>
    <x v="4"/>
    <d v="2025-09-21T00:00:00"/>
    <x v="2"/>
    <x v="0"/>
    <x v="0"/>
    <x v="1"/>
    <n v="1"/>
    <n v="12"/>
    <s v="Cash"/>
    <x v="3"/>
    <n v="12"/>
  </r>
  <r>
    <n v="1274"/>
    <x v="7"/>
    <d v="2025-08-10T00:00:00"/>
    <x v="0"/>
    <x v="0"/>
    <x v="0"/>
    <x v="0"/>
    <n v="4"/>
    <n v="25"/>
    <s v="Cash"/>
    <x v="1"/>
    <n v="100"/>
  </r>
  <r>
    <n v="1072"/>
    <x v="4"/>
    <d v="2025-07-26T00:00:00"/>
    <x v="1"/>
    <x v="2"/>
    <x v="0"/>
    <x v="0"/>
    <n v="4"/>
    <n v="25"/>
    <s v="Cash"/>
    <x v="3"/>
    <n v="100"/>
  </r>
  <r>
    <n v="346"/>
    <x v="5"/>
    <d v="2025-09-21T00:00:00"/>
    <x v="2"/>
    <x v="0"/>
    <x v="0"/>
    <x v="4"/>
    <n v="1"/>
    <n v="8"/>
    <s v="Card"/>
    <x v="0"/>
    <n v="8"/>
  </r>
  <r>
    <n v="832"/>
    <x v="1"/>
    <d v="2025-09-14T00:00:00"/>
    <x v="2"/>
    <x v="0"/>
    <x v="0"/>
    <x v="4"/>
    <n v="1"/>
    <n v="8"/>
    <s v="Mobile Wallet"/>
    <x v="0"/>
    <n v="8"/>
  </r>
  <r>
    <n v="338"/>
    <x v="7"/>
    <d v="2025-08-17T00:00:00"/>
    <x v="0"/>
    <x v="0"/>
    <x v="0"/>
    <x v="1"/>
    <n v="1"/>
    <n v="12"/>
    <s v="Cash"/>
    <x v="1"/>
    <n v="12"/>
  </r>
  <r>
    <n v="361"/>
    <x v="6"/>
    <d v="2025-07-05T00:00:00"/>
    <x v="1"/>
    <x v="2"/>
    <x v="0"/>
    <x v="1"/>
    <n v="2"/>
    <n v="12"/>
    <s v="Card"/>
    <x v="0"/>
    <n v="24"/>
  </r>
  <r>
    <n v="1025"/>
    <x v="2"/>
    <d v="2025-09-09T00:00:00"/>
    <x v="2"/>
    <x v="3"/>
    <x v="0"/>
    <x v="1"/>
    <n v="2"/>
    <n v="12"/>
    <s v="Mobile Wallet"/>
    <x v="0"/>
    <n v="24"/>
  </r>
  <r>
    <n v="358"/>
    <x v="2"/>
    <d v="2025-08-19T00:00:00"/>
    <x v="0"/>
    <x v="3"/>
    <x v="0"/>
    <x v="1"/>
    <n v="1"/>
    <n v="12"/>
    <s v="Mobile Wallet"/>
    <x v="3"/>
    <n v="12"/>
  </r>
  <r>
    <n v="1617"/>
    <x v="5"/>
    <d v="2025-07-04T00:00:00"/>
    <x v="1"/>
    <x v="1"/>
    <x v="0"/>
    <x v="0"/>
    <n v="1"/>
    <n v="25"/>
    <s v="Mobile Wallet"/>
    <x v="1"/>
    <n v="25"/>
  </r>
  <r>
    <n v="1830"/>
    <x v="3"/>
    <d v="2025-07-28T00:00:00"/>
    <x v="1"/>
    <x v="4"/>
    <x v="0"/>
    <x v="1"/>
    <n v="3"/>
    <n v="12"/>
    <s v="Mobile Wallet"/>
    <x v="3"/>
    <n v="36"/>
  </r>
  <r>
    <n v="1064"/>
    <x v="1"/>
    <d v="2025-09-06T00:00:00"/>
    <x v="2"/>
    <x v="2"/>
    <x v="0"/>
    <x v="0"/>
    <n v="1"/>
    <n v="25"/>
    <s v="Card"/>
    <x v="0"/>
    <n v="25"/>
  </r>
  <r>
    <n v="1755"/>
    <x v="1"/>
    <d v="2025-09-21T00:00:00"/>
    <x v="2"/>
    <x v="0"/>
    <x v="0"/>
    <x v="1"/>
    <n v="3"/>
    <n v="12"/>
    <s v="Mobile Wallet"/>
    <x v="3"/>
    <n v="36"/>
  </r>
  <r>
    <n v="888"/>
    <x v="0"/>
    <d v="2025-07-05T00:00:00"/>
    <x v="1"/>
    <x v="2"/>
    <x v="0"/>
    <x v="1"/>
    <n v="5"/>
    <n v="12"/>
    <s v="Cash"/>
    <x v="2"/>
    <n v="60"/>
  </r>
  <r>
    <n v="1449"/>
    <x v="0"/>
    <d v="2025-08-05T00:00:00"/>
    <x v="0"/>
    <x v="3"/>
    <x v="0"/>
    <x v="0"/>
    <n v="3"/>
    <n v="25"/>
    <s v="Cash"/>
    <x v="2"/>
    <n v="75"/>
  </r>
  <r>
    <n v="715"/>
    <x v="2"/>
    <d v="2025-08-19T00:00:00"/>
    <x v="0"/>
    <x v="3"/>
    <x v="0"/>
    <x v="1"/>
    <n v="5"/>
    <n v="12"/>
    <s v="Mobile Wallet"/>
    <x v="1"/>
    <n v="60"/>
  </r>
  <r>
    <n v="1585"/>
    <x v="0"/>
    <d v="2025-07-02T00:00:00"/>
    <x v="1"/>
    <x v="6"/>
    <x v="3"/>
    <x v="1"/>
    <n v="4"/>
    <n v="12"/>
    <s v="Mobile Wallet"/>
    <x v="3"/>
    <n v="48"/>
  </r>
  <r>
    <n v="1519"/>
    <x v="6"/>
    <d v="2025-09-06T00:00:00"/>
    <x v="2"/>
    <x v="2"/>
    <x v="1"/>
    <x v="1"/>
    <n v="2"/>
    <n v="12"/>
    <s v="Mobile Wallet"/>
    <x v="1"/>
    <n v="24"/>
  </r>
  <r>
    <n v="1960"/>
    <x v="7"/>
    <d v="2025-08-10T00:00:00"/>
    <x v="0"/>
    <x v="0"/>
    <x v="1"/>
    <x v="1"/>
    <n v="3"/>
    <n v="12"/>
    <s v="Cash"/>
    <x v="1"/>
    <n v="36"/>
  </r>
  <r>
    <n v="1962"/>
    <x v="3"/>
    <d v="2025-08-03T00:00:00"/>
    <x v="0"/>
    <x v="0"/>
    <x v="1"/>
    <x v="1"/>
    <n v="4"/>
    <n v="12"/>
    <s v="Cash"/>
    <x v="3"/>
    <n v="48"/>
  </r>
  <r>
    <n v="539"/>
    <x v="1"/>
    <d v="2025-09-15T00:00:00"/>
    <x v="2"/>
    <x v="4"/>
    <x v="1"/>
    <x v="4"/>
    <n v="5"/>
    <n v="8"/>
    <s v="Card"/>
    <x v="3"/>
    <n v="40"/>
  </r>
  <r>
    <n v="1640"/>
    <x v="4"/>
    <d v="2025-08-23T00:00:00"/>
    <x v="0"/>
    <x v="2"/>
    <x v="0"/>
    <x v="1"/>
    <n v="1"/>
    <n v="12"/>
    <s v="Cash"/>
    <x v="3"/>
    <n v="12"/>
  </r>
  <r>
    <n v="1377"/>
    <x v="6"/>
    <d v="2025-07-27T00:00:00"/>
    <x v="1"/>
    <x v="0"/>
    <x v="0"/>
    <x v="4"/>
    <n v="5"/>
    <n v="8"/>
    <s v="Card"/>
    <x v="0"/>
    <n v="40"/>
  </r>
  <r>
    <n v="106"/>
    <x v="4"/>
    <d v="2025-08-24T00:00:00"/>
    <x v="0"/>
    <x v="0"/>
    <x v="0"/>
    <x v="1"/>
    <n v="2"/>
    <n v="12"/>
    <s v="Cash"/>
    <x v="2"/>
    <n v="24"/>
  </r>
  <r>
    <n v="1255"/>
    <x v="1"/>
    <d v="2025-07-06T00:00:00"/>
    <x v="1"/>
    <x v="0"/>
    <x v="0"/>
    <x v="1"/>
    <n v="3"/>
    <n v="12"/>
    <s v="Card"/>
    <x v="1"/>
    <n v="36"/>
  </r>
  <r>
    <n v="1070"/>
    <x v="1"/>
    <d v="2025-07-13T00:00:00"/>
    <x v="1"/>
    <x v="0"/>
    <x v="0"/>
    <x v="4"/>
    <n v="1"/>
    <n v="8"/>
    <s v="Mobile Wallet"/>
    <x v="1"/>
    <n v="8"/>
  </r>
  <r>
    <n v="1180"/>
    <x v="7"/>
    <d v="2025-07-05T00:00:00"/>
    <x v="1"/>
    <x v="2"/>
    <x v="0"/>
    <x v="4"/>
    <n v="5"/>
    <n v="8"/>
    <s v="Mobile Wallet"/>
    <x v="3"/>
    <n v="40"/>
  </r>
  <r>
    <n v="1395"/>
    <x v="1"/>
    <d v="2025-07-20T00:00:00"/>
    <x v="1"/>
    <x v="0"/>
    <x v="0"/>
    <x v="3"/>
    <n v="5"/>
    <n v="30"/>
    <s v="Card"/>
    <x v="2"/>
    <n v="150"/>
  </r>
  <r>
    <n v="1837"/>
    <x v="0"/>
    <d v="2025-09-20T00:00:00"/>
    <x v="2"/>
    <x v="2"/>
    <x v="0"/>
    <x v="3"/>
    <n v="4"/>
    <n v="30"/>
    <s v="Card"/>
    <x v="1"/>
    <n v="120"/>
  </r>
  <r>
    <n v="853"/>
    <x v="1"/>
    <d v="2025-07-08T00:00:00"/>
    <x v="1"/>
    <x v="3"/>
    <x v="0"/>
    <x v="1"/>
    <n v="2"/>
    <n v="12"/>
    <s v="Mobile Wallet"/>
    <x v="2"/>
    <n v="24"/>
  </r>
  <r>
    <n v="935"/>
    <x v="2"/>
    <d v="2025-09-05T00:00:00"/>
    <x v="2"/>
    <x v="1"/>
    <x v="0"/>
    <x v="4"/>
    <n v="5"/>
    <n v="8"/>
    <s v="Card"/>
    <x v="1"/>
    <n v="40"/>
  </r>
  <r>
    <n v="1100"/>
    <x v="7"/>
    <d v="2025-08-06T00:00:00"/>
    <x v="0"/>
    <x v="6"/>
    <x v="0"/>
    <x v="1"/>
    <n v="1"/>
    <n v="12"/>
    <s v="Card"/>
    <x v="2"/>
    <n v="12"/>
  </r>
  <r>
    <n v="1242"/>
    <x v="6"/>
    <d v="2025-07-20T00:00:00"/>
    <x v="1"/>
    <x v="0"/>
    <x v="1"/>
    <x v="1"/>
    <n v="4"/>
    <n v="12"/>
    <s v="Cash"/>
    <x v="0"/>
    <n v="48"/>
  </r>
  <r>
    <n v="1727"/>
    <x v="6"/>
    <d v="2025-07-19T00:00:00"/>
    <x v="1"/>
    <x v="2"/>
    <x v="2"/>
    <x v="1"/>
    <n v="3"/>
    <n v="12"/>
    <s v="Card"/>
    <x v="0"/>
    <n v="36"/>
  </r>
  <r>
    <n v="576"/>
    <x v="0"/>
    <d v="2025-08-09T00:00:00"/>
    <x v="0"/>
    <x v="2"/>
    <x v="2"/>
    <x v="0"/>
    <n v="5"/>
    <n v="25"/>
    <s v="Mobile Wallet"/>
    <x v="0"/>
    <n v="125"/>
  </r>
  <r>
    <n v="1934"/>
    <x v="7"/>
    <d v="2025-07-07T00:00:00"/>
    <x v="1"/>
    <x v="4"/>
    <x v="1"/>
    <x v="1"/>
    <n v="5"/>
    <n v="12"/>
    <s v="Mobile Wallet"/>
    <x v="0"/>
    <n v="60"/>
  </r>
  <r>
    <n v="1135"/>
    <x v="7"/>
    <d v="2025-09-19T00:00:00"/>
    <x v="2"/>
    <x v="1"/>
    <x v="2"/>
    <x v="1"/>
    <n v="5"/>
    <n v="12"/>
    <s v="Cash"/>
    <x v="2"/>
    <n v="60"/>
  </r>
  <r>
    <n v="248"/>
    <x v="3"/>
    <d v="2025-09-07T00:00:00"/>
    <x v="2"/>
    <x v="0"/>
    <x v="0"/>
    <x v="2"/>
    <n v="3"/>
    <n v="20"/>
    <s v="Mobile Wallet"/>
    <x v="3"/>
    <n v="60"/>
  </r>
  <r>
    <n v="1197"/>
    <x v="3"/>
    <d v="2025-07-12T00:00:00"/>
    <x v="1"/>
    <x v="2"/>
    <x v="1"/>
    <x v="3"/>
    <n v="1"/>
    <n v="30"/>
    <s v="Card"/>
    <x v="1"/>
    <n v="30"/>
  </r>
  <r>
    <n v="587"/>
    <x v="3"/>
    <d v="2025-07-26T00:00:00"/>
    <x v="1"/>
    <x v="2"/>
    <x v="2"/>
    <x v="1"/>
    <n v="4"/>
    <n v="12"/>
    <s v="Mobile Wallet"/>
    <x v="1"/>
    <n v="48"/>
  </r>
  <r>
    <n v="577"/>
    <x v="3"/>
    <d v="2025-08-17T00:00:00"/>
    <x v="0"/>
    <x v="0"/>
    <x v="3"/>
    <x v="3"/>
    <n v="1"/>
    <n v="30"/>
    <s v="Card"/>
    <x v="3"/>
    <n v="30"/>
  </r>
  <r>
    <n v="219"/>
    <x v="3"/>
    <d v="2025-09-05T00:00:00"/>
    <x v="2"/>
    <x v="1"/>
    <x v="1"/>
    <x v="2"/>
    <n v="4"/>
    <n v="20"/>
    <s v="Mobile Wallet"/>
    <x v="2"/>
    <n v="80"/>
  </r>
  <r>
    <n v="1639"/>
    <x v="3"/>
    <d v="2025-07-11T00:00:00"/>
    <x v="1"/>
    <x v="1"/>
    <x v="2"/>
    <x v="1"/>
    <n v="1"/>
    <n v="12"/>
    <s v="Card"/>
    <x v="1"/>
    <n v="12"/>
  </r>
  <r>
    <n v="982"/>
    <x v="2"/>
    <d v="2025-08-12T00:00:00"/>
    <x v="0"/>
    <x v="3"/>
    <x v="1"/>
    <x v="1"/>
    <n v="1"/>
    <n v="12"/>
    <s v="Card"/>
    <x v="2"/>
    <n v="12"/>
  </r>
  <r>
    <n v="1432"/>
    <x v="1"/>
    <d v="2025-08-30T00:00:00"/>
    <x v="0"/>
    <x v="2"/>
    <x v="2"/>
    <x v="3"/>
    <n v="5"/>
    <n v="30"/>
    <s v="Cash"/>
    <x v="0"/>
    <n v="150"/>
  </r>
  <r>
    <n v="523"/>
    <x v="0"/>
    <d v="2025-09-14T00:00:00"/>
    <x v="2"/>
    <x v="0"/>
    <x v="1"/>
    <x v="1"/>
    <n v="3"/>
    <n v="12"/>
    <s v="Cash"/>
    <x v="2"/>
    <n v="36"/>
  </r>
  <r>
    <n v="1764"/>
    <x v="0"/>
    <d v="2025-08-17T00:00:00"/>
    <x v="0"/>
    <x v="0"/>
    <x v="1"/>
    <x v="1"/>
    <n v="4"/>
    <n v="12"/>
    <s v="Mobile Wallet"/>
    <x v="1"/>
    <n v="48"/>
  </r>
  <r>
    <n v="51"/>
    <x v="0"/>
    <d v="2025-09-22T00:00:00"/>
    <x v="2"/>
    <x v="4"/>
    <x v="2"/>
    <x v="1"/>
    <n v="1"/>
    <n v="12"/>
    <s v="Mobile Wallet"/>
    <x v="1"/>
    <n v="12"/>
  </r>
  <r>
    <n v="1595"/>
    <x v="0"/>
    <d v="2025-07-18T00:00:00"/>
    <x v="1"/>
    <x v="1"/>
    <x v="2"/>
    <x v="1"/>
    <n v="4"/>
    <n v="12"/>
    <s v="Mobile Wallet"/>
    <x v="2"/>
    <n v="48"/>
  </r>
  <r>
    <n v="110"/>
    <x v="0"/>
    <d v="2025-09-18T00:00:00"/>
    <x v="2"/>
    <x v="5"/>
    <x v="2"/>
    <x v="3"/>
    <n v="5"/>
    <n v="30"/>
    <s v="Cash"/>
    <x v="2"/>
    <n v="150"/>
  </r>
  <r>
    <n v="350"/>
    <x v="0"/>
    <d v="2025-07-13T00:00:00"/>
    <x v="1"/>
    <x v="0"/>
    <x v="1"/>
    <x v="1"/>
    <n v="4"/>
    <n v="12"/>
    <s v="Card"/>
    <x v="2"/>
    <n v="48"/>
  </r>
  <r>
    <n v="1695"/>
    <x v="1"/>
    <d v="2025-08-24T00:00:00"/>
    <x v="0"/>
    <x v="0"/>
    <x v="1"/>
    <x v="1"/>
    <n v="2"/>
    <n v="12"/>
    <s v="Mobile Wallet"/>
    <x v="2"/>
    <n v="24"/>
  </r>
  <r>
    <n v="702"/>
    <x v="2"/>
    <d v="2025-07-13T00:00:00"/>
    <x v="1"/>
    <x v="0"/>
    <x v="0"/>
    <x v="3"/>
    <n v="1"/>
    <n v="30"/>
    <s v="Cash"/>
    <x v="3"/>
    <n v="30"/>
  </r>
  <r>
    <n v="866"/>
    <x v="3"/>
    <d v="2025-07-28T00:00:00"/>
    <x v="1"/>
    <x v="4"/>
    <x v="0"/>
    <x v="0"/>
    <n v="5"/>
    <n v="25"/>
    <s v="Mobile Wallet"/>
    <x v="2"/>
    <n v="125"/>
  </r>
  <r>
    <n v="835"/>
    <x v="3"/>
    <d v="2025-08-19T00:00:00"/>
    <x v="0"/>
    <x v="3"/>
    <x v="0"/>
    <x v="1"/>
    <n v="3"/>
    <n v="12"/>
    <s v="Mobile Wallet"/>
    <x v="3"/>
    <n v="36"/>
  </r>
  <r>
    <n v="1417"/>
    <x v="3"/>
    <d v="2025-08-29T00:00:00"/>
    <x v="0"/>
    <x v="1"/>
    <x v="0"/>
    <x v="1"/>
    <n v="2"/>
    <n v="12"/>
    <s v="Cash"/>
    <x v="1"/>
    <n v="24"/>
  </r>
  <r>
    <n v="83"/>
    <x v="1"/>
    <d v="2025-08-23T00:00:00"/>
    <x v="0"/>
    <x v="2"/>
    <x v="0"/>
    <x v="1"/>
    <n v="4"/>
    <n v="12"/>
    <s v="Mobile Wallet"/>
    <x v="1"/>
    <n v="48"/>
  </r>
  <r>
    <n v="1770"/>
    <x v="1"/>
    <d v="2025-07-28T00:00:00"/>
    <x v="1"/>
    <x v="4"/>
    <x v="0"/>
    <x v="1"/>
    <n v="3"/>
    <n v="12"/>
    <s v="Mobile Wallet"/>
    <x v="2"/>
    <n v="36"/>
  </r>
  <r>
    <n v="1706"/>
    <x v="2"/>
    <d v="2025-09-07T00:00:00"/>
    <x v="2"/>
    <x v="0"/>
    <x v="0"/>
    <x v="2"/>
    <n v="5"/>
    <n v="20"/>
    <s v="Mobile Wallet"/>
    <x v="1"/>
    <n v="100"/>
  </r>
  <r>
    <n v="206"/>
    <x v="1"/>
    <d v="2025-08-10T00:00:00"/>
    <x v="0"/>
    <x v="0"/>
    <x v="0"/>
    <x v="3"/>
    <n v="5"/>
    <n v="30"/>
    <s v="Mobile Wallet"/>
    <x v="3"/>
    <n v="150"/>
  </r>
  <r>
    <n v="1230"/>
    <x v="7"/>
    <d v="2025-07-26T00:00:00"/>
    <x v="1"/>
    <x v="2"/>
    <x v="0"/>
    <x v="1"/>
    <n v="3"/>
    <n v="12"/>
    <s v="Cash"/>
    <x v="2"/>
    <n v="36"/>
  </r>
  <r>
    <n v="1527"/>
    <x v="5"/>
    <d v="2025-08-04T00:00:00"/>
    <x v="0"/>
    <x v="4"/>
    <x v="0"/>
    <x v="3"/>
    <n v="2"/>
    <n v="30"/>
    <s v="Card"/>
    <x v="0"/>
    <n v="60"/>
  </r>
  <r>
    <n v="161"/>
    <x v="5"/>
    <d v="2025-08-20T00:00:00"/>
    <x v="0"/>
    <x v="6"/>
    <x v="0"/>
    <x v="4"/>
    <n v="4"/>
    <n v="8"/>
    <s v="Card"/>
    <x v="0"/>
    <n v="32"/>
  </r>
  <r>
    <n v="1161"/>
    <x v="2"/>
    <d v="2025-08-03T00:00:00"/>
    <x v="0"/>
    <x v="0"/>
    <x v="0"/>
    <x v="1"/>
    <n v="2"/>
    <n v="12"/>
    <s v="Mobile Wallet"/>
    <x v="1"/>
    <n v="24"/>
  </r>
  <r>
    <n v="1097"/>
    <x v="4"/>
    <d v="2025-09-22T00:00:00"/>
    <x v="2"/>
    <x v="4"/>
    <x v="0"/>
    <x v="3"/>
    <n v="1"/>
    <n v="30"/>
    <s v="Cash"/>
    <x v="2"/>
    <n v="30"/>
  </r>
  <r>
    <n v="810"/>
    <x v="1"/>
    <d v="2025-07-19T00:00:00"/>
    <x v="1"/>
    <x v="2"/>
    <x v="0"/>
    <x v="4"/>
    <n v="1"/>
    <n v="8"/>
    <s v="Mobile Wallet"/>
    <x v="1"/>
    <n v="8"/>
  </r>
  <r>
    <n v="1901"/>
    <x v="6"/>
    <d v="2025-09-02T00:00:00"/>
    <x v="2"/>
    <x v="3"/>
    <x v="0"/>
    <x v="1"/>
    <n v="5"/>
    <n v="12"/>
    <s v="Card"/>
    <x v="1"/>
    <n v="60"/>
  </r>
  <r>
    <n v="17"/>
    <x v="6"/>
    <d v="2025-07-12T00:00:00"/>
    <x v="1"/>
    <x v="2"/>
    <x v="0"/>
    <x v="1"/>
    <n v="5"/>
    <n v="12"/>
    <s v="Mobile Wallet"/>
    <x v="0"/>
    <n v="60"/>
  </r>
  <r>
    <n v="636"/>
    <x v="4"/>
    <d v="2025-08-18T00:00:00"/>
    <x v="0"/>
    <x v="4"/>
    <x v="2"/>
    <x v="4"/>
    <n v="1"/>
    <n v="8"/>
    <s v="Cash"/>
    <x v="0"/>
    <n v="8"/>
  </r>
  <r>
    <n v="1356"/>
    <x v="6"/>
    <d v="2025-09-12T00:00:00"/>
    <x v="2"/>
    <x v="1"/>
    <x v="0"/>
    <x v="1"/>
    <n v="2"/>
    <n v="12"/>
    <s v="Cash"/>
    <x v="0"/>
    <n v="24"/>
  </r>
  <r>
    <n v="1185"/>
    <x v="2"/>
    <d v="2025-08-04T00:00:00"/>
    <x v="0"/>
    <x v="4"/>
    <x v="1"/>
    <x v="0"/>
    <n v="1"/>
    <n v="25"/>
    <s v="Cash"/>
    <x v="0"/>
    <n v="25"/>
  </r>
  <r>
    <n v="1582"/>
    <x v="4"/>
    <d v="2025-09-19T00:00:00"/>
    <x v="2"/>
    <x v="1"/>
    <x v="3"/>
    <x v="2"/>
    <n v="3"/>
    <n v="20"/>
    <s v="Cash"/>
    <x v="2"/>
    <n v="60"/>
  </r>
  <r>
    <n v="369"/>
    <x v="7"/>
    <d v="2025-08-13T00:00:00"/>
    <x v="0"/>
    <x v="6"/>
    <x v="3"/>
    <x v="1"/>
    <n v="3"/>
    <n v="12"/>
    <s v="Mobile Wallet"/>
    <x v="2"/>
    <n v="36"/>
  </r>
  <r>
    <n v="1773"/>
    <x v="3"/>
    <d v="2025-07-02T00:00:00"/>
    <x v="1"/>
    <x v="6"/>
    <x v="1"/>
    <x v="1"/>
    <n v="4"/>
    <n v="12"/>
    <s v="Cash"/>
    <x v="0"/>
    <n v="48"/>
  </r>
  <r>
    <n v="79"/>
    <x v="5"/>
    <d v="2025-07-19T00:00:00"/>
    <x v="1"/>
    <x v="2"/>
    <x v="0"/>
    <x v="3"/>
    <n v="5"/>
    <n v="30"/>
    <s v="Cash"/>
    <x v="0"/>
    <n v="150"/>
  </r>
  <r>
    <n v="667"/>
    <x v="0"/>
    <d v="2025-08-29T00:00:00"/>
    <x v="0"/>
    <x v="1"/>
    <x v="1"/>
    <x v="1"/>
    <n v="1"/>
    <n v="12"/>
    <s v="Card"/>
    <x v="0"/>
    <n v="12"/>
  </r>
  <r>
    <n v="515"/>
    <x v="4"/>
    <d v="2025-08-16T00:00:00"/>
    <x v="0"/>
    <x v="2"/>
    <x v="3"/>
    <x v="0"/>
    <n v="5"/>
    <n v="25"/>
    <s v="Card"/>
    <x v="0"/>
    <n v="125"/>
  </r>
  <r>
    <n v="397"/>
    <x v="2"/>
    <d v="2025-07-26T00:00:00"/>
    <x v="1"/>
    <x v="2"/>
    <x v="1"/>
    <x v="1"/>
    <n v="5"/>
    <n v="12"/>
    <s v="Cash"/>
    <x v="1"/>
    <n v="60"/>
  </r>
  <r>
    <n v="168"/>
    <x v="5"/>
    <d v="2025-08-16T00:00:00"/>
    <x v="0"/>
    <x v="2"/>
    <x v="0"/>
    <x v="1"/>
    <n v="3"/>
    <n v="12"/>
    <s v="Mobile Wallet"/>
    <x v="3"/>
    <n v="36"/>
  </r>
  <r>
    <n v="1200"/>
    <x v="1"/>
    <d v="2025-07-24T00:00:00"/>
    <x v="1"/>
    <x v="5"/>
    <x v="1"/>
    <x v="1"/>
    <n v="3"/>
    <n v="12"/>
    <s v="Cash"/>
    <x v="1"/>
    <n v="36"/>
  </r>
  <r>
    <n v="871"/>
    <x v="1"/>
    <d v="2025-09-11T00:00:00"/>
    <x v="2"/>
    <x v="5"/>
    <x v="1"/>
    <x v="2"/>
    <n v="5"/>
    <n v="20"/>
    <s v="Cash"/>
    <x v="3"/>
    <n v="100"/>
  </r>
  <r>
    <n v="1102"/>
    <x v="4"/>
    <d v="2025-08-13T00:00:00"/>
    <x v="0"/>
    <x v="6"/>
    <x v="1"/>
    <x v="4"/>
    <n v="2"/>
    <n v="8"/>
    <s v="Cash"/>
    <x v="3"/>
    <n v="16"/>
  </r>
  <r>
    <n v="1820"/>
    <x v="7"/>
    <d v="2025-08-09T00:00:00"/>
    <x v="0"/>
    <x v="2"/>
    <x v="1"/>
    <x v="1"/>
    <n v="4"/>
    <n v="12"/>
    <s v="Card"/>
    <x v="0"/>
    <n v="48"/>
  </r>
  <r>
    <n v="1148"/>
    <x v="4"/>
    <d v="2025-09-21T00:00:00"/>
    <x v="2"/>
    <x v="0"/>
    <x v="1"/>
    <x v="4"/>
    <n v="5"/>
    <n v="8"/>
    <s v="Mobile Wallet"/>
    <x v="2"/>
    <n v="40"/>
  </r>
  <r>
    <n v="1158"/>
    <x v="3"/>
    <d v="2025-09-13T00:00:00"/>
    <x v="2"/>
    <x v="2"/>
    <x v="1"/>
    <x v="1"/>
    <n v="2"/>
    <n v="12"/>
    <s v="Mobile Wallet"/>
    <x v="3"/>
    <n v="24"/>
  </r>
  <r>
    <n v="1547"/>
    <x v="2"/>
    <d v="2025-08-02T00:00:00"/>
    <x v="0"/>
    <x v="2"/>
    <x v="1"/>
    <x v="1"/>
    <n v="2"/>
    <n v="12"/>
    <s v="Card"/>
    <x v="0"/>
    <n v="24"/>
  </r>
  <r>
    <n v="1325"/>
    <x v="1"/>
    <d v="2025-08-31T00:00:00"/>
    <x v="0"/>
    <x v="0"/>
    <x v="1"/>
    <x v="4"/>
    <n v="2"/>
    <n v="8"/>
    <s v="Mobile Wallet"/>
    <x v="0"/>
    <n v="16"/>
  </r>
  <r>
    <n v="876"/>
    <x v="7"/>
    <d v="2025-09-08T00:00:00"/>
    <x v="2"/>
    <x v="4"/>
    <x v="1"/>
    <x v="1"/>
    <n v="5"/>
    <n v="12"/>
    <s v="Card"/>
    <x v="2"/>
    <n v="60"/>
  </r>
  <r>
    <n v="64"/>
    <x v="3"/>
    <d v="2025-09-19T00:00:00"/>
    <x v="2"/>
    <x v="1"/>
    <x v="1"/>
    <x v="1"/>
    <n v="5"/>
    <n v="12"/>
    <s v="Cash"/>
    <x v="0"/>
    <n v="60"/>
  </r>
  <r>
    <n v="1077"/>
    <x v="0"/>
    <d v="2025-07-05T00:00:00"/>
    <x v="1"/>
    <x v="2"/>
    <x v="1"/>
    <x v="3"/>
    <n v="5"/>
    <n v="30"/>
    <s v="Card"/>
    <x v="0"/>
    <n v="150"/>
  </r>
  <r>
    <n v="1859"/>
    <x v="5"/>
    <d v="2025-08-24T00:00:00"/>
    <x v="0"/>
    <x v="0"/>
    <x v="1"/>
    <x v="1"/>
    <n v="3"/>
    <n v="12"/>
    <s v="Cash"/>
    <x v="2"/>
    <n v="36"/>
  </r>
  <r>
    <n v="943"/>
    <x v="2"/>
    <d v="2025-07-06T00:00:00"/>
    <x v="1"/>
    <x v="0"/>
    <x v="1"/>
    <x v="1"/>
    <n v="2"/>
    <n v="12"/>
    <s v="Card"/>
    <x v="1"/>
    <n v="24"/>
  </r>
  <r>
    <n v="773"/>
    <x v="3"/>
    <d v="2025-07-20T00:00:00"/>
    <x v="1"/>
    <x v="0"/>
    <x v="1"/>
    <x v="2"/>
    <n v="1"/>
    <n v="20"/>
    <s v="Cash"/>
    <x v="1"/>
    <n v="20"/>
  </r>
  <r>
    <n v="679"/>
    <x v="4"/>
    <d v="2025-07-20T00:00:00"/>
    <x v="1"/>
    <x v="0"/>
    <x v="1"/>
    <x v="1"/>
    <n v="5"/>
    <n v="12"/>
    <s v="Card"/>
    <x v="0"/>
    <n v="60"/>
  </r>
  <r>
    <n v="1143"/>
    <x v="2"/>
    <d v="2025-09-14T00:00:00"/>
    <x v="2"/>
    <x v="0"/>
    <x v="1"/>
    <x v="0"/>
    <n v="3"/>
    <n v="25"/>
    <s v="Mobile Wallet"/>
    <x v="3"/>
    <n v="75"/>
  </r>
  <r>
    <n v="1452"/>
    <x v="1"/>
    <d v="2025-07-12T00:00:00"/>
    <x v="1"/>
    <x v="2"/>
    <x v="1"/>
    <x v="4"/>
    <n v="5"/>
    <n v="8"/>
    <s v="Card"/>
    <x v="0"/>
    <n v="40"/>
  </r>
  <r>
    <n v="932"/>
    <x v="6"/>
    <d v="2025-08-09T00:00:00"/>
    <x v="0"/>
    <x v="2"/>
    <x v="1"/>
    <x v="4"/>
    <n v="2"/>
    <n v="8"/>
    <s v="Mobile Wallet"/>
    <x v="3"/>
    <n v="16"/>
  </r>
  <r>
    <n v="1037"/>
    <x v="2"/>
    <d v="2025-07-26T00:00:00"/>
    <x v="1"/>
    <x v="2"/>
    <x v="1"/>
    <x v="1"/>
    <n v="3"/>
    <n v="12"/>
    <s v="Card"/>
    <x v="3"/>
    <n v="36"/>
  </r>
  <r>
    <n v="1905"/>
    <x v="5"/>
    <d v="2025-08-03T00:00:00"/>
    <x v="0"/>
    <x v="0"/>
    <x v="1"/>
    <x v="2"/>
    <n v="2"/>
    <n v="20"/>
    <s v="Card"/>
    <x v="3"/>
    <n v="40"/>
  </r>
  <r>
    <n v="380"/>
    <x v="3"/>
    <d v="2025-08-25T00:00:00"/>
    <x v="0"/>
    <x v="4"/>
    <x v="1"/>
    <x v="4"/>
    <n v="5"/>
    <n v="8"/>
    <s v="Card"/>
    <x v="2"/>
    <n v="40"/>
  </r>
  <r>
    <n v="1868"/>
    <x v="1"/>
    <d v="2025-07-26T00:00:00"/>
    <x v="1"/>
    <x v="2"/>
    <x v="1"/>
    <x v="4"/>
    <n v="1"/>
    <n v="8"/>
    <s v="Card"/>
    <x v="1"/>
    <n v="8"/>
  </r>
  <r>
    <n v="1132"/>
    <x v="4"/>
    <d v="2025-07-19T00:00:00"/>
    <x v="1"/>
    <x v="2"/>
    <x v="1"/>
    <x v="2"/>
    <n v="2"/>
    <n v="20"/>
    <s v="Card"/>
    <x v="1"/>
    <n v="40"/>
  </r>
  <r>
    <n v="287"/>
    <x v="3"/>
    <d v="2025-07-22T00:00:00"/>
    <x v="1"/>
    <x v="3"/>
    <x v="1"/>
    <x v="3"/>
    <n v="4"/>
    <n v="30"/>
    <s v="Cash"/>
    <x v="0"/>
    <n v="120"/>
  </r>
  <r>
    <n v="1229"/>
    <x v="0"/>
    <d v="2025-09-12T00:00:00"/>
    <x v="2"/>
    <x v="1"/>
    <x v="1"/>
    <x v="1"/>
    <n v="3"/>
    <n v="12"/>
    <s v="Card"/>
    <x v="3"/>
    <n v="36"/>
  </r>
  <r>
    <n v="894"/>
    <x v="1"/>
    <d v="2025-07-17T00:00:00"/>
    <x v="1"/>
    <x v="5"/>
    <x v="1"/>
    <x v="4"/>
    <n v="4"/>
    <n v="8"/>
    <s v="Cash"/>
    <x v="3"/>
    <n v="32"/>
  </r>
  <r>
    <n v="1614"/>
    <x v="3"/>
    <d v="2025-09-28T00:00:00"/>
    <x v="2"/>
    <x v="0"/>
    <x v="0"/>
    <x v="4"/>
    <n v="1"/>
    <n v="8"/>
    <s v="Card"/>
    <x v="3"/>
    <n v="8"/>
  </r>
  <r>
    <n v="1554"/>
    <x v="6"/>
    <d v="2025-08-17T00:00:00"/>
    <x v="0"/>
    <x v="0"/>
    <x v="2"/>
    <x v="0"/>
    <n v="2"/>
    <n v="25"/>
    <s v="Card"/>
    <x v="2"/>
    <n v="50"/>
  </r>
  <r>
    <n v="1013"/>
    <x v="0"/>
    <d v="2025-08-18T00:00:00"/>
    <x v="0"/>
    <x v="4"/>
    <x v="3"/>
    <x v="1"/>
    <n v="2"/>
    <n v="12"/>
    <s v="Mobile Wallet"/>
    <x v="0"/>
    <n v="24"/>
  </r>
  <r>
    <n v="1533"/>
    <x v="0"/>
    <d v="2025-09-02T00:00:00"/>
    <x v="2"/>
    <x v="3"/>
    <x v="1"/>
    <x v="1"/>
    <n v="1"/>
    <n v="12"/>
    <s v="Cash"/>
    <x v="2"/>
    <n v="12"/>
  </r>
  <r>
    <n v="746"/>
    <x v="0"/>
    <d v="2025-08-24T00:00:00"/>
    <x v="0"/>
    <x v="0"/>
    <x v="2"/>
    <x v="4"/>
    <n v="5"/>
    <n v="8"/>
    <s v="Card"/>
    <x v="0"/>
    <n v="40"/>
  </r>
  <r>
    <n v="718"/>
    <x v="0"/>
    <d v="2025-07-16T00:00:00"/>
    <x v="1"/>
    <x v="6"/>
    <x v="0"/>
    <x v="3"/>
    <n v="1"/>
    <n v="30"/>
    <s v="Cash"/>
    <x v="3"/>
    <n v="30"/>
  </r>
  <r>
    <n v="1124"/>
    <x v="0"/>
    <d v="2025-08-10T00:00:00"/>
    <x v="0"/>
    <x v="0"/>
    <x v="0"/>
    <x v="1"/>
    <n v="5"/>
    <n v="12"/>
    <s v="Mobile Wallet"/>
    <x v="2"/>
    <n v="60"/>
  </r>
  <r>
    <n v="650"/>
    <x v="0"/>
    <d v="2025-08-23T00:00:00"/>
    <x v="0"/>
    <x v="2"/>
    <x v="2"/>
    <x v="1"/>
    <n v="4"/>
    <n v="12"/>
    <s v="Card"/>
    <x v="3"/>
    <n v="48"/>
  </r>
  <r>
    <n v="846"/>
    <x v="0"/>
    <d v="2025-08-20T00:00:00"/>
    <x v="0"/>
    <x v="6"/>
    <x v="1"/>
    <x v="1"/>
    <n v="2"/>
    <n v="12"/>
    <s v="Mobile Wallet"/>
    <x v="2"/>
    <n v="24"/>
  </r>
  <r>
    <n v="1236"/>
    <x v="0"/>
    <d v="2025-07-28T00:00:00"/>
    <x v="1"/>
    <x v="4"/>
    <x v="2"/>
    <x v="1"/>
    <n v="4"/>
    <n v="12"/>
    <s v="Cash"/>
    <x v="3"/>
    <n v="48"/>
  </r>
  <r>
    <n v="476"/>
    <x v="0"/>
    <d v="2025-08-30T00:00:00"/>
    <x v="0"/>
    <x v="2"/>
    <x v="0"/>
    <x v="2"/>
    <n v="4"/>
    <n v="20"/>
    <s v="Card"/>
    <x v="3"/>
    <n v="80"/>
  </r>
  <r>
    <n v="100"/>
    <x v="0"/>
    <d v="2025-08-05T00:00:00"/>
    <x v="0"/>
    <x v="3"/>
    <x v="0"/>
    <x v="1"/>
    <n v="2"/>
    <n v="12"/>
    <s v="Card"/>
    <x v="3"/>
    <n v="24"/>
  </r>
  <r>
    <n v="644"/>
    <x v="3"/>
    <d v="2025-08-20T00:00:00"/>
    <x v="0"/>
    <x v="6"/>
    <x v="0"/>
    <x v="0"/>
    <n v="5"/>
    <n v="25"/>
    <s v="Cash"/>
    <x v="3"/>
    <n v="125"/>
  </r>
  <r>
    <n v="873"/>
    <x v="4"/>
    <d v="2025-07-01T00:00:00"/>
    <x v="1"/>
    <x v="3"/>
    <x v="0"/>
    <x v="2"/>
    <n v="5"/>
    <n v="20"/>
    <s v="Mobile Wallet"/>
    <x v="1"/>
    <n v="100"/>
  </r>
  <r>
    <n v="1986"/>
    <x v="0"/>
    <d v="2025-07-12T00:00:00"/>
    <x v="1"/>
    <x v="2"/>
    <x v="1"/>
    <x v="3"/>
    <n v="2"/>
    <n v="30"/>
    <s v="Card"/>
    <x v="2"/>
    <n v="60"/>
  </r>
  <r>
    <n v="414"/>
    <x v="3"/>
    <d v="2025-08-19T00:00:00"/>
    <x v="0"/>
    <x v="3"/>
    <x v="0"/>
    <x v="1"/>
    <n v="4"/>
    <n v="12"/>
    <s v="Card"/>
    <x v="1"/>
    <n v="48"/>
  </r>
  <r>
    <n v="310"/>
    <x v="0"/>
    <d v="2025-07-23T00:00:00"/>
    <x v="1"/>
    <x v="6"/>
    <x v="0"/>
    <x v="1"/>
    <n v="3"/>
    <n v="12"/>
    <s v="Cash"/>
    <x v="3"/>
    <n v="36"/>
  </r>
  <r>
    <n v="321"/>
    <x v="2"/>
    <d v="2025-08-14T00:00:00"/>
    <x v="0"/>
    <x v="5"/>
    <x v="0"/>
    <x v="3"/>
    <n v="3"/>
    <n v="30"/>
    <s v="Mobile Wallet"/>
    <x v="2"/>
    <n v="90"/>
  </r>
  <r>
    <n v="947"/>
    <x v="1"/>
    <d v="2025-08-16T00:00:00"/>
    <x v="0"/>
    <x v="2"/>
    <x v="0"/>
    <x v="0"/>
    <n v="2"/>
    <n v="25"/>
    <s v="Card"/>
    <x v="2"/>
    <n v="50"/>
  </r>
  <r>
    <n v="1821"/>
    <x v="5"/>
    <d v="2025-09-20T00:00:00"/>
    <x v="2"/>
    <x v="2"/>
    <x v="0"/>
    <x v="1"/>
    <n v="3"/>
    <n v="12"/>
    <s v="Cash"/>
    <x v="2"/>
    <n v="36"/>
  </r>
  <r>
    <n v="1657"/>
    <x v="4"/>
    <d v="2025-08-04T00:00:00"/>
    <x v="0"/>
    <x v="4"/>
    <x v="3"/>
    <x v="1"/>
    <n v="5"/>
    <n v="12"/>
    <s v="Cash"/>
    <x v="1"/>
    <n v="60"/>
  </r>
  <r>
    <n v="433"/>
    <x v="1"/>
    <d v="2025-09-09T00:00:00"/>
    <x v="2"/>
    <x v="3"/>
    <x v="2"/>
    <x v="3"/>
    <n v="2"/>
    <n v="30"/>
    <s v="Cash"/>
    <x v="3"/>
    <n v="60"/>
  </r>
  <r>
    <n v="1701"/>
    <x v="1"/>
    <d v="2025-08-02T00:00:00"/>
    <x v="0"/>
    <x v="2"/>
    <x v="0"/>
    <x v="0"/>
    <n v="4"/>
    <n v="25"/>
    <s v="Card"/>
    <x v="1"/>
    <n v="100"/>
  </r>
  <r>
    <n v="1312"/>
    <x v="4"/>
    <d v="2025-09-15T00:00:00"/>
    <x v="2"/>
    <x v="4"/>
    <x v="3"/>
    <x v="4"/>
    <n v="4"/>
    <n v="8"/>
    <s v="Mobile Wallet"/>
    <x v="2"/>
    <n v="32"/>
  </r>
  <r>
    <n v="150"/>
    <x v="2"/>
    <d v="2025-09-19T00:00:00"/>
    <x v="2"/>
    <x v="1"/>
    <x v="0"/>
    <x v="2"/>
    <n v="5"/>
    <n v="20"/>
    <s v="Mobile Wallet"/>
    <x v="1"/>
    <n v="100"/>
  </r>
  <r>
    <n v="1702"/>
    <x v="0"/>
    <d v="2025-07-02T00:00:00"/>
    <x v="1"/>
    <x v="6"/>
    <x v="2"/>
    <x v="4"/>
    <n v="1"/>
    <n v="8"/>
    <s v="Mobile Wallet"/>
    <x v="1"/>
    <n v="8"/>
  </r>
  <r>
    <n v="1316"/>
    <x v="6"/>
    <d v="2025-08-24T00:00:00"/>
    <x v="0"/>
    <x v="0"/>
    <x v="0"/>
    <x v="4"/>
    <n v="4"/>
    <n v="8"/>
    <s v="Cash"/>
    <x v="0"/>
    <n v="32"/>
  </r>
  <r>
    <n v="1368"/>
    <x v="0"/>
    <d v="2025-08-21T00:00:00"/>
    <x v="0"/>
    <x v="5"/>
    <x v="2"/>
    <x v="1"/>
    <n v="1"/>
    <n v="12"/>
    <s v="Mobile Wallet"/>
    <x v="0"/>
    <n v="12"/>
  </r>
  <r>
    <n v="1528"/>
    <x v="3"/>
    <d v="2025-08-23T00:00:00"/>
    <x v="0"/>
    <x v="2"/>
    <x v="2"/>
    <x v="4"/>
    <n v="4"/>
    <n v="8"/>
    <s v="Cash"/>
    <x v="2"/>
    <n v="32"/>
  </r>
  <r>
    <n v="1205"/>
    <x v="1"/>
    <d v="2025-08-23T00:00:00"/>
    <x v="0"/>
    <x v="2"/>
    <x v="0"/>
    <x v="4"/>
    <n v="3"/>
    <n v="8"/>
    <s v="Mobile Wallet"/>
    <x v="3"/>
    <n v="24"/>
  </r>
  <r>
    <n v="931"/>
    <x v="5"/>
    <d v="2025-07-27T00:00:00"/>
    <x v="1"/>
    <x v="0"/>
    <x v="2"/>
    <x v="0"/>
    <n v="5"/>
    <n v="25"/>
    <s v="Mobile Wallet"/>
    <x v="1"/>
    <n v="125"/>
  </r>
  <r>
    <n v="1214"/>
    <x v="0"/>
    <d v="2025-07-03T00:00:00"/>
    <x v="1"/>
    <x v="5"/>
    <x v="1"/>
    <x v="4"/>
    <n v="2"/>
    <n v="8"/>
    <s v="Cash"/>
    <x v="2"/>
    <n v="16"/>
  </r>
  <r>
    <n v="437"/>
    <x v="2"/>
    <d v="2025-07-26T00:00:00"/>
    <x v="1"/>
    <x v="2"/>
    <x v="2"/>
    <x v="1"/>
    <n v="2"/>
    <n v="12"/>
    <s v="Card"/>
    <x v="2"/>
    <n v="24"/>
  </r>
  <r>
    <n v="1778"/>
    <x v="7"/>
    <d v="2025-08-07T00:00:00"/>
    <x v="0"/>
    <x v="5"/>
    <x v="0"/>
    <x v="0"/>
    <n v="2"/>
    <n v="25"/>
    <s v="Card"/>
    <x v="3"/>
    <n v="50"/>
  </r>
  <r>
    <n v="1387"/>
    <x v="3"/>
    <d v="2025-09-23T00:00:00"/>
    <x v="2"/>
    <x v="3"/>
    <x v="0"/>
    <x v="1"/>
    <n v="4"/>
    <n v="12"/>
    <s v="Cash"/>
    <x v="1"/>
    <n v="48"/>
  </r>
  <r>
    <n v="201"/>
    <x v="5"/>
    <d v="2025-07-20T00:00:00"/>
    <x v="1"/>
    <x v="0"/>
    <x v="0"/>
    <x v="3"/>
    <n v="5"/>
    <n v="30"/>
    <s v="Mobile Wallet"/>
    <x v="2"/>
    <n v="150"/>
  </r>
  <r>
    <n v="379"/>
    <x v="4"/>
    <d v="2025-07-19T00:00:00"/>
    <x v="1"/>
    <x v="2"/>
    <x v="0"/>
    <x v="1"/>
    <n v="4"/>
    <n v="12"/>
    <s v="Cash"/>
    <x v="1"/>
    <n v="48"/>
  </r>
  <r>
    <n v="223"/>
    <x v="0"/>
    <d v="2025-08-29T00:00:00"/>
    <x v="0"/>
    <x v="1"/>
    <x v="2"/>
    <x v="1"/>
    <n v="5"/>
    <n v="12"/>
    <s v="Card"/>
    <x v="0"/>
    <n v="60"/>
  </r>
  <r>
    <n v="1050"/>
    <x v="3"/>
    <d v="2025-07-27T00:00:00"/>
    <x v="1"/>
    <x v="0"/>
    <x v="1"/>
    <x v="1"/>
    <n v="1"/>
    <n v="12"/>
    <s v="Mobile Wallet"/>
    <x v="1"/>
    <n v="12"/>
  </r>
  <r>
    <n v="252"/>
    <x v="3"/>
    <d v="2025-07-12T00:00:00"/>
    <x v="1"/>
    <x v="2"/>
    <x v="0"/>
    <x v="3"/>
    <n v="1"/>
    <n v="30"/>
    <s v="Mobile Wallet"/>
    <x v="1"/>
    <n v="30"/>
  </r>
  <r>
    <n v="490"/>
    <x v="1"/>
    <d v="2025-07-26T00:00:00"/>
    <x v="1"/>
    <x v="2"/>
    <x v="0"/>
    <x v="1"/>
    <n v="1"/>
    <n v="12"/>
    <s v="Cash"/>
    <x v="3"/>
    <n v="12"/>
  </r>
  <r>
    <n v="178"/>
    <x v="7"/>
    <d v="2025-07-02T00:00:00"/>
    <x v="1"/>
    <x v="6"/>
    <x v="1"/>
    <x v="0"/>
    <n v="5"/>
    <n v="25"/>
    <s v="Mobile Wallet"/>
    <x v="1"/>
    <n v="125"/>
  </r>
  <r>
    <n v="1734"/>
    <x v="6"/>
    <d v="2025-07-21T00:00:00"/>
    <x v="1"/>
    <x v="4"/>
    <x v="3"/>
    <x v="0"/>
    <n v="5"/>
    <n v="25"/>
    <s v="Cash"/>
    <x v="0"/>
    <n v="125"/>
  </r>
  <r>
    <n v="499"/>
    <x v="3"/>
    <d v="2025-08-18T00:00:00"/>
    <x v="0"/>
    <x v="4"/>
    <x v="0"/>
    <x v="3"/>
    <n v="4"/>
    <n v="30"/>
    <s v="Cash"/>
    <x v="2"/>
    <n v="120"/>
  </r>
  <r>
    <n v="1222"/>
    <x v="4"/>
    <d v="2025-09-13T00:00:00"/>
    <x v="2"/>
    <x v="2"/>
    <x v="1"/>
    <x v="1"/>
    <n v="1"/>
    <n v="12"/>
    <s v="Card"/>
    <x v="3"/>
    <n v="12"/>
  </r>
  <r>
    <n v="1737"/>
    <x v="1"/>
    <d v="2025-07-21T00:00:00"/>
    <x v="1"/>
    <x v="4"/>
    <x v="1"/>
    <x v="4"/>
    <n v="1"/>
    <n v="8"/>
    <s v="Card"/>
    <x v="0"/>
    <n v="8"/>
  </r>
  <r>
    <n v="519"/>
    <x v="2"/>
    <d v="2025-07-29T00:00:00"/>
    <x v="1"/>
    <x v="3"/>
    <x v="1"/>
    <x v="4"/>
    <n v="5"/>
    <n v="8"/>
    <s v="Mobile Wallet"/>
    <x v="3"/>
    <n v="40"/>
  </r>
  <r>
    <n v="1116"/>
    <x v="5"/>
    <d v="2025-09-23T00:00:00"/>
    <x v="2"/>
    <x v="3"/>
    <x v="1"/>
    <x v="2"/>
    <n v="1"/>
    <n v="20"/>
    <s v="Cash"/>
    <x v="1"/>
    <n v="20"/>
  </r>
  <r>
    <n v="1201"/>
    <x v="1"/>
    <d v="2025-07-27T00:00:00"/>
    <x v="1"/>
    <x v="0"/>
    <x v="1"/>
    <x v="0"/>
    <n v="4"/>
    <n v="25"/>
    <s v="Cash"/>
    <x v="0"/>
    <n v="100"/>
  </r>
  <r>
    <n v="796"/>
    <x v="5"/>
    <d v="2025-08-07T00:00:00"/>
    <x v="0"/>
    <x v="5"/>
    <x v="1"/>
    <x v="0"/>
    <n v="2"/>
    <n v="25"/>
    <s v="Card"/>
    <x v="0"/>
    <n v="50"/>
  </r>
  <r>
    <n v="263"/>
    <x v="1"/>
    <d v="2025-08-07T00:00:00"/>
    <x v="0"/>
    <x v="5"/>
    <x v="2"/>
    <x v="2"/>
    <n v="2"/>
    <n v="20"/>
    <s v="Cash"/>
    <x v="1"/>
    <n v="40"/>
  </r>
  <r>
    <n v="354"/>
    <x v="2"/>
    <d v="2025-09-15T00:00:00"/>
    <x v="2"/>
    <x v="4"/>
    <x v="1"/>
    <x v="2"/>
    <n v="5"/>
    <n v="20"/>
    <s v="Cash"/>
    <x v="2"/>
    <n v="100"/>
  </r>
  <r>
    <n v="905"/>
    <x v="7"/>
    <d v="2025-07-19T00:00:00"/>
    <x v="1"/>
    <x v="2"/>
    <x v="1"/>
    <x v="0"/>
    <n v="4"/>
    <n v="25"/>
    <s v="Mobile Wallet"/>
    <x v="1"/>
    <n v="100"/>
  </r>
  <r>
    <n v="1131"/>
    <x v="4"/>
    <d v="2025-07-05T00:00:00"/>
    <x v="1"/>
    <x v="2"/>
    <x v="1"/>
    <x v="2"/>
    <n v="2"/>
    <n v="20"/>
    <s v="Mobile Wallet"/>
    <x v="0"/>
    <n v="40"/>
  </r>
  <r>
    <n v="1548"/>
    <x v="5"/>
    <d v="2025-08-24T00:00:00"/>
    <x v="0"/>
    <x v="0"/>
    <x v="1"/>
    <x v="1"/>
    <n v="1"/>
    <n v="12"/>
    <s v="Cash"/>
    <x v="2"/>
    <n v="12"/>
  </r>
  <r>
    <n v="885"/>
    <x v="2"/>
    <d v="2025-09-27T00:00:00"/>
    <x v="2"/>
    <x v="2"/>
    <x v="1"/>
    <x v="1"/>
    <n v="2"/>
    <n v="12"/>
    <s v="Mobile Wallet"/>
    <x v="0"/>
    <n v="24"/>
  </r>
  <r>
    <n v="1626"/>
    <x v="5"/>
    <d v="2025-07-04T00:00:00"/>
    <x v="1"/>
    <x v="1"/>
    <x v="2"/>
    <x v="1"/>
    <n v="3"/>
    <n v="12"/>
    <s v="Mobile Wallet"/>
    <x v="0"/>
    <n v="36"/>
  </r>
  <r>
    <n v="1382"/>
    <x v="6"/>
    <d v="2025-09-01T00:00:00"/>
    <x v="2"/>
    <x v="4"/>
    <x v="1"/>
    <x v="1"/>
    <n v="1"/>
    <n v="12"/>
    <s v="Cash"/>
    <x v="0"/>
    <n v="12"/>
  </r>
  <r>
    <n v="84"/>
    <x v="2"/>
    <d v="2025-08-26T00:00:00"/>
    <x v="0"/>
    <x v="3"/>
    <x v="2"/>
    <x v="3"/>
    <n v="4"/>
    <n v="30"/>
    <s v="Mobile Wallet"/>
    <x v="0"/>
    <n v="120"/>
  </r>
  <r>
    <n v="1496"/>
    <x v="1"/>
    <d v="2025-09-20T00:00:00"/>
    <x v="2"/>
    <x v="2"/>
    <x v="3"/>
    <x v="1"/>
    <n v="1"/>
    <n v="12"/>
    <s v="Card"/>
    <x v="0"/>
    <n v="12"/>
  </r>
  <r>
    <n v="1133"/>
    <x v="0"/>
    <d v="2025-09-20T00:00:00"/>
    <x v="2"/>
    <x v="2"/>
    <x v="2"/>
    <x v="3"/>
    <n v="4"/>
    <n v="30"/>
    <s v="Card"/>
    <x v="2"/>
    <n v="120"/>
  </r>
  <r>
    <n v="351"/>
    <x v="6"/>
    <d v="2025-07-25T00:00:00"/>
    <x v="1"/>
    <x v="1"/>
    <x v="1"/>
    <x v="0"/>
    <n v="1"/>
    <n v="25"/>
    <s v="Card"/>
    <x v="3"/>
    <n v="25"/>
  </r>
  <r>
    <n v="654"/>
    <x v="1"/>
    <d v="2025-07-17T00:00:00"/>
    <x v="1"/>
    <x v="5"/>
    <x v="3"/>
    <x v="1"/>
    <n v="1"/>
    <n v="12"/>
    <s v="Cash"/>
    <x v="3"/>
    <n v="12"/>
  </r>
  <r>
    <n v="978"/>
    <x v="2"/>
    <d v="2025-08-26T00:00:00"/>
    <x v="0"/>
    <x v="3"/>
    <x v="3"/>
    <x v="1"/>
    <n v="3"/>
    <n v="12"/>
    <s v="Cash"/>
    <x v="3"/>
    <n v="36"/>
  </r>
  <r>
    <n v="1090"/>
    <x v="4"/>
    <d v="2025-07-13T00:00:00"/>
    <x v="1"/>
    <x v="0"/>
    <x v="1"/>
    <x v="1"/>
    <n v="3"/>
    <n v="12"/>
    <s v="Card"/>
    <x v="0"/>
    <n v="36"/>
  </r>
  <r>
    <n v="1941"/>
    <x v="5"/>
    <d v="2025-08-09T00:00:00"/>
    <x v="0"/>
    <x v="2"/>
    <x v="1"/>
    <x v="4"/>
    <n v="2"/>
    <n v="8"/>
    <s v="Cash"/>
    <x v="0"/>
    <n v="16"/>
  </r>
  <r>
    <n v="173"/>
    <x v="7"/>
    <d v="2025-08-24T00:00:00"/>
    <x v="0"/>
    <x v="0"/>
    <x v="1"/>
    <x v="1"/>
    <n v="4"/>
    <n v="12"/>
    <s v="Card"/>
    <x v="0"/>
    <n v="48"/>
  </r>
  <r>
    <n v="1238"/>
    <x v="2"/>
    <d v="2025-09-12T00:00:00"/>
    <x v="2"/>
    <x v="1"/>
    <x v="0"/>
    <x v="3"/>
    <n v="5"/>
    <n v="30"/>
    <s v="Card"/>
    <x v="1"/>
    <n v="150"/>
  </r>
  <r>
    <n v="1401"/>
    <x v="7"/>
    <d v="2025-08-26T00:00:00"/>
    <x v="0"/>
    <x v="3"/>
    <x v="1"/>
    <x v="1"/>
    <n v="2"/>
    <n v="12"/>
    <s v="Cash"/>
    <x v="2"/>
    <n v="24"/>
  </r>
  <r>
    <n v="22"/>
    <x v="1"/>
    <d v="2025-08-17T00:00:00"/>
    <x v="0"/>
    <x v="0"/>
    <x v="0"/>
    <x v="0"/>
    <n v="4"/>
    <n v="25"/>
    <s v="Mobile Wallet"/>
    <x v="3"/>
    <n v="100"/>
  </r>
  <r>
    <n v="430"/>
    <x v="6"/>
    <d v="2025-07-28T00:00:00"/>
    <x v="1"/>
    <x v="4"/>
    <x v="0"/>
    <x v="2"/>
    <n v="2"/>
    <n v="20"/>
    <s v="Cash"/>
    <x v="2"/>
    <n v="40"/>
  </r>
  <r>
    <n v="483"/>
    <x v="1"/>
    <d v="2025-09-17T00:00:00"/>
    <x v="2"/>
    <x v="6"/>
    <x v="3"/>
    <x v="3"/>
    <n v="4"/>
    <n v="30"/>
    <s v="Mobile Wallet"/>
    <x v="3"/>
    <n v="120"/>
  </r>
  <r>
    <n v="1651"/>
    <x v="7"/>
    <d v="2025-07-07T00:00:00"/>
    <x v="1"/>
    <x v="4"/>
    <x v="2"/>
    <x v="4"/>
    <n v="2"/>
    <n v="8"/>
    <s v="Cash"/>
    <x v="1"/>
    <n v="16"/>
  </r>
  <r>
    <n v="767"/>
    <x v="1"/>
    <d v="2025-08-08T00:00:00"/>
    <x v="0"/>
    <x v="1"/>
    <x v="2"/>
    <x v="0"/>
    <n v="4"/>
    <n v="25"/>
    <s v="Card"/>
    <x v="3"/>
    <n v="100"/>
  </r>
  <r>
    <n v="1649"/>
    <x v="3"/>
    <d v="2025-09-21T00:00:00"/>
    <x v="2"/>
    <x v="0"/>
    <x v="3"/>
    <x v="0"/>
    <n v="5"/>
    <n v="25"/>
    <s v="Card"/>
    <x v="3"/>
    <n v="125"/>
  </r>
  <r>
    <n v="463"/>
    <x v="0"/>
    <d v="2025-07-17T00:00:00"/>
    <x v="1"/>
    <x v="5"/>
    <x v="0"/>
    <x v="0"/>
    <n v="5"/>
    <n v="25"/>
    <s v="Card"/>
    <x v="0"/>
    <n v="125"/>
  </r>
  <r>
    <n v="236"/>
    <x v="6"/>
    <d v="2025-09-22T00:00:00"/>
    <x v="2"/>
    <x v="4"/>
    <x v="1"/>
    <x v="0"/>
    <n v="3"/>
    <n v="25"/>
    <s v="Mobile Wallet"/>
    <x v="0"/>
    <n v="75"/>
  </r>
  <r>
    <n v="1336"/>
    <x v="0"/>
    <d v="2025-08-09T00:00:00"/>
    <x v="0"/>
    <x v="2"/>
    <x v="3"/>
    <x v="4"/>
    <n v="3"/>
    <n v="8"/>
    <s v="Cash"/>
    <x v="1"/>
    <n v="24"/>
  </r>
  <r>
    <n v="1798"/>
    <x v="4"/>
    <d v="2025-08-23T00:00:00"/>
    <x v="0"/>
    <x v="2"/>
    <x v="1"/>
    <x v="1"/>
    <n v="5"/>
    <n v="12"/>
    <s v="Mobile Wallet"/>
    <x v="3"/>
    <n v="60"/>
  </r>
  <r>
    <n v="1453"/>
    <x v="2"/>
    <d v="2025-08-29T00:00:00"/>
    <x v="0"/>
    <x v="1"/>
    <x v="1"/>
    <x v="4"/>
    <n v="5"/>
    <n v="8"/>
    <s v="Card"/>
    <x v="3"/>
    <n v="40"/>
  </r>
  <r>
    <n v="1581"/>
    <x v="6"/>
    <d v="2025-08-02T00:00:00"/>
    <x v="0"/>
    <x v="2"/>
    <x v="0"/>
    <x v="1"/>
    <n v="5"/>
    <n v="12"/>
    <s v="Card"/>
    <x v="2"/>
    <n v="60"/>
  </r>
  <r>
    <n v="294"/>
    <x v="4"/>
    <d v="2025-07-16T00:00:00"/>
    <x v="1"/>
    <x v="6"/>
    <x v="1"/>
    <x v="0"/>
    <n v="4"/>
    <n v="25"/>
    <s v="Card"/>
    <x v="2"/>
    <n v="100"/>
  </r>
  <r>
    <n v="880"/>
    <x v="1"/>
    <d v="2025-07-29T00:00:00"/>
    <x v="1"/>
    <x v="3"/>
    <x v="1"/>
    <x v="1"/>
    <n v="2"/>
    <n v="12"/>
    <s v="Cash"/>
    <x v="1"/>
    <n v="24"/>
  </r>
  <r>
    <n v="616"/>
    <x v="7"/>
    <d v="2025-08-28T00:00:00"/>
    <x v="0"/>
    <x v="5"/>
    <x v="1"/>
    <x v="1"/>
    <n v="1"/>
    <n v="12"/>
    <s v="Mobile Wallet"/>
    <x v="3"/>
    <n v="12"/>
  </r>
  <r>
    <n v="141"/>
    <x v="2"/>
    <d v="2025-07-22T00:00:00"/>
    <x v="1"/>
    <x v="3"/>
    <x v="1"/>
    <x v="2"/>
    <n v="2"/>
    <n v="20"/>
    <s v="Mobile Wallet"/>
    <x v="0"/>
    <n v="40"/>
  </r>
  <r>
    <n v="1535"/>
    <x v="7"/>
    <d v="2025-07-04T00:00:00"/>
    <x v="1"/>
    <x v="1"/>
    <x v="1"/>
    <x v="1"/>
    <n v="1"/>
    <n v="12"/>
    <s v="Mobile Wallet"/>
    <x v="3"/>
    <n v="12"/>
  </r>
  <r>
    <n v="859"/>
    <x v="4"/>
    <d v="2025-08-30T00:00:00"/>
    <x v="0"/>
    <x v="2"/>
    <x v="3"/>
    <x v="1"/>
    <n v="2"/>
    <n v="12"/>
    <s v="Mobile Wallet"/>
    <x v="0"/>
    <n v="24"/>
  </r>
  <r>
    <n v="621"/>
    <x v="6"/>
    <d v="2025-09-03T00:00:00"/>
    <x v="2"/>
    <x v="6"/>
    <x v="0"/>
    <x v="4"/>
    <n v="2"/>
    <n v="8"/>
    <s v="Card"/>
    <x v="2"/>
    <n v="16"/>
  </r>
  <r>
    <n v="745"/>
    <x v="7"/>
    <d v="2025-07-26T00:00:00"/>
    <x v="1"/>
    <x v="2"/>
    <x v="3"/>
    <x v="0"/>
    <n v="1"/>
    <n v="25"/>
    <s v="Cash"/>
    <x v="0"/>
    <n v="25"/>
  </r>
  <r>
    <n v="272"/>
    <x v="2"/>
    <d v="2025-08-19T00:00:00"/>
    <x v="0"/>
    <x v="3"/>
    <x v="3"/>
    <x v="1"/>
    <n v="3"/>
    <n v="12"/>
    <s v="Cash"/>
    <x v="0"/>
    <n v="36"/>
  </r>
  <r>
    <n v="25"/>
    <x v="6"/>
    <d v="2025-07-01T00:00:00"/>
    <x v="1"/>
    <x v="3"/>
    <x v="3"/>
    <x v="1"/>
    <n v="3"/>
    <n v="12"/>
    <s v="Mobile Wallet"/>
    <x v="3"/>
    <n v="36"/>
  </r>
  <r>
    <n v="895"/>
    <x v="6"/>
    <d v="2025-08-06T00:00:00"/>
    <x v="0"/>
    <x v="6"/>
    <x v="0"/>
    <x v="1"/>
    <n v="3"/>
    <n v="12"/>
    <s v="Mobile Wallet"/>
    <x v="3"/>
    <n v="36"/>
  </r>
  <r>
    <n v="827"/>
    <x v="7"/>
    <d v="2025-09-04T00:00:00"/>
    <x v="2"/>
    <x v="5"/>
    <x v="2"/>
    <x v="4"/>
    <n v="2"/>
    <n v="8"/>
    <s v="Mobile Wallet"/>
    <x v="3"/>
    <n v="16"/>
  </r>
  <r>
    <n v="1307"/>
    <x v="2"/>
    <d v="2025-07-03T00:00:00"/>
    <x v="1"/>
    <x v="5"/>
    <x v="2"/>
    <x v="1"/>
    <n v="2"/>
    <n v="12"/>
    <s v="Card"/>
    <x v="3"/>
    <n v="24"/>
  </r>
  <r>
    <n v="917"/>
    <x v="4"/>
    <d v="2025-07-23T00:00:00"/>
    <x v="1"/>
    <x v="6"/>
    <x v="0"/>
    <x v="4"/>
    <n v="2"/>
    <n v="8"/>
    <s v="Card"/>
    <x v="1"/>
    <n v="16"/>
  </r>
  <r>
    <n v="241"/>
    <x v="4"/>
    <d v="2025-07-14T00:00:00"/>
    <x v="1"/>
    <x v="4"/>
    <x v="0"/>
    <x v="4"/>
    <n v="4"/>
    <n v="8"/>
    <s v="Card"/>
    <x v="2"/>
    <n v="32"/>
  </r>
  <r>
    <n v="1504"/>
    <x v="7"/>
    <d v="2025-09-30T00:00:00"/>
    <x v="2"/>
    <x v="3"/>
    <x v="0"/>
    <x v="1"/>
    <n v="2"/>
    <n v="12"/>
    <s v="Card"/>
    <x v="0"/>
    <n v="24"/>
  </r>
  <r>
    <n v="1392"/>
    <x v="0"/>
    <d v="2025-08-23T00:00:00"/>
    <x v="0"/>
    <x v="2"/>
    <x v="0"/>
    <x v="2"/>
    <n v="2"/>
    <n v="20"/>
    <s v="Mobile Wallet"/>
    <x v="1"/>
    <n v="40"/>
  </r>
  <r>
    <n v="634"/>
    <x v="0"/>
    <d v="2025-09-05T00:00:00"/>
    <x v="2"/>
    <x v="1"/>
    <x v="0"/>
    <x v="1"/>
    <n v="2"/>
    <n v="12"/>
    <s v="Card"/>
    <x v="2"/>
    <n v="24"/>
  </r>
  <r>
    <n v="1671"/>
    <x v="0"/>
    <d v="2025-08-16T00:00:00"/>
    <x v="0"/>
    <x v="2"/>
    <x v="0"/>
    <x v="1"/>
    <n v="2"/>
    <n v="12"/>
    <s v="Mobile Wallet"/>
    <x v="3"/>
    <n v="24"/>
  </r>
  <r>
    <n v="1888"/>
    <x v="0"/>
    <d v="2025-08-14T00:00:00"/>
    <x v="0"/>
    <x v="5"/>
    <x v="0"/>
    <x v="0"/>
    <n v="3"/>
    <n v="25"/>
    <s v="Card"/>
    <x v="3"/>
    <n v="75"/>
  </r>
  <r>
    <n v="1168"/>
    <x v="0"/>
    <d v="2025-08-05T00:00:00"/>
    <x v="0"/>
    <x v="3"/>
    <x v="0"/>
    <x v="1"/>
    <n v="1"/>
    <n v="12"/>
    <s v="Cash"/>
    <x v="3"/>
    <n v="12"/>
  </r>
  <r>
    <n v="1543"/>
    <x v="0"/>
    <d v="2025-09-05T00:00:00"/>
    <x v="2"/>
    <x v="1"/>
    <x v="0"/>
    <x v="1"/>
    <n v="1"/>
    <n v="12"/>
    <s v="Mobile Wallet"/>
    <x v="0"/>
    <n v="12"/>
  </r>
  <r>
    <n v="1656"/>
    <x v="0"/>
    <d v="2025-07-08T00:00:00"/>
    <x v="1"/>
    <x v="3"/>
    <x v="0"/>
    <x v="1"/>
    <n v="1"/>
    <n v="12"/>
    <s v="Mobile Wallet"/>
    <x v="1"/>
    <n v="12"/>
  </r>
  <r>
    <n v="1482"/>
    <x v="0"/>
    <d v="2025-08-23T00:00:00"/>
    <x v="0"/>
    <x v="2"/>
    <x v="0"/>
    <x v="0"/>
    <n v="5"/>
    <n v="25"/>
    <s v="Cash"/>
    <x v="2"/>
    <n v="125"/>
  </r>
  <r>
    <n v="1372"/>
    <x v="0"/>
    <d v="2025-09-20T00:00:00"/>
    <x v="2"/>
    <x v="2"/>
    <x v="0"/>
    <x v="0"/>
    <n v="3"/>
    <n v="25"/>
    <s v="Cash"/>
    <x v="2"/>
    <n v="75"/>
  </r>
  <r>
    <n v="285"/>
    <x v="4"/>
    <d v="2025-09-02T00:00:00"/>
    <x v="2"/>
    <x v="3"/>
    <x v="0"/>
    <x v="1"/>
    <n v="3"/>
    <n v="12"/>
    <s v="Card"/>
    <x v="1"/>
    <n v="36"/>
  </r>
  <r>
    <n v="542"/>
    <x v="4"/>
    <d v="2025-08-30T00:00:00"/>
    <x v="0"/>
    <x v="2"/>
    <x v="0"/>
    <x v="4"/>
    <n v="4"/>
    <n v="8"/>
    <s v="Card"/>
    <x v="3"/>
    <n v="32"/>
  </r>
  <r>
    <n v="1613"/>
    <x v="2"/>
    <d v="2025-08-07T00:00:00"/>
    <x v="0"/>
    <x v="5"/>
    <x v="0"/>
    <x v="1"/>
    <n v="4"/>
    <n v="12"/>
    <s v="Card"/>
    <x v="2"/>
    <n v="48"/>
  </r>
  <r>
    <n v="1237"/>
    <x v="3"/>
    <d v="2025-09-09T00:00:00"/>
    <x v="2"/>
    <x v="3"/>
    <x v="0"/>
    <x v="1"/>
    <n v="5"/>
    <n v="12"/>
    <s v="Mobile Wallet"/>
    <x v="1"/>
    <n v="60"/>
  </r>
  <r>
    <n v="434"/>
    <x v="2"/>
    <d v="2025-07-14T00:00:00"/>
    <x v="1"/>
    <x v="4"/>
    <x v="0"/>
    <x v="1"/>
    <n v="1"/>
    <n v="12"/>
    <s v="Cash"/>
    <x v="3"/>
    <n v="12"/>
  </r>
  <r>
    <n v="1522"/>
    <x v="3"/>
    <d v="2025-07-11T00:00:00"/>
    <x v="1"/>
    <x v="1"/>
    <x v="0"/>
    <x v="1"/>
    <n v="5"/>
    <n v="12"/>
    <s v="Mobile Wallet"/>
    <x v="3"/>
    <n v="60"/>
  </r>
  <r>
    <n v="21"/>
    <x v="0"/>
    <d v="2025-08-11T00:00:00"/>
    <x v="0"/>
    <x v="4"/>
    <x v="0"/>
    <x v="3"/>
    <n v="4"/>
    <n v="30"/>
    <s v="Mobile Wallet"/>
    <x v="3"/>
    <n v="120"/>
  </r>
  <r>
    <n v="764"/>
    <x v="4"/>
    <d v="2025-07-27T00:00:00"/>
    <x v="1"/>
    <x v="0"/>
    <x v="0"/>
    <x v="1"/>
    <n v="1"/>
    <n v="12"/>
    <s v="Cash"/>
    <x v="3"/>
    <n v="12"/>
  </r>
  <r>
    <n v="1874"/>
    <x v="0"/>
    <d v="2025-08-02T00:00:00"/>
    <x v="0"/>
    <x v="2"/>
    <x v="0"/>
    <x v="2"/>
    <n v="2"/>
    <n v="20"/>
    <s v="Card"/>
    <x v="2"/>
    <n v="40"/>
  </r>
  <r>
    <n v="928"/>
    <x v="6"/>
    <d v="2025-07-27T00:00:00"/>
    <x v="1"/>
    <x v="0"/>
    <x v="0"/>
    <x v="3"/>
    <n v="2"/>
    <n v="30"/>
    <s v="Cash"/>
    <x v="3"/>
    <n v="60"/>
  </r>
  <r>
    <n v="1850"/>
    <x v="4"/>
    <d v="2025-07-27T00:00:00"/>
    <x v="1"/>
    <x v="0"/>
    <x v="0"/>
    <x v="1"/>
    <n v="1"/>
    <n v="12"/>
    <s v="Cash"/>
    <x v="3"/>
    <n v="12"/>
  </r>
  <r>
    <n v="735"/>
    <x v="4"/>
    <d v="2025-07-31T00:00:00"/>
    <x v="1"/>
    <x v="5"/>
    <x v="0"/>
    <x v="3"/>
    <n v="4"/>
    <n v="30"/>
    <s v="Cash"/>
    <x v="3"/>
    <n v="120"/>
  </r>
  <r>
    <n v="611"/>
    <x v="1"/>
    <d v="2025-08-10T00:00:00"/>
    <x v="0"/>
    <x v="0"/>
    <x v="0"/>
    <x v="2"/>
    <n v="2"/>
    <n v="20"/>
    <s v="Mobile Wallet"/>
    <x v="1"/>
    <n v="40"/>
  </r>
  <r>
    <n v="609"/>
    <x v="6"/>
    <d v="2025-08-24T00:00:00"/>
    <x v="0"/>
    <x v="0"/>
    <x v="0"/>
    <x v="4"/>
    <n v="3"/>
    <n v="8"/>
    <s v="Mobile Wallet"/>
    <x v="2"/>
    <n v="24"/>
  </r>
  <r>
    <n v="196"/>
    <x v="4"/>
    <d v="2025-07-17T00:00:00"/>
    <x v="1"/>
    <x v="5"/>
    <x v="0"/>
    <x v="1"/>
    <n v="3"/>
    <n v="12"/>
    <s v="Card"/>
    <x v="2"/>
    <n v="36"/>
  </r>
  <r>
    <n v="1485"/>
    <x v="5"/>
    <d v="2025-08-13T00:00:00"/>
    <x v="0"/>
    <x v="6"/>
    <x v="0"/>
    <x v="0"/>
    <n v="2"/>
    <n v="25"/>
    <s v="Cash"/>
    <x v="0"/>
    <n v="50"/>
  </r>
  <r>
    <n v="1388"/>
    <x v="6"/>
    <d v="2025-09-21T00:00:00"/>
    <x v="2"/>
    <x v="0"/>
    <x v="0"/>
    <x v="0"/>
    <n v="1"/>
    <n v="25"/>
    <s v="Mobile Wallet"/>
    <x v="0"/>
    <n v="25"/>
  </r>
  <r>
    <n v="1082"/>
    <x v="1"/>
    <d v="2025-08-11T00:00:00"/>
    <x v="0"/>
    <x v="4"/>
    <x v="0"/>
    <x v="2"/>
    <n v="3"/>
    <n v="20"/>
    <s v="Card"/>
    <x v="0"/>
    <n v="60"/>
  </r>
  <r>
    <n v="1705"/>
    <x v="7"/>
    <d v="2025-09-13T00:00:00"/>
    <x v="2"/>
    <x v="2"/>
    <x v="0"/>
    <x v="3"/>
    <n v="4"/>
    <n v="30"/>
    <s v="Card"/>
    <x v="1"/>
    <n v="120"/>
  </r>
  <r>
    <n v="1460"/>
    <x v="7"/>
    <d v="2025-08-18T00:00:00"/>
    <x v="0"/>
    <x v="4"/>
    <x v="0"/>
    <x v="0"/>
    <n v="5"/>
    <n v="25"/>
    <s v="Mobile Wallet"/>
    <x v="2"/>
    <n v="125"/>
  </r>
  <r>
    <n v="376"/>
    <x v="6"/>
    <d v="2025-08-20T00:00:00"/>
    <x v="0"/>
    <x v="6"/>
    <x v="0"/>
    <x v="1"/>
    <n v="1"/>
    <n v="12"/>
    <s v="Card"/>
    <x v="0"/>
    <n v="12"/>
  </r>
  <r>
    <n v="556"/>
    <x v="2"/>
    <d v="2025-08-31T00:00:00"/>
    <x v="0"/>
    <x v="0"/>
    <x v="0"/>
    <x v="3"/>
    <n v="5"/>
    <n v="30"/>
    <s v="Mobile Wallet"/>
    <x v="0"/>
    <n v="150"/>
  </r>
  <r>
    <n v="16"/>
    <x v="1"/>
    <d v="2025-09-16T00:00:00"/>
    <x v="2"/>
    <x v="3"/>
    <x v="0"/>
    <x v="1"/>
    <n v="2"/>
    <n v="12"/>
    <s v="Card"/>
    <x v="2"/>
    <n v="24"/>
  </r>
  <r>
    <n v="1752"/>
    <x v="2"/>
    <d v="2025-09-14T00:00:00"/>
    <x v="2"/>
    <x v="0"/>
    <x v="0"/>
    <x v="3"/>
    <n v="4"/>
    <n v="30"/>
    <s v="Cash"/>
    <x v="3"/>
    <n v="120"/>
  </r>
  <r>
    <n v="1861"/>
    <x v="0"/>
    <d v="2025-08-17T00:00:00"/>
    <x v="0"/>
    <x v="0"/>
    <x v="0"/>
    <x v="2"/>
    <n v="3"/>
    <n v="20"/>
    <s v="Card"/>
    <x v="2"/>
    <n v="60"/>
  </r>
  <r>
    <n v="113"/>
    <x v="2"/>
    <d v="2025-08-23T00:00:00"/>
    <x v="0"/>
    <x v="2"/>
    <x v="0"/>
    <x v="1"/>
    <n v="5"/>
    <n v="12"/>
    <s v="Mobile Wallet"/>
    <x v="1"/>
    <n v="60"/>
  </r>
  <r>
    <n v="776"/>
    <x v="1"/>
    <d v="2025-08-19T00:00:00"/>
    <x v="0"/>
    <x v="3"/>
    <x v="0"/>
    <x v="1"/>
    <n v="2"/>
    <n v="12"/>
    <s v="Cash"/>
    <x v="0"/>
    <n v="24"/>
  </r>
  <r>
    <n v="1302"/>
    <x v="6"/>
    <d v="2025-08-19T00:00:00"/>
    <x v="0"/>
    <x v="3"/>
    <x v="0"/>
    <x v="3"/>
    <n v="3"/>
    <n v="30"/>
    <s v="Card"/>
    <x v="0"/>
    <n v="90"/>
  </r>
  <r>
    <n v="924"/>
    <x v="5"/>
    <d v="2025-09-13T00:00:00"/>
    <x v="2"/>
    <x v="2"/>
    <x v="0"/>
    <x v="1"/>
    <n v="1"/>
    <n v="12"/>
    <s v="Mobile Wallet"/>
    <x v="0"/>
    <n v="12"/>
  </r>
  <r>
    <n v="239"/>
    <x v="7"/>
    <d v="2025-08-03T00:00:00"/>
    <x v="0"/>
    <x v="0"/>
    <x v="0"/>
    <x v="1"/>
    <n v="4"/>
    <n v="12"/>
    <s v="Card"/>
    <x v="2"/>
    <n v="48"/>
  </r>
  <r>
    <n v="315"/>
    <x v="7"/>
    <d v="2025-08-14T00:00:00"/>
    <x v="0"/>
    <x v="5"/>
    <x v="0"/>
    <x v="3"/>
    <n v="4"/>
    <n v="30"/>
    <s v="Mobile Wallet"/>
    <x v="3"/>
    <n v="120"/>
  </r>
  <r>
    <n v="914"/>
    <x v="4"/>
    <d v="2025-07-25T00:00:00"/>
    <x v="1"/>
    <x v="1"/>
    <x v="0"/>
    <x v="3"/>
    <n v="4"/>
    <n v="30"/>
    <s v="Card"/>
    <x v="3"/>
    <n v="120"/>
  </r>
  <r>
    <n v="1970"/>
    <x v="3"/>
    <d v="2025-08-16T00:00:00"/>
    <x v="0"/>
    <x v="2"/>
    <x v="0"/>
    <x v="1"/>
    <n v="2"/>
    <n v="12"/>
    <s v="Card"/>
    <x v="3"/>
    <n v="24"/>
  </r>
  <r>
    <n v="708"/>
    <x v="2"/>
    <d v="2025-09-06T00:00:00"/>
    <x v="2"/>
    <x v="2"/>
    <x v="0"/>
    <x v="1"/>
    <n v="2"/>
    <n v="12"/>
    <s v="Cash"/>
    <x v="0"/>
    <n v="24"/>
  </r>
  <r>
    <n v="389"/>
    <x v="3"/>
    <d v="2025-07-14T00:00:00"/>
    <x v="1"/>
    <x v="4"/>
    <x v="0"/>
    <x v="4"/>
    <n v="4"/>
    <n v="8"/>
    <s v="Card"/>
    <x v="1"/>
    <n v="32"/>
  </r>
  <r>
    <n v="114"/>
    <x v="0"/>
    <d v="2025-09-04T00:00:00"/>
    <x v="2"/>
    <x v="5"/>
    <x v="0"/>
    <x v="2"/>
    <n v="5"/>
    <n v="20"/>
    <s v="Card"/>
    <x v="2"/>
    <n v="100"/>
  </r>
  <r>
    <n v="1648"/>
    <x v="6"/>
    <d v="2025-07-28T00:00:00"/>
    <x v="1"/>
    <x v="4"/>
    <x v="0"/>
    <x v="1"/>
    <n v="4"/>
    <n v="12"/>
    <s v="Card"/>
    <x v="2"/>
    <n v="48"/>
  </r>
  <r>
    <n v="1329"/>
    <x v="0"/>
    <d v="2025-08-03T00:00:00"/>
    <x v="0"/>
    <x v="0"/>
    <x v="0"/>
    <x v="1"/>
    <n v="2"/>
    <n v="12"/>
    <s v="Mobile Wallet"/>
    <x v="1"/>
    <n v="24"/>
  </r>
  <r>
    <n v="1735"/>
    <x v="0"/>
    <d v="2025-08-31T00:00:00"/>
    <x v="0"/>
    <x v="0"/>
    <x v="0"/>
    <x v="1"/>
    <n v="1"/>
    <n v="12"/>
    <s v="Cash"/>
    <x v="0"/>
    <n v="12"/>
  </r>
  <r>
    <n v="1465"/>
    <x v="0"/>
    <d v="2025-08-18T00:00:00"/>
    <x v="0"/>
    <x v="4"/>
    <x v="0"/>
    <x v="1"/>
    <n v="2"/>
    <n v="12"/>
    <s v="Mobile Wallet"/>
    <x v="0"/>
    <n v="24"/>
  </r>
  <r>
    <n v="830"/>
    <x v="0"/>
    <d v="2025-08-27T00:00:00"/>
    <x v="0"/>
    <x v="6"/>
    <x v="0"/>
    <x v="1"/>
    <n v="1"/>
    <n v="12"/>
    <s v="Cash"/>
    <x v="1"/>
    <n v="12"/>
  </r>
  <r>
    <n v="3"/>
    <x v="0"/>
    <d v="2025-08-26T00:00:00"/>
    <x v="0"/>
    <x v="3"/>
    <x v="0"/>
    <x v="3"/>
    <n v="5"/>
    <n v="30"/>
    <s v="Cash"/>
    <x v="3"/>
    <n v="150"/>
  </r>
  <r>
    <n v="526"/>
    <x v="0"/>
    <d v="2025-09-13T00:00:00"/>
    <x v="2"/>
    <x v="2"/>
    <x v="0"/>
    <x v="1"/>
    <n v="4"/>
    <n v="12"/>
    <s v="Mobile Wallet"/>
    <x v="3"/>
    <n v="48"/>
  </r>
  <r>
    <n v="809"/>
    <x v="0"/>
    <d v="2025-07-26T00:00:00"/>
    <x v="1"/>
    <x v="2"/>
    <x v="0"/>
    <x v="1"/>
    <n v="5"/>
    <n v="12"/>
    <s v="Cash"/>
    <x v="0"/>
    <n v="60"/>
  </r>
  <r>
    <n v="1745"/>
    <x v="0"/>
    <d v="2025-09-27T00:00:00"/>
    <x v="2"/>
    <x v="2"/>
    <x v="0"/>
    <x v="1"/>
    <n v="2"/>
    <n v="12"/>
    <s v="Mobile Wallet"/>
    <x v="1"/>
    <n v="24"/>
  </r>
  <r>
    <n v="1439"/>
    <x v="2"/>
    <d v="2025-08-05T00:00:00"/>
    <x v="0"/>
    <x v="3"/>
    <x v="0"/>
    <x v="3"/>
    <n v="1"/>
    <n v="30"/>
    <s v="Cash"/>
    <x v="1"/>
    <n v="30"/>
  </r>
  <r>
    <n v="1552"/>
    <x v="1"/>
    <d v="2025-07-02T00:00:00"/>
    <x v="1"/>
    <x v="6"/>
    <x v="0"/>
    <x v="1"/>
    <n v="1"/>
    <n v="12"/>
    <s v="Cash"/>
    <x v="2"/>
    <n v="12"/>
  </r>
  <r>
    <n v="1071"/>
    <x v="1"/>
    <d v="2025-09-02T00:00:00"/>
    <x v="2"/>
    <x v="3"/>
    <x v="0"/>
    <x v="4"/>
    <n v="5"/>
    <n v="8"/>
    <s v="Mobile Wallet"/>
    <x v="1"/>
    <n v="40"/>
  </r>
  <r>
    <n v="1087"/>
    <x v="3"/>
    <d v="2025-07-01T00:00:00"/>
    <x v="1"/>
    <x v="3"/>
    <x v="0"/>
    <x v="1"/>
    <n v="3"/>
    <n v="12"/>
    <s v="Cash"/>
    <x v="0"/>
    <n v="36"/>
  </r>
  <r>
    <n v="1003"/>
    <x v="3"/>
    <d v="2025-08-09T00:00:00"/>
    <x v="0"/>
    <x v="2"/>
    <x v="2"/>
    <x v="1"/>
    <n v="3"/>
    <n v="12"/>
    <s v="Cash"/>
    <x v="2"/>
    <n v="36"/>
  </r>
  <r>
    <n v="996"/>
    <x v="1"/>
    <d v="2025-08-03T00:00:00"/>
    <x v="0"/>
    <x v="0"/>
    <x v="3"/>
    <x v="2"/>
    <n v="4"/>
    <n v="20"/>
    <s v="Card"/>
    <x v="1"/>
    <n v="80"/>
  </r>
  <r>
    <n v="954"/>
    <x v="6"/>
    <d v="2025-09-21T00:00:00"/>
    <x v="2"/>
    <x v="0"/>
    <x v="2"/>
    <x v="1"/>
    <n v="2"/>
    <n v="12"/>
    <s v="Card"/>
    <x v="1"/>
    <n v="24"/>
  </r>
  <r>
    <n v="657"/>
    <x v="5"/>
    <d v="2025-08-23T00:00:00"/>
    <x v="0"/>
    <x v="2"/>
    <x v="0"/>
    <x v="2"/>
    <n v="5"/>
    <n v="20"/>
    <s v="Mobile Wallet"/>
    <x v="2"/>
    <n v="100"/>
  </r>
  <r>
    <n v="1598"/>
    <x v="1"/>
    <d v="2025-09-22T00:00:00"/>
    <x v="2"/>
    <x v="4"/>
    <x v="0"/>
    <x v="0"/>
    <n v="2"/>
    <n v="25"/>
    <s v="Mobile Wallet"/>
    <x v="3"/>
    <n v="50"/>
  </r>
  <r>
    <n v="183"/>
    <x v="0"/>
    <d v="2025-07-07T00:00:00"/>
    <x v="1"/>
    <x v="4"/>
    <x v="0"/>
    <x v="1"/>
    <n v="4"/>
    <n v="12"/>
    <s v="Cash"/>
    <x v="1"/>
    <n v="48"/>
  </r>
  <r>
    <n v="1218"/>
    <x v="4"/>
    <d v="2025-07-17T00:00:00"/>
    <x v="1"/>
    <x v="5"/>
    <x v="1"/>
    <x v="1"/>
    <n v="4"/>
    <n v="12"/>
    <s v="Card"/>
    <x v="2"/>
    <n v="48"/>
  </r>
  <r>
    <n v="705"/>
    <x v="1"/>
    <d v="2025-07-15T00:00:00"/>
    <x v="1"/>
    <x v="3"/>
    <x v="1"/>
    <x v="4"/>
    <n v="5"/>
    <n v="8"/>
    <s v="Cash"/>
    <x v="1"/>
    <n v="40"/>
  </r>
  <r>
    <n v="1373"/>
    <x v="2"/>
    <d v="2025-08-07T00:00:00"/>
    <x v="0"/>
    <x v="5"/>
    <x v="1"/>
    <x v="1"/>
    <n v="3"/>
    <n v="12"/>
    <s v="Card"/>
    <x v="0"/>
    <n v="36"/>
  </r>
  <r>
    <n v="1190"/>
    <x v="2"/>
    <d v="2025-07-06T00:00:00"/>
    <x v="1"/>
    <x v="0"/>
    <x v="2"/>
    <x v="4"/>
    <n v="4"/>
    <n v="8"/>
    <s v="Cash"/>
    <x v="3"/>
    <n v="32"/>
  </r>
  <r>
    <n v="938"/>
    <x v="1"/>
    <d v="2025-09-27T00:00:00"/>
    <x v="2"/>
    <x v="2"/>
    <x v="3"/>
    <x v="0"/>
    <n v="2"/>
    <n v="25"/>
    <s v="Card"/>
    <x v="0"/>
    <n v="50"/>
  </r>
  <r>
    <n v="1663"/>
    <x v="6"/>
    <d v="2025-09-13T00:00:00"/>
    <x v="2"/>
    <x v="2"/>
    <x v="2"/>
    <x v="1"/>
    <n v="3"/>
    <n v="12"/>
    <s v="Card"/>
    <x v="1"/>
    <n v="36"/>
  </r>
  <r>
    <n v="842"/>
    <x v="2"/>
    <d v="2025-09-10T00:00:00"/>
    <x v="2"/>
    <x v="6"/>
    <x v="3"/>
    <x v="4"/>
    <n v="4"/>
    <n v="8"/>
    <s v="Mobile Wallet"/>
    <x v="1"/>
    <n v="32"/>
  </r>
  <r>
    <n v="517"/>
    <x v="2"/>
    <d v="2025-08-05T00:00:00"/>
    <x v="0"/>
    <x v="3"/>
    <x v="0"/>
    <x v="1"/>
    <n v="1"/>
    <n v="12"/>
    <s v="Cash"/>
    <x v="2"/>
    <n v="12"/>
  </r>
  <r>
    <n v="402"/>
    <x v="6"/>
    <d v="2025-07-25T00:00:00"/>
    <x v="1"/>
    <x v="1"/>
    <x v="1"/>
    <x v="1"/>
    <n v="2"/>
    <n v="12"/>
    <s v="Cash"/>
    <x v="1"/>
    <n v="24"/>
  </r>
  <r>
    <n v="1466"/>
    <x v="0"/>
    <d v="2025-08-30T00:00:00"/>
    <x v="0"/>
    <x v="2"/>
    <x v="2"/>
    <x v="4"/>
    <n v="1"/>
    <n v="8"/>
    <s v="Cash"/>
    <x v="2"/>
    <n v="8"/>
  </r>
  <r>
    <n v="1922"/>
    <x v="1"/>
    <d v="2025-09-27T00:00:00"/>
    <x v="2"/>
    <x v="2"/>
    <x v="0"/>
    <x v="1"/>
    <n v="2"/>
    <n v="12"/>
    <s v="Card"/>
    <x v="1"/>
    <n v="24"/>
  </r>
  <r>
    <n v="1897"/>
    <x v="0"/>
    <d v="2025-07-24T00:00:00"/>
    <x v="1"/>
    <x v="5"/>
    <x v="0"/>
    <x v="1"/>
    <n v="2"/>
    <n v="12"/>
    <s v="Card"/>
    <x v="2"/>
    <n v="24"/>
  </r>
  <r>
    <n v="1950"/>
    <x v="5"/>
    <d v="2025-09-23T00:00:00"/>
    <x v="2"/>
    <x v="3"/>
    <x v="0"/>
    <x v="1"/>
    <n v="2"/>
    <n v="12"/>
    <s v="Cash"/>
    <x v="1"/>
    <n v="24"/>
  </r>
  <r>
    <n v="1306"/>
    <x v="5"/>
    <d v="2025-09-06T00:00:00"/>
    <x v="2"/>
    <x v="2"/>
    <x v="3"/>
    <x v="1"/>
    <n v="1"/>
    <n v="12"/>
    <s v="Mobile Wallet"/>
    <x v="1"/>
    <n v="12"/>
  </r>
  <r>
    <n v="169"/>
    <x v="5"/>
    <d v="2025-08-02T00:00:00"/>
    <x v="0"/>
    <x v="2"/>
    <x v="2"/>
    <x v="4"/>
    <n v="5"/>
    <n v="8"/>
    <s v="Card"/>
    <x v="0"/>
    <n v="40"/>
  </r>
  <r>
    <n v="1157"/>
    <x v="4"/>
    <d v="2025-09-30T00:00:00"/>
    <x v="2"/>
    <x v="3"/>
    <x v="1"/>
    <x v="3"/>
    <n v="2"/>
    <n v="30"/>
    <s v="Mobile Wallet"/>
    <x v="0"/>
    <n v="60"/>
  </r>
  <r>
    <n v="1314"/>
    <x v="1"/>
    <d v="2025-08-24T00:00:00"/>
    <x v="0"/>
    <x v="0"/>
    <x v="0"/>
    <x v="1"/>
    <n v="5"/>
    <n v="12"/>
    <s v="Card"/>
    <x v="3"/>
    <n v="60"/>
  </r>
  <r>
    <n v="1509"/>
    <x v="2"/>
    <d v="2025-07-10T00:00:00"/>
    <x v="1"/>
    <x v="5"/>
    <x v="0"/>
    <x v="2"/>
    <n v="4"/>
    <n v="20"/>
    <s v="Cash"/>
    <x v="1"/>
    <n v="80"/>
  </r>
  <r>
    <n v="103"/>
    <x v="4"/>
    <d v="2025-08-29T00:00:00"/>
    <x v="0"/>
    <x v="1"/>
    <x v="0"/>
    <x v="1"/>
    <n v="4"/>
    <n v="12"/>
    <s v="Cash"/>
    <x v="2"/>
    <n v="48"/>
  </r>
  <r>
    <n v="1470"/>
    <x v="3"/>
    <d v="2025-09-16T00:00:00"/>
    <x v="2"/>
    <x v="3"/>
    <x v="0"/>
    <x v="1"/>
    <n v="5"/>
    <n v="12"/>
    <s v="Cash"/>
    <x v="0"/>
    <n v="60"/>
  </r>
  <r>
    <n v="383"/>
    <x v="6"/>
    <d v="2025-09-03T00:00:00"/>
    <x v="2"/>
    <x v="6"/>
    <x v="0"/>
    <x v="3"/>
    <n v="3"/>
    <n v="30"/>
    <s v="Mobile Wallet"/>
    <x v="0"/>
    <n v="90"/>
  </r>
  <r>
    <n v="274"/>
    <x v="2"/>
    <d v="2025-07-05T00:00:00"/>
    <x v="1"/>
    <x v="2"/>
    <x v="0"/>
    <x v="4"/>
    <n v="2"/>
    <n v="8"/>
    <s v="Cash"/>
    <x v="3"/>
    <n v="16"/>
  </r>
  <r>
    <n v="1589"/>
    <x v="5"/>
    <d v="2025-09-14T00:00:00"/>
    <x v="2"/>
    <x v="0"/>
    <x v="0"/>
    <x v="1"/>
    <n v="3"/>
    <n v="12"/>
    <s v="Card"/>
    <x v="0"/>
    <n v="36"/>
  </r>
  <r>
    <n v="1280"/>
    <x v="6"/>
    <d v="2025-09-06T00:00:00"/>
    <x v="2"/>
    <x v="2"/>
    <x v="0"/>
    <x v="4"/>
    <n v="1"/>
    <n v="8"/>
    <s v="Card"/>
    <x v="1"/>
    <n v="8"/>
  </r>
  <r>
    <n v="1716"/>
    <x v="2"/>
    <d v="2025-09-18T00:00:00"/>
    <x v="2"/>
    <x v="5"/>
    <x v="0"/>
    <x v="1"/>
    <n v="2"/>
    <n v="12"/>
    <s v="Card"/>
    <x v="3"/>
    <n v="24"/>
  </r>
  <r>
    <n v="808"/>
    <x v="3"/>
    <d v="2025-07-07T00:00:00"/>
    <x v="1"/>
    <x v="4"/>
    <x v="0"/>
    <x v="1"/>
    <n v="1"/>
    <n v="12"/>
    <s v="Card"/>
    <x v="1"/>
    <n v="12"/>
  </r>
  <r>
    <n v="435"/>
    <x v="6"/>
    <d v="2025-07-19T00:00:00"/>
    <x v="1"/>
    <x v="2"/>
    <x v="2"/>
    <x v="3"/>
    <n v="4"/>
    <n v="30"/>
    <s v="Card"/>
    <x v="1"/>
    <n v="120"/>
  </r>
  <r>
    <n v="1303"/>
    <x v="5"/>
    <d v="2025-08-02T00:00:00"/>
    <x v="0"/>
    <x v="2"/>
    <x v="3"/>
    <x v="0"/>
    <n v="3"/>
    <n v="25"/>
    <s v="Cash"/>
    <x v="2"/>
    <n v="75"/>
  </r>
  <r>
    <n v="801"/>
    <x v="3"/>
    <d v="2025-09-06T00:00:00"/>
    <x v="2"/>
    <x v="2"/>
    <x v="1"/>
    <x v="4"/>
    <n v="3"/>
    <n v="8"/>
    <s v="Mobile Wallet"/>
    <x v="1"/>
    <n v="24"/>
  </r>
  <r>
    <n v="1203"/>
    <x v="6"/>
    <d v="2025-08-13T00:00:00"/>
    <x v="0"/>
    <x v="6"/>
    <x v="1"/>
    <x v="1"/>
    <n v="5"/>
    <n v="12"/>
    <s v="Cash"/>
    <x v="2"/>
    <n v="60"/>
  </r>
  <r>
    <n v="198"/>
    <x v="6"/>
    <d v="2025-09-06T00:00:00"/>
    <x v="2"/>
    <x v="2"/>
    <x v="1"/>
    <x v="2"/>
    <n v="3"/>
    <n v="20"/>
    <s v="Mobile Wallet"/>
    <x v="0"/>
    <n v="60"/>
  </r>
  <r>
    <n v="994"/>
    <x v="6"/>
    <d v="2025-08-01T00:00:00"/>
    <x v="0"/>
    <x v="1"/>
    <x v="2"/>
    <x v="1"/>
    <n v="5"/>
    <n v="12"/>
    <s v="Card"/>
    <x v="2"/>
    <n v="60"/>
  </r>
  <r>
    <n v="288"/>
    <x v="1"/>
    <d v="2025-09-12T00:00:00"/>
    <x v="2"/>
    <x v="1"/>
    <x v="3"/>
    <x v="1"/>
    <n v="3"/>
    <n v="12"/>
    <s v="Mobile Wallet"/>
    <x v="0"/>
    <n v="36"/>
  </r>
  <r>
    <n v="203"/>
    <x v="5"/>
    <d v="2025-07-09T00:00:00"/>
    <x v="1"/>
    <x v="6"/>
    <x v="0"/>
    <x v="1"/>
    <n v="5"/>
    <n v="12"/>
    <s v="Cash"/>
    <x v="2"/>
    <n v="60"/>
  </r>
  <r>
    <n v="965"/>
    <x v="5"/>
    <d v="2025-09-22T00:00:00"/>
    <x v="2"/>
    <x v="4"/>
    <x v="2"/>
    <x v="2"/>
    <n v="4"/>
    <n v="20"/>
    <s v="Mobile Wallet"/>
    <x v="2"/>
    <n v="80"/>
  </r>
  <r>
    <n v="878"/>
    <x v="4"/>
    <d v="2025-08-09T00:00:00"/>
    <x v="0"/>
    <x v="2"/>
    <x v="1"/>
    <x v="1"/>
    <n v="3"/>
    <n v="12"/>
    <s v="Card"/>
    <x v="0"/>
    <n v="36"/>
  </r>
  <r>
    <n v="104"/>
    <x v="6"/>
    <d v="2025-08-20T00:00:00"/>
    <x v="0"/>
    <x v="6"/>
    <x v="2"/>
    <x v="4"/>
    <n v="1"/>
    <n v="8"/>
    <s v="Cash"/>
    <x v="0"/>
    <n v="8"/>
  </r>
  <r>
    <n v="216"/>
    <x v="1"/>
    <d v="2025-08-16T00:00:00"/>
    <x v="0"/>
    <x v="2"/>
    <x v="2"/>
    <x v="1"/>
    <n v="5"/>
    <n v="12"/>
    <s v="Card"/>
    <x v="1"/>
    <n v="60"/>
  </r>
  <r>
    <n v="70"/>
    <x v="0"/>
    <d v="2025-09-06T00:00:00"/>
    <x v="2"/>
    <x v="2"/>
    <x v="0"/>
    <x v="1"/>
    <n v="2"/>
    <n v="12"/>
    <s v="Mobile Wallet"/>
    <x v="1"/>
    <n v="24"/>
  </r>
  <r>
    <n v="536"/>
    <x v="0"/>
    <d v="2025-07-05T00:00:00"/>
    <x v="1"/>
    <x v="2"/>
    <x v="0"/>
    <x v="2"/>
    <n v="3"/>
    <n v="20"/>
    <s v="Mobile Wallet"/>
    <x v="2"/>
    <n v="60"/>
  </r>
  <r>
    <n v="1259"/>
    <x v="2"/>
    <d v="2025-09-07T00:00:00"/>
    <x v="2"/>
    <x v="0"/>
    <x v="3"/>
    <x v="1"/>
    <n v="5"/>
    <n v="12"/>
    <s v="Card"/>
    <x v="3"/>
    <n v="60"/>
  </r>
  <r>
    <n v="1930"/>
    <x v="7"/>
    <d v="2025-08-03T00:00:00"/>
    <x v="0"/>
    <x v="0"/>
    <x v="2"/>
    <x v="1"/>
    <n v="2"/>
    <n v="12"/>
    <s v="Card"/>
    <x v="3"/>
    <n v="24"/>
  </r>
  <r>
    <n v="862"/>
    <x v="3"/>
    <d v="2025-09-21T00:00:00"/>
    <x v="2"/>
    <x v="0"/>
    <x v="1"/>
    <x v="1"/>
    <n v="5"/>
    <n v="12"/>
    <s v="Mobile Wallet"/>
    <x v="2"/>
    <n v="60"/>
  </r>
  <r>
    <n v="7"/>
    <x v="1"/>
    <d v="2025-09-21T00:00:00"/>
    <x v="2"/>
    <x v="0"/>
    <x v="1"/>
    <x v="1"/>
    <n v="4"/>
    <n v="12"/>
    <s v="Mobile Wallet"/>
    <x v="0"/>
    <n v="48"/>
  </r>
  <r>
    <n v="1213"/>
    <x v="4"/>
    <d v="2025-09-10T00:00:00"/>
    <x v="2"/>
    <x v="6"/>
    <x v="2"/>
    <x v="1"/>
    <n v="5"/>
    <n v="12"/>
    <s v="Mobile Wallet"/>
    <x v="0"/>
    <n v="60"/>
  </r>
  <r>
    <n v="782"/>
    <x v="7"/>
    <d v="2025-09-18T00:00:00"/>
    <x v="2"/>
    <x v="5"/>
    <x v="2"/>
    <x v="2"/>
    <n v="5"/>
    <n v="20"/>
    <s v="Cash"/>
    <x v="0"/>
    <n v="100"/>
  </r>
  <r>
    <n v="289"/>
    <x v="3"/>
    <d v="2025-07-17T00:00:00"/>
    <x v="1"/>
    <x v="5"/>
    <x v="3"/>
    <x v="1"/>
    <n v="5"/>
    <n v="12"/>
    <s v="Mobile Wallet"/>
    <x v="2"/>
    <n v="60"/>
  </r>
  <r>
    <n v="860"/>
    <x v="5"/>
    <d v="2025-09-29T00:00:00"/>
    <x v="2"/>
    <x v="4"/>
    <x v="0"/>
    <x v="1"/>
    <n v="4"/>
    <n v="12"/>
    <s v="Cash"/>
    <x v="1"/>
    <n v="48"/>
  </r>
  <r>
    <n v="1557"/>
    <x v="4"/>
    <d v="2025-07-06T00:00:00"/>
    <x v="1"/>
    <x v="0"/>
    <x v="3"/>
    <x v="1"/>
    <n v="3"/>
    <n v="12"/>
    <s v="Cash"/>
    <x v="2"/>
    <n v="36"/>
  </r>
  <r>
    <n v="759"/>
    <x v="3"/>
    <d v="2025-08-08T00:00:00"/>
    <x v="0"/>
    <x v="1"/>
    <x v="2"/>
    <x v="4"/>
    <n v="5"/>
    <n v="8"/>
    <s v="Cash"/>
    <x v="0"/>
    <n v="40"/>
  </r>
  <r>
    <n v="1558"/>
    <x v="7"/>
    <d v="2025-09-11T00:00:00"/>
    <x v="2"/>
    <x v="5"/>
    <x v="3"/>
    <x v="1"/>
    <n v="4"/>
    <n v="12"/>
    <s v="Cash"/>
    <x v="0"/>
    <n v="48"/>
  </r>
  <r>
    <n v="1463"/>
    <x v="1"/>
    <d v="2025-09-01T00:00:00"/>
    <x v="2"/>
    <x v="4"/>
    <x v="1"/>
    <x v="0"/>
    <n v="4"/>
    <n v="25"/>
    <s v="Card"/>
    <x v="1"/>
    <n v="100"/>
  </r>
  <r>
    <n v="1173"/>
    <x v="7"/>
    <d v="2025-08-15T00:00:00"/>
    <x v="0"/>
    <x v="1"/>
    <x v="0"/>
    <x v="1"/>
    <n v="3"/>
    <n v="12"/>
    <s v="Cash"/>
    <x v="0"/>
    <n v="36"/>
  </r>
  <r>
    <n v="199"/>
    <x v="1"/>
    <d v="2025-07-06T00:00:00"/>
    <x v="1"/>
    <x v="0"/>
    <x v="0"/>
    <x v="0"/>
    <n v="4"/>
    <n v="25"/>
    <s v="Cash"/>
    <x v="3"/>
    <n v="100"/>
  </r>
  <r>
    <n v="1196"/>
    <x v="1"/>
    <d v="2025-09-29T00:00:00"/>
    <x v="2"/>
    <x v="4"/>
    <x v="0"/>
    <x v="0"/>
    <n v="2"/>
    <n v="25"/>
    <s v="Cash"/>
    <x v="0"/>
    <n v="50"/>
  </r>
  <r>
    <n v="34"/>
    <x v="4"/>
    <d v="2025-09-09T00:00:00"/>
    <x v="2"/>
    <x v="3"/>
    <x v="0"/>
    <x v="3"/>
    <n v="5"/>
    <n v="30"/>
    <s v="Mobile Wallet"/>
    <x v="0"/>
    <n v="150"/>
  </r>
  <r>
    <n v="1601"/>
    <x v="2"/>
    <d v="2025-07-29T00:00:00"/>
    <x v="1"/>
    <x v="3"/>
    <x v="0"/>
    <x v="1"/>
    <n v="2"/>
    <n v="12"/>
    <s v="Cash"/>
    <x v="2"/>
    <n v="24"/>
  </r>
  <r>
    <n v="1225"/>
    <x v="3"/>
    <d v="2025-09-06T00:00:00"/>
    <x v="2"/>
    <x v="2"/>
    <x v="0"/>
    <x v="1"/>
    <n v="4"/>
    <n v="12"/>
    <s v="Card"/>
    <x v="0"/>
    <n v="48"/>
  </r>
  <r>
    <n v="1398"/>
    <x v="5"/>
    <d v="2025-07-12T00:00:00"/>
    <x v="1"/>
    <x v="2"/>
    <x v="0"/>
    <x v="2"/>
    <n v="3"/>
    <n v="20"/>
    <s v="Card"/>
    <x v="1"/>
    <n v="60"/>
  </r>
  <r>
    <n v="1164"/>
    <x v="0"/>
    <d v="2025-09-27T00:00:00"/>
    <x v="2"/>
    <x v="2"/>
    <x v="0"/>
    <x v="0"/>
    <n v="2"/>
    <n v="25"/>
    <s v="Card"/>
    <x v="0"/>
    <n v="50"/>
  </r>
  <r>
    <n v="1379"/>
    <x v="0"/>
    <d v="2025-07-20T00:00:00"/>
    <x v="1"/>
    <x v="0"/>
    <x v="0"/>
    <x v="1"/>
    <n v="5"/>
    <n v="12"/>
    <s v="Cash"/>
    <x v="0"/>
    <n v="60"/>
  </r>
  <r>
    <n v="622"/>
    <x v="4"/>
    <d v="2025-07-01T00:00:00"/>
    <x v="1"/>
    <x v="3"/>
    <x v="0"/>
    <x v="2"/>
    <n v="5"/>
    <n v="20"/>
    <s v="Cash"/>
    <x v="2"/>
    <n v="100"/>
  </r>
  <r>
    <n v="985"/>
    <x v="2"/>
    <d v="2025-09-14T00:00:00"/>
    <x v="2"/>
    <x v="0"/>
    <x v="1"/>
    <x v="0"/>
    <n v="1"/>
    <n v="25"/>
    <s v="Mobile Wallet"/>
    <x v="1"/>
    <n v="25"/>
  </r>
  <r>
    <n v="562"/>
    <x v="7"/>
    <d v="2025-08-21T00:00:00"/>
    <x v="0"/>
    <x v="5"/>
    <x v="1"/>
    <x v="4"/>
    <n v="3"/>
    <n v="8"/>
    <s v="Cash"/>
    <x v="2"/>
    <n v="24"/>
  </r>
  <r>
    <n v="615"/>
    <x v="0"/>
    <d v="2025-08-28T00:00:00"/>
    <x v="0"/>
    <x v="5"/>
    <x v="2"/>
    <x v="1"/>
    <n v="3"/>
    <n v="12"/>
    <s v="Mobile Wallet"/>
    <x v="0"/>
    <n v="36"/>
  </r>
  <r>
    <n v="789"/>
    <x v="2"/>
    <d v="2025-07-06T00:00:00"/>
    <x v="1"/>
    <x v="0"/>
    <x v="2"/>
    <x v="3"/>
    <n v="2"/>
    <n v="30"/>
    <s v="Card"/>
    <x v="0"/>
    <n v="60"/>
  </r>
  <r>
    <n v="1176"/>
    <x v="5"/>
    <d v="2025-09-29T00:00:00"/>
    <x v="2"/>
    <x v="4"/>
    <x v="2"/>
    <x v="1"/>
    <n v="2"/>
    <n v="12"/>
    <s v="Mobile Wallet"/>
    <x v="1"/>
    <n v="24"/>
  </r>
  <r>
    <n v="1233"/>
    <x v="1"/>
    <d v="2025-08-13T00:00:00"/>
    <x v="0"/>
    <x v="6"/>
    <x v="0"/>
    <x v="1"/>
    <n v="4"/>
    <n v="12"/>
    <s v="Card"/>
    <x v="1"/>
    <n v="48"/>
  </r>
  <r>
    <n v="1249"/>
    <x v="4"/>
    <d v="2025-08-21T00:00:00"/>
    <x v="0"/>
    <x v="5"/>
    <x v="0"/>
    <x v="2"/>
    <n v="5"/>
    <n v="20"/>
    <s v="Mobile Wallet"/>
    <x v="3"/>
    <n v="100"/>
  </r>
  <r>
    <n v="58"/>
    <x v="3"/>
    <d v="2025-09-28T00:00:00"/>
    <x v="2"/>
    <x v="0"/>
    <x v="0"/>
    <x v="1"/>
    <n v="4"/>
    <n v="12"/>
    <s v="Cash"/>
    <x v="2"/>
    <n v="48"/>
  </r>
  <r>
    <n v="513"/>
    <x v="5"/>
    <d v="2025-08-12T00:00:00"/>
    <x v="0"/>
    <x v="3"/>
    <x v="2"/>
    <x v="1"/>
    <n v="1"/>
    <n v="12"/>
    <s v="Mobile Wallet"/>
    <x v="1"/>
    <n v="12"/>
  </r>
  <r>
    <n v="1290"/>
    <x v="3"/>
    <d v="2025-09-10T00:00:00"/>
    <x v="2"/>
    <x v="6"/>
    <x v="1"/>
    <x v="1"/>
    <n v="5"/>
    <n v="12"/>
    <s v="Cash"/>
    <x v="2"/>
    <n v="60"/>
  </r>
  <r>
    <n v="1513"/>
    <x v="1"/>
    <d v="2025-07-03T00:00:00"/>
    <x v="1"/>
    <x v="5"/>
    <x v="3"/>
    <x v="3"/>
    <n v="5"/>
    <n v="30"/>
    <s v="Cash"/>
    <x v="2"/>
    <n v="150"/>
  </r>
  <r>
    <n v="1849"/>
    <x v="3"/>
    <d v="2025-09-25T00:00:00"/>
    <x v="2"/>
    <x v="5"/>
    <x v="3"/>
    <x v="4"/>
    <n v="2"/>
    <n v="8"/>
    <s v="Card"/>
    <x v="3"/>
    <n v="16"/>
  </r>
  <r>
    <n v="729"/>
    <x v="1"/>
    <d v="2025-08-30T00:00:00"/>
    <x v="0"/>
    <x v="2"/>
    <x v="0"/>
    <x v="1"/>
    <n v="5"/>
    <n v="12"/>
    <s v="Card"/>
    <x v="1"/>
    <n v="60"/>
  </r>
  <r>
    <n v="624"/>
    <x v="4"/>
    <d v="2025-09-11T00:00:00"/>
    <x v="2"/>
    <x v="5"/>
    <x v="1"/>
    <x v="3"/>
    <n v="1"/>
    <n v="30"/>
    <s v="Cash"/>
    <x v="0"/>
    <n v="30"/>
  </r>
  <r>
    <n v="1636"/>
    <x v="5"/>
    <d v="2025-09-21T00:00:00"/>
    <x v="2"/>
    <x v="0"/>
    <x v="1"/>
    <x v="1"/>
    <n v="2"/>
    <n v="12"/>
    <s v="Card"/>
    <x v="1"/>
    <n v="24"/>
  </r>
  <r>
    <n v="180"/>
    <x v="7"/>
    <d v="2025-07-06T00:00:00"/>
    <x v="1"/>
    <x v="0"/>
    <x v="1"/>
    <x v="0"/>
    <n v="4"/>
    <n v="25"/>
    <s v="Mobile Wallet"/>
    <x v="1"/>
    <n v="100"/>
  </r>
  <r>
    <n v="1015"/>
    <x v="1"/>
    <d v="2025-07-13T00:00:00"/>
    <x v="1"/>
    <x v="0"/>
    <x v="1"/>
    <x v="0"/>
    <n v="1"/>
    <n v="25"/>
    <s v="Mobile Wallet"/>
    <x v="0"/>
    <n v="25"/>
  </r>
  <r>
    <n v="1966"/>
    <x v="3"/>
    <d v="2025-09-01T00:00:00"/>
    <x v="2"/>
    <x v="4"/>
    <x v="1"/>
    <x v="4"/>
    <n v="3"/>
    <n v="8"/>
    <s v="Card"/>
    <x v="2"/>
    <n v="24"/>
  </r>
  <r>
    <n v="160"/>
    <x v="6"/>
    <d v="2025-09-19T00:00:00"/>
    <x v="2"/>
    <x v="1"/>
    <x v="3"/>
    <x v="4"/>
    <n v="5"/>
    <n v="8"/>
    <s v="Mobile Wallet"/>
    <x v="2"/>
    <n v="40"/>
  </r>
  <r>
    <n v="1658"/>
    <x v="7"/>
    <d v="2025-09-05T00:00:00"/>
    <x v="2"/>
    <x v="1"/>
    <x v="1"/>
    <x v="0"/>
    <n v="3"/>
    <n v="25"/>
    <s v="Cash"/>
    <x v="3"/>
    <n v="75"/>
  </r>
  <r>
    <n v="1642"/>
    <x v="3"/>
    <d v="2025-09-26T00:00:00"/>
    <x v="2"/>
    <x v="1"/>
    <x v="0"/>
    <x v="3"/>
    <n v="3"/>
    <n v="30"/>
    <s v="Mobile Wallet"/>
    <x v="3"/>
    <n v="90"/>
  </r>
  <r>
    <n v="700"/>
    <x v="7"/>
    <d v="2025-07-15T00:00:00"/>
    <x v="1"/>
    <x v="3"/>
    <x v="2"/>
    <x v="4"/>
    <n v="1"/>
    <n v="8"/>
    <s v="Card"/>
    <x v="1"/>
    <n v="8"/>
  </r>
  <r>
    <n v="186"/>
    <x v="1"/>
    <d v="2025-08-17T00:00:00"/>
    <x v="0"/>
    <x v="0"/>
    <x v="0"/>
    <x v="3"/>
    <n v="5"/>
    <n v="30"/>
    <s v="Card"/>
    <x v="0"/>
    <n v="150"/>
  </r>
  <r>
    <n v="1044"/>
    <x v="3"/>
    <d v="2025-07-18T00:00:00"/>
    <x v="1"/>
    <x v="1"/>
    <x v="0"/>
    <x v="1"/>
    <n v="3"/>
    <n v="12"/>
    <s v="Card"/>
    <x v="2"/>
    <n v="36"/>
  </r>
  <r>
    <n v="1169"/>
    <x v="7"/>
    <d v="2025-08-10T00:00:00"/>
    <x v="0"/>
    <x v="0"/>
    <x v="0"/>
    <x v="4"/>
    <n v="4"/>
    <n v="8"/>
    <s v="Cash"/>
    <x v="2"/>
    <n v="32"/>
  </r>
  <r>
    <n v="618"/>
    <x v="2"/>
    <d v="2025-09-09T00:00:00"/>
    <x v="2"/>
    <x v="3"/>
    <x v="0"/>
    <x v="1"/>
    <n v="5"/>
    <n v="12"/>
    <s v="Mobile Wallet"/>
    <x v="1"/>
    <n v="60"/>
  </r>
  <r>
    <n v="629"/>
    <x v="5"/>
    <d v="2025-08-17T00:00:00"/>
    <x v="0"/>
    <x v="0"/>
    <x v="2"/>
    <x v="1"/>
    <n v="1"/>
    <n v="12"/>
    <s v="Card"/>
    <x v="2"/>
    <n v="12"/>
  </r>
  <r>
    <n v="392"/>
    <x v="7"/>
    <d v="2025-09-28T00:00:00"/>
    <x v="2"/>
    <x v="0"/>
    <x v="2"/>
    <x v="1"/>
    <n v="4"/>
    <n v="12"/>
    <s v="Mobile Wallet"/>
    <x v="0"/>
    <n v="48"/>
  </r>
  <r>
    <n v="1561"/>
    <x v="7"/>
    <d v="2025-08-24T00:00:00"/>
    <x v="0"/>
    <x v="0"/>
    <x v="2"/>
    <x v="1"/>
    <n v="3"/>
    <n v="12"/>
    <s v="Mobile Wallet"/>
    <x v="1"/>
    <n v="36"/>
  </r>
  <r>
    <n v="861"/>
    <x v="6"/>
    <d v="2025-07-18T00:00:00"/>
    <x v="1"/>
    <x v="1"/>
    <x v="0"/>
    <x v="2"/>
    <n v="1"/>
    <n v="20"/>
    <s v="Mobile Wallet"/>
    <x v="3"/>
    <n v="20"/>
  </r>
  <r>
    <n v="1221"/>
    <x v="0"/>
    <d v="2025-08-21T00:00:00"/>
    <x v="0"/>
    <x v="5"/>
    <x v="0"/>
    <x v="0"/>
    <n v="2"/>
    <n v="25"/>
    <s v="Cash"/>
    <x v="2"/>
    <n v="50"/>
  </r>
  <r>
    <n v="1576"/>
    <x v="0"/>
    <d v="2025-07-11T00:00:00"/>
    <x v="1"/>
    <x v="1"/>
    <x v="0"/>
    <x v="1"/>
    <n v="5"/>
    <n v="12"/>
    <s v="Mobile Wallet"/>
    <x v="3"/>
    <n v="60"/>
  </r>
  <r>
    <n v="116"/>
    <x v="0"/>
    <d v="2025-08-16T00:00:00"/>
    <x v="0"/>
    <x v="2"/>
    <x v="0"/>
    <x v="1"/>
    <n v="4"/>
    <n v="12"/>
    <s v="Card"/>
    <x v="2"/>
    <n v="48"/>
  </r>
  <r>
    <n v="1239"/>
    <x v="0"/>
    <d v="2025-08-23T00:00:00"/>
    <x v="0"/>
    <x v="2"/>
    <x v="0"/>
    <x v="0"/>
    <n v="4"/>
    <n v="25"/>
    <s v="Card"/>
    <x v="0"/>
    <n v="100"/>
  </r>
  <r>
    <n v="1483"/>
    <x v="0"/>
    <d v="2025-08-26T00:00:00"/>
    <x v="0"/>
    <x v="3"/>
    <x v="0"/>
    <x v="1"/>
    <n v="2"/>
    <n v="12"/>
    <s v="Cash"/>
    <x v="1"/>
    <n v="24"/>
  </r>
  <r>
    <n v="1411"/>
    <x v="0"/>
    <d v="2025-09-26T00:00:00"/>
    <x v="2"/>
    <x v="1"/>
    <x v="1"/>
    <x v="1"/>
    <n v="3"/>
    <n v="12"/>
    <s v="Cash"/>
    <x v="0"/>
    <n v="36"/>
  </r>
  <r>
    <n v="270"/>
    <x v="0"/>
    <d v="2025-08-12T00:00:00"/>
    <x v="0"/>
    <x v="3"/>
    <x v="1"/>
    <x v="0"/>
    <n v="3"/>
    <n v="25"/>
    <s v="Cash"/>
    <x v="3"/>
    <n v="75"/>
  </r>
  <r>
    <n v="1145"/>
    <x v="0"/>
    <d v="2025-07-27T00:00:00"/>
    <x v="1"/>
    <x v="0"/>
    <x v="0"/>
    <x v="1"/>
    <n v="3"/>
    <n v="12"/>
    <s v="Mobile Wallet"/>
    <x v="0"/>
    <n v="36"/>
  </r>
  <r>
    <n v="946"/>
    <x v="0"/>
    <d v="2025-08-11T00:00:00"/>
    <x v="0"/>
    <x v="4"/>
    <x v="2"/>
    <x v="1"/>
    <n v="3"/>
    <n v="12"/>
    <s v="Card"/>
    <x v="2"/>
    <n v="36"/>
  </r>
  <r>
    <n v="585"/>
    <x v="0"/>
    <d v="2025-08-31T00:00:00"/>
    <x v="0"/>
    <x v="0"/>
    <x v="0"/>
    <x v="0"/>
    <n v="4"/>
    <n v="25"/>
    <s v="Card"/>
    <x v="2"/>
    <n v="100"/>
  </r>
  <r>
    <n v="261"/>
    <x v="3"/>
    <d v="2025-07-14T00:00:00"/>
    <x v="1"/>
    <x v="4"/>
    <x v="3"/>
    <x v="4"/>
    <n v="2"/>
    <n v="8"/>
    <s v="Mobile Wallet"/>
    <x v="1"/>
    <n v="16"/>
  </r>
  <r>
    <n v="144"/>
    <x v="2"/>
    <d v="2025-08-11T00:00:00"/>
    <x v="0"/>
    <x v="4"/>
    <x v="3"/>
    <x v="1"/>
    <n v="5"/>
    <n v="12"/>
    <s v="Card"/>
    <x v="0"/>
    <n v="60"/>
  </r>
  <r>
    <n v="6"/>
    <x v="2"/>
    <d v="2025-07-24T00:00:00"/>
    <x v="1"/>
    <x v="5"/>
    <x v="0"/>
    <x v="4"/>
    <n v="5"/>
    <n v="8"/>
    <s v="Cash"/>
    <x v="2"/>
    <n v="40"/>
  </r>
  <r>
    <n v="1243"/>
    <x v="5"/>
    <d v="2025-08-28T00:00:00"/>
    <x v="0"/>
    <x v="5"/>
    <x v="1"/>
    <x v="0"/>
    <n v="3"/>
    <n v="25"/>
    <s v="Card"/>
    <x v="1"/>
    <n v="75"/>
  </r>
  <r>
    <n v="1802"/>
    <x v="1"/>
    <d v="2025-08-22T00:00:00"/>
    <x v="0"/>
    <x v="1"/>
    <x v="1"/>
    <x v="3"/>
    <n v="4"/>
    <n v="30"/>
    <s v="Mobile Wallet"/>
    <x v="3"/>
    <n v="120"/>
  </r>
  <r>
    <n v="1247"/>
    <x v="0"/>
    <d v="2025-08-23T00:00:00"/>
    <x v="0"/>
    <x v="2"/>
    <x v="1"/>
    <x v="0"/>
    <n v="4"/>
    <n v="25"/>
    <s v="Mobile Wallet"/>
    <x v="1"/>
    <n v="100"/>
  </r>
  <r>
    <n v="1434"/>
    <x v="6"/>
    <d v="2025-08-11T00:00:00"/>
    <x v="0"/>
    <x v="4"/>
    <x v="0"/>
    <x v="1"/>
    <n v="5"/>
    <n v="12"/>
    <s v="Mobile Wallet"/>
    <x v="0"/>
    <n v="60"/>
  </r>
  <r>
    <n v="1291"/>
    <x v="3"/>
    <d v="2025-09-29T00:00:00"/>
    <x v="2"/>
    <x v="4"/>
    <x v="0"/>
    <x v="1"/>
    <n v="1"/>
    <n v="12"/>
    <s v="Card"/>
    <x v="1"/>
    <n v="12"/>
  </r>
  <r>
    <n v="487"/>
    <x v="7"/>
    <d v="2025-07-27T00:00:00"/>
    <x v="1"/>
    <x v="0"/>
    <x v="2"/>
    <x v="1"/>
    <n v="5"/>
    <n v="12"/>
    <s v="Cash"/>
    <x v="1"/>
    <n v="60"/>
  </r>
  <r>
    <n v="1796"/>
    <x v="4"/>
    <d v="2025-07-16T00:00:00"/>
    <x v="1"/>
    <x v="6"/>
    <x v="2"/>
    <x v="4"/>
    <n v="2"/>
    <n v="8"/>
    <s v="Cash"/>
    <x v="1"/>
    <n v="16"/>
  </r>
  <r>
    <n v="1865"/>
    <x v="6"/>
    <d v="2025-07-13T00:00:00"/>
    <x v="1"/>
    <x v="0"/>
    <x v="1"/>
    <x v="1"/>
    <n v="5"/>
    <n v="12"/>
    <s v="Card"/>
    <x v="3"/>
    <n v="60"/>
  </r>
  <r>
    <n v="962"/>
    <x v="3"/>
    <d v="2025-07-30T00:00:00"/>
    <x v="1"/>
    <x v="6"/>
    <x v="3"/>
    <x v="1"/>
    <n v="2"/>
    <n v="12"/>
    <s v="Card"/>
    <x v="0"/>
    <n v="24"/>
  </r>
  <r>
    <n v="558"/>
    <x v="0"/>
    <d v="2025-08-10T00:00:00"/>
    <x v="0"/>
    <x v="0"/>
    <x v="0"/>
    <x v="1"/>
    <n v="5"/>
    <n v="12"/>
    <s v="Cash"/>
    <x v="1"/>
    <n v="60"/>
  </r>
  <r>
    <n v="1624"/>
    <x v="6"/>
    <d v="2025-08-31T00:00:00"/>
    <x v="0"/>
    <x v="0"/>
    <x v="0"/>
    <x v="2"/>
    <n v="5"/>
    <n v="20"/>
    <s v="Card"/>
    <x v="1"/>
    <n v="100"/>
  </r>
  <r>
    <n v="1198"/>
    <x v="7"/>
    <d v="2025-09-07T00:00:00"/>
    <x v="2"/>
    <x v="0"/>
    <x v="0"/>
    <x v="2"/>
    <n v="5"/>
    <n v="20"/>
    <s v="Mobile Wallet"/>
    <x v="1"/>
    <n v="100"/>
  </r>
  <r>
    <n v="677"/>
    <x v="6"/>
    <d v="2025-08-21T00:00:00"/>
    <x v="0"/>
    <x v="5"/>
    <x v="0"/>
    <x v="1"/>
    <n v="2"/>
    <n v="12"/>
    <s v="Cash"/>
    <x v="3"/>
    <n v="24"/>
  </r>
  <r>
    <n v="1339"/>
    <x v="0"/>
    <d v="2025-07-30T00:00:00"/>
    <x v="1"/>
    <x v="6"/>
    <x v="0"/>
    <x v="0"/>
    <n v="2"/>
    <n v="25"/>
    <s v="Card"/>
    <x v="3"/>
    <n v="50"/>
  </r>
  <r>
    <n v="405"/>
    <x v="2"/>
    <d v="2025-08-17T00:00:00"/>
    <x v="0"/>
    <x v="0"/>
    <x v="0"/>
    <x v="4"/>
    <n v="3"/>
    <n v="8"/>
    <s v="Mobile Wallet"/>
    <x v="1"/>
    <n v="24"/>
  </r>
  <r>
    <n v="1362"/>
    <x v="0"/>
    <d v="2025-09-11T00:00:00"/>
    <x v="2"/>
    <x v="5"/>
    <x v="0"/>
    <x v="1"/>
    <n v="4"/>
    <n v="12"/>
    <s v="Cash"/>
    <x v="1"/>
    <n v="48"/>
  </r>
  <r>
    <n v="1295"/>
    <x v="6"/>
    <d v="2025-08-20T00:00:00"/>
    <x v="0"/>
    <x v="6"/>
    <x v="0"/>
    <x v="3"/>
    <n v="3"/>
    <n v="30"/>
    <s v="Cash"/>
    <x v="1"/>
    <n v="90"/>
  </r>
  <r>
    <n v="1416"/>
    <x v="6"/>
    <d v="2025-08-05T00:00:00"/>
    <x v="0"/>
    <x v="3"/>
    <x v="0"/>
    <x v="0"/>
    <n v="4"/>
    <n v="25"/>
    <s v="Card"/>
    <x v="1"/>
    <n v="100"/>
  </r>
  <r>
    <n v="806"/>
    <x v="6"/>
    <d v="2025-08-10T00:00:00"/>
    <x v="0"/>
    <x v="0"/>
    <x v="0"/>
    <x v="3"/>
    <n v="4"/>
    <n v="30"/>
    <s v="Card"/>
    <x v="3"/>
    <n v="120"/>
  </r>
  <r>
    <n v="1801"/>
    <x v="6"/>
    <d v="2025-08-17T00:00:00"/>
    <x v="0"/>
    <x v="0"/>
    <x v="0"/>
    <x v="1"/>
    <n v="2"/>
    <n v="12"/>
    <s v="Card"/>
    <x v="2"/>
    <n v="24"/>
  </r>
  <r>
    <n v="1081"/>
    <x v="7"/>
    <d v="2025-09-25T00:00:00"/>
    <x v="2"/>
    <x v="5"/>
    <x v="0"/>
    <x v="4"/>
    <n v="2"/>
    <n v="8"/>
    <s v="Card"/>
    <x v="2"/>
    <n v="16"/>
  </r>
  <r>
    <n v="222"/>
    <x v="7"/>
    <d v="2025-09-23T00:00:00"/>
    <x v="2"/>
    <x v="3"/>
    <x v="0"/>
    <x v="0"/>
    <n v="2"/>
    <n v="25"/>
    <s v="Card"/>
    <x v="0"/>
    <n v="50"/>
  </r>
  <r>
    <n v="1310"/>
    <x v="6"/>
    <d v="2025-09-14T00:00:00"/>
    <x v="2"/>
    <x v="0"/>
    <x v="0"/>
    <x v="1"/>
    <n v="4"/>
    <n v="12"/>
    <s v="Cash"/>
    <x v="3"/>
    <n v="48"/>
  </r>
  <r>
    <n v="1231"/>
    <x v="6"/>
    <d v="2025-08-16T00:00:00"/>
    <x v="0"/>
    <x v="2"/>
    <x v="0"/>
    <x v="0"/>
    <n v="4"/>
    <n v="25"/>
    <s v="Cash"/>
    <x v="1"/>
    <n v="100"/>
  </r>
  <r>
    <n v="2000"/>
    <x v="3"/>
    <d v="2025-07-13T00:00:00"/>
    <x v="1"/>
    <x v="0"/>
    <x v="0"/>
    <x v="1"/>
    <n v="4"/>
    <n v="12"/>
    <s v="Mobile Wallet"/>
    <x v="2"/>
    <n v="48"/>
  </r>
  <r>
    <n v="703"/>
    <x v="3"/>
    <d v="2025-08-16T00:00:00"/>
    <x v="0"/>
    <x v="2"/>
    <x v="0"/>
    <x v="1"/>
    <n v="4"/>
    <n v="12"/>
    <s v="Cash"/>
    <x v="3"/>
    <n v="48"/>
  </r>
  <r>
    <n v="1524"/>
    <x v="1"/>
    <d v="2025-09-23T00:00:00"/>
    <x v="2"/>
    <x v="3"/>
    <x v="0"/>
    <x v="1"/>
    <n v="5"/>
    <n v="12"/>
    <s v="Card"/>
    <x v="1"/>
    <n v="60"/>
  </r>
  <r>
    <n v="998"/>
    <x v="6"/>
    <d v="2025-09-25T00:00:00"/>
    <x v="2"/>
    <x v="5"/>
    <x v="0"/>
    <x v="1"/>
    <n v="5"/>
    <n v="12"/>
    <s v="Mobile Wallet"/>
    <x v="0"/>
    <n v="60"/>
  </r>
  <r>
    <n v="420"/>
    <x v="0"/>
    <d v="2025-09-19T00:00:00"/>
    <x v="2"/>
    <x v="1"/>
    <x v="0"/>
    <x v="1"/>
    <n v="1"/>
    <n v="12"/>
    <s v="Cash"/>
    <x v="3"/>
    <n v="12"/>
  </r>
  <r>
    <n v="742"/>
    <x v="0"/>
    <d v="2025-07-14T00:00:00"/>
    <x v="1"/>
    <x v="4"/>
    <x v="0"/>
    <x v="1"/>
    <n v="2"/>
    <n v="12"/>
    <s v="Mobile Wallet"/>
    <x v="1"/>
    <n v="24"/>
  </r>
  <r>
    <n v="458"/>
    <x v="2"/>
    <d v="2025-07-19T00:00:00"/>
    <x v="1"/>
    <x v="2"/>
    <x v="0"/>
    <x v="0"/>
    <n v="2"/>
    <n v="25"/>
    <s v="Cash"/>
    <x v="3"/>
    <n v="50"/>
  </r>
  <r>
    <n v="1553"/>
    <x v="5"/>
    <d v="2025-08-07T00:00:00"/>
    <x v="0"/>
    <x v="5"/>
    <x v="0"/>
    <x v="0"/>
    <n v="4"/>
    <n v="25"/>
    <s v="Card"/>
    <x v="3"/>
    <n v="100"/>
  </r>
  <r>
    <n v="911"/>
    <x v="7"/>
    <d v="2025-07-25T00:00:00"/>
    <x v="1"/>
    <x v="1"/>
    <x v="0"/>
    <x v="1"/>
    <n v="1"/>
    <n v="12"/>
    <s v="Card"/>
    <x v="3"/>
    <n v="12"/>
  </r>
  <r>
    <n v="284"/>
    <x v="5"/>
    <d v="2025-08-02T00:00:00"/>
    <x v="0"/>
    <x v="2"/>
    <x v="0"/>
    <x v="1"/>
    <n v="1"/>
    <n v="12"/>
    <s v="Card"/>
    <x v="0"/>
    <n v="12"/>
  </r>
  <r>
    <n v="334"/>
    <x v="7"/>
    <d v="2025-09-14T00:00:00"/>
    <x v="2"/>
    <x v="0"/>
    <x v="0"/>
    <x v="4"/>
    <n v="3"/>
    <n v="8"/>
    <s v="Mobile Wallet"/>
    <x v="3"/>
    <n v="24"/>
  </r>
  <r>
    <n v="502"/>
    <x v="1"/>
    <d v="2025-08-17T00:00:00"/>
    <x v="0"/>
    <x v="0"/>
    <x v="0"/>
    <x v="4"/>
    <n v="3"/>
    <n v="8"/>
    <s v="Card"/>
    <x v="2"/>
    <n v="24"/>
  </r>
  <r>
    <n v="1711"/>
    <x v="1"/>
    <d v="2025-09-22T00:00:00"/>
    <x v="2"/>
    <x v="4"/>
    <x v="0"/>
    <x v="1"/>
    <n v="2"/>
    <n v="12"/>
    <s v="Cash"/>
    <x v="3"/>
    <n v="24"/>
  </r>
  <r>
    <n v="1030"/>
    <x v="1"/>
    <d v="2025-07-10T00:00:00"/>
    <x v="1"/>
    <x v="5"/>
    <x v="0"/>
    <x v="0"/>
    <n v="5"/>
    <n v="25"/>
    <s v="Card"/>
    <x v="3"/>
    <n v="125"/>
  </r>
  <r>
    <n v="1012"/>
    <x v="1"/>
    <d v="2025-08-17T00:00:00"/>
    <x v="0"/>
    <x v="0"/>
    <x v="0"/>
    <x v="1"/>
    <n v="4"/>
    <n v="12"/>
    <s v="Mobile Wallet"/>
    <x v="2"/>
    <n v="48"/>
  </r>
  <r>
    <n v="812"/>
    <x v="7"/>
    <d v="2025-07-05T00:00:00"/>
    <x v="1"/>
    <x v="2"/>
    <x v="0"/>
    <x v="0"/>
    <n v="4"/>
    <n v="25"/>
    <s v="Card"/>
    <x v="2"/>
    <n v="100"/>
  </r>
  <r>
    <n v="1676"/>
    <x v="1"/>
    <d v="2025-08-17T00:00:00"/>
    <x v="0"/>
    <x v="0"/>
    <x v="0"/>
    <x v="1"/>
    <n v="1"/>
    <n v="12"/>
    <s v="Mobile Wallet"/>
    <x v="3"/>
    <n v="12"/>
  </r>
  <r>
    <n v="1272"/>
    <x v="0"/>
    <d v="2025-09-25T00:00:00"/>
    <x v="2"/>
    <x v="5"/>
    <x v="0"/>
    <x v="1"/>
    <n v="2"/>
    <n v="12"/>
    <s v="Card"/>
    <x v="1"/>
    <n v="24"/>
  </r>
  <r>
    <n v="1804"/>
    <x v="2"/>
    <d v="2025-09-02T00:00:00"/>
    <x v="2"/>
    <x v="3"/>
    <x v="0"/>
    <x v="3"/>
    <n v="5"/>
    <n v="30"/>
    <s v="Cash"/>
    <x v="1"/>
    <n v="150"/>
  </r>
  <r>
    <n v="1408"/>
    <x v="1"/>
    <d v="2025-08-24T00:00:00"/>
    <x v="0"/>
    <x v="0"/>
    <x v="0"/>
    <x v="3"/>
    <n v="5"/>
    <n v="30"/>
    <s v="Cash"/>
    <x v="1"/>
    <n v="150"/>
  </r>
  <r>
    <n v="1627"/>
    <x v="3"/>
    <d v="2025-07-10T00:00:00"/>
    <x v="1"/>
    <x v="5"/>
    <x v="0"/>
    <x v="1"/>
    <n v="4"/>
    <n v="12"/>
    <s v="Card"/>
    <x v="1"/>
    <n v="48"/>
  </r>
  <r>
    <n v="573"/>
    <x v="3"/>
    <d v="2025-07-08T00:00:00"/>
    <x v="1"/>
    <x v="3"/>
    <x v="0"/>
    <x v="1"/>
    <n v="4"/>
    <n v="12"/>
    <s v="Cash"/>
    <x v="1"/>
    <n v="48"/>
  </r>
  <r>
    <n v="1805"/>
    <x v="1"/>
    <d v="2025-09-28T00:00:00"/>
    <x v="2"/>
    <x v="0"/>
    <x v="0"/>
    <x v="1"/>
    <n v="2"/>
    <n v="12"/>
    <s v="Mobile Wallet"/>
    <x v="1"/>
    <n v="24"/>
  </r>
  <r>
    <n v="527"/>
    <x v="7"/>
    <d v="2025-07-16T00:00:00"/>
    <x v="1"/>
    <x v="6"/>
    <x v="0"/>
    <x v="1"/>
    <n v="3"/>
    <n v="12"/>
    <s v="Cash"/>
    <x v="1"/>
    <n v="36"/>
  </r>
  <r>
    <n v="302"/>
    <x v="3"/>
    <d v="2025-09-30T00:00:00"/>
    <x v="2"/>
    <x v="3"/>
    <x v="0"/>
    <x v="0"/>
    <n v="1"/>
    <n v="25"/>
    <s v="Card"/>
    <x v="0"/>
    <n v="25"/>
  </r>
  <r>
    <n v="1647"/>
    <x v="5"/>
    <d v="2025-09-24T00:00:00"/>
    <x v="2"/>
    <x v="6"/>
    <x v="0"/>
    <x v="1"/>
    <n v="1"/>
    <n v="12"/>
    <s v="Card"/>
    <x v="2"/>
    <n v="12"/>
  </r>
  <r>
    <n v="1955"/>
    <x v="7"/>
    <d v="2025-09-18T00:00:00"/>
    <x v="2"/>
    <x v="5"/>
    <x v="0"/>
    <x v="1"/>
    <n v="5"/>
    <n v="12"/>
    <s v="Card"/>
    <x v="3"/>
    <n v="60"/>
  </r>
  <r>
    <n v="725"/>
    <x v="3"/>
    <d v="2025-08-10T00:00:00"/>
    <x v="0"/>
    <x v="0"/>
    <x v="0"/>
    <x v="1"/>
    <n v="5"/>
    <n v="12"/>
    <s v="Card"/>
    <x v="3"/>
    <n v="60"/>
  </r>
  <r>
    <n v="1450"/>
    <x v="6"/>
    <d v="2025-09-20T00:00:00"/>
    <x v="2"/>
    <x v="2"/>
    <x v="0"/>
    <x v="1"/>
    <n v="4"/>
    <n v="12"/>
    <s v="Mobile Wallet"/>
    <x v="3"/>
    <n v="48"/>
  </r>
  <r>
    <n v="1421"/>
    <x v="3"/>
    <d v="2025-08-17T00:00:00"/>
    <x v="0"/>
    <x v="0"/>
    <x v="0"/>
    <x v="4"/>
    <n v="2"/>
    <n v="8"/>
    <s v="Card"/>
    <x v="0"/>
    <n v="16"/>
  </r>
  <r>
    <n v="43"/>
    <x v="4"/>
    <d v="2025-09-21T00:00:00"/>
    <x v="2"/>
    <x v="0"/>
    <x v="0"/>
    <x v="0"/>
    <n v="5"/>
    <n v="25"/>
    <s v="Mobile Wallet"/>
    <x v="3"/>
    <n v="125"/>
  </r>
  <r>
    <n v="1947"/>
    <x v="3"/>
    <d v="2025-07-10T00:00:00"/>
    <x v="1"/>
    <x v="5"/>
    <x v="0"/>
    <x v="4"/>
    <n v="3"/>
    <n v="8"/>
    <s v="Cash"/>
    <x v="0"/>
    <n v="24"/>
  </r>
  <r>
    <n v="1803"/>
    <x v="7"/>
    <d v="2025-09-21T00:00:00"/>
    <x v="2"/>
    <x v="0"/>
    <x v="0"/>
    <x v="2"/>
    <n v="2"/>
    <n v="20"/>
    <s v="Card"/>
    <x v="3"/>
    <n v="40"/>
  </r>
  <r>
    <n v="71"/>
    <x v="4"/>
    <d v="2025-08-09T00:00:00"/>
    <x v="0"/>
    <x v="2"/>
    <x v="0"/>
    <x v="4"/>
    <n v="2"/>
    <n v="8"/>
    <s v="Mobile Wallet"/>
    <x v="0"/>
    <n v="16"/>
  </r>
  <r>
    <n v="1040"/>
    <x v="7"/>
    <d v="2025-07-09T00:00:00"/>
    <x v="1"/>
    <x v="6"/>
    <x v="0"/>
    <x v="0"/>
    <n v="1"/>
    <n v="25"/>
    <s v="Mobile Wallet"/>
    <x v="3"/>
    <n v="25"/>
  </r>
  <r>
    <n v="456"/>
    <x v="7"/>
    <d v="2025-08-17T00:00:00"/>
    <x v="0"/>
    <x v="0"/>
    <x v="0"/>
    <x v="1"/>
    <n v="1"/>
    <n v="12"/>
    <s v="Card"/>
    <x v="2"/>
    <n v="12"/>
  </r>
  <r>
    <n v="843"/>
    <x v="3"/>
    <d v="2025-09-06T00:00:00"/>
    <x v="2"/>
    <x v="2"/>
    <x v="0"/>
    <x v="3"/>
    <n v="4"/>
    <n v="30"/>
    <s v="Mobile Wallet"/>
    <x v="0"/>
    <n v="120"/>
  </r>
  <r>
    <n v="200"/>
    <x v="7"/>
    <d v="2025-08-11T00:00:00"/>
    <x v="0"/>
    <x v="4"/>
    <x v="0"/>
    <x v="1"/>
    <n v="3"/>
    <n v="12"/>
    <s v="Card"/>
    <x v="0"/>
    <n v="36"/>
  </r>
  <r>
    <n v="1840"/>
    <x v="3"/>
    <d v="2025-08-11T00:00:00"/>
    <x v="0"/>
    <x v="4"/>
    <x v="0"/>
    <x v="4"/>
    <n v="4"/>
    <n v="8"/>
    <s v="Mobile Wallet"/>
    <x v="1"/>
    <n v="32"/>
  </r>
  <r>
    <n v="1060"/>
    <x v="6"/>
    <d v="2025-08-30T00:00:00"/>
    <x v="0"/>
    <x v="2"/>
    <x v="0"/>
    <x v="3"/>
    <n v="5"/>
    <n v="30"/>
    <s v="Cash"/>
    <x v="2"/>
    <n v="150"/>
  </r>
  <r>
    <n v="188"/>
    <x v="5"/>
    <d v="2025-08-02T00:00:00"/>
    <x v="0"/>
    <x v="2"/>
    <x v="0"/>
    <x v="4"/>
    <n v="4"/>
    <n v="8"/>
    <s v="Mobile Wallet"/>
    <x v="2"/>
    <n v="32"/>
  </r>
  <r>
    <n v="769"/>
    <x v="6"/>
    <d v="2025-07-12T00:00:00"/>
    <x v="1"/>
    <x v="2"/>
    <x v="0"/>
    <x v="0"/>
    <n v="1"/>
    <n v="25"/>
    <s v="Card"/>
    <x v="3"/>
    <n v="25"/>
  </r>
  <r>
    <n v="1337"/>
    <x v="7"/>
    <d v="2025-08-21T00:00:00"/>
    <x v="0"/>
    <x v="5"/>
    <x v="0"/>
    <x v="3"/>
    <n v="2"/>
    <n v="30"/>
    <s v="Card"/>
    <x v="3"/>
    <n v="60"/>
  </r>
  <r>
    <n v="1889"/>
    <x v="5"/>
    <d v="2025-07-28T00:00:00"/>
    <x v="1"/>
    <x v="4"/>
    <x v="0"/>
    <x v="0"/>
    <n v="3"/>
    <n v="25"/>
    <s v="Mobile Wallet"/>
    <x v="0"/>
    <n v="75"/>
  </r>
  <r>
    <n v="1454"/>
    <x v="7"/>
    <d v="2025-07-12T00:00:00"/>
    <x v="1"/>
    <x v="2"/>
    <x v="0"/>
    <x v="1"/>
    <n v="5"/>
    <n v="12"/>
    <s v="Mobile Wallet"/>
    <x v="1"/>
    <n v="60"/>
  </r>
  <r>
    <n v="524"/>
    <x v="5"/>
    <d v="2025-09-11T00:00:00"/>
    <x v="2"/>
    <x v="5"/>
    <x v="0"/>
    <x v="1"/>
    <n v="4"/>
    <n v="12"/>
    <s v="Cash"/>
    <x v="1"/>
    <n v="48"/>
  </r>
  <r>
    <n v="684"/>
    <x v="6"/>
    <d v="2025-08-21T00:00:00"/>
    <x v="0"/>
    <x v="5"/>
    <x v="0"/>
    <x v="1"/>
    <n v="3"/>
    <n v="12"/>
    <s v="Card"/>
    <x v="2"/>
    <n v="36"/>
  </r>
  <r>
    <n v="1632"/>
    <x v="7"/>
    <d v="2025-08-06T00:00:00"/>
    <x v="0"/>
    <x v="6"/>
    <x v="0"/>
    <x v="1"/>
    <n v="5"/>
    <n v="12"/>
    <s v="Mobile Wallet"/>
    <x v="2"/>
    <n v="60"/>
  </r>
  <r>
    <n v="286"/>
    <x v="7"/>
    <d v="2025-09-15T00:00:00"/>
    <x v="2"/>
    <x v="4"/>
    <x v="0"/>
    <x v="1"/>
    <n v="3"/>
    <n v="12"/>
    <s v="Cash"/>
    <x v="0"/>
    <n v="36"/>
  </r>
  <r>
    <n v="1424"/>
    <x v="5"/>
    <d v="2025-09-25T00:00:00"/>
    <x v="2"/>
    <x v="5"/>
    <x v="0"/>
    <x v="1"/>
    <n v="4"/>
    <n v="12"/>
    <s v="Cash"/>
    <x v="0"/>
    <n v="48"/>
  </r>
  <r>
    <n v="1685"/>
    <x v="5"/>
    <d v="2025-09-22T00:00:00"/>
    <x v="2"/>
    <x v="4"/>
    <x v="0"/>
    <x v="4"/>
    <n v="3"/>
    <n v="8"/>
    <s v="Mobile Wallet"/>
    <x v="0"/>
    <n v="24"/>
  </r>
  <r>
    <n v="1311"/>
    <x v="7"/>
    <d v="2025-08-13T00:00:00"/>
    <x v="0"/>
    <x v="6"/>
    <x v="0"/>
    <x v="4"/>
    <n v="5"/>
    <n v="8"/>
    <s v="Cash"/>
    <x v="1"/>
    <n v="40"/>
  </r>
  <r>
    <n v="1270"/>
    <x v="4"/>
    <d v="2025-09-09T00:00:00"/>
    <x v="2"/>
    <x v="3"/>
    <x v="0"/>
    <x v="4"/>
    <n v="5"/>
    <n v="8"/>
    <s v="Mobile Wallet"/>
    <x v="0"/>
    <n v="40"/>
  </r>
  <r>
    <n v="1473"/>
    <x v="3"/>
    <d v="2025-08-10T00:00:00"/>
    <x v="0"/>
    <x v="0"/>
    <x v="0"/>
    <x v="0"/>
    <n v="1"/>
    <n v="25"/>
    <s v="Cash"/>
    <x v="0"/>
    <n v="25"/>
  </r>
  <r>
    <n v="1958"/>
    <x v="7"/>
    <d v="2025-07-17T00:00:00"/>
    <x v="1"/>
    <x v="5"/>
    <x v="0"/>
    <x v="1"/>
    <n v="3"/>
    <n v="12"/>
    <s v="Card"/>
    <x v="2"/>
    <n v="36"/>
  </r>
  <r>
    <n v="545"/>
    <x v="3"/>
    <d v="2025-09-21T00:00:00"/>
    <x v="2"/>
    <x v="0"/>
    <x v="0"/>
    <x v="1"/>
    <n v="2"/>
    <n v="12"/>
    <s v="Card"/>
    <x v="1"/>
    <n v="24"/>
  </r>
  <r>
    <n v="807"/>
    <x v="2"/>
    <d v="2025-07-25T00:00:00"/>
    <x v="1"/>
    <x v="1"/>
    <x v="0"/>
    <x v="4"/>
    <n v="3"/>
    <n v="8"/>
    <s v="Cash"/>
    <x v="0"/>
    <n v="24"/>
  </r>
  <r>
    <n v="117"/>
    <x v="3"/>
    <d v="2025-09-28T00:00:00"/>
    <x v="2"/>
    <x v="0"/>
    <x v="0"/>
    <x v="1"/>
    <n v="2"/>
    <n v="12"/>
    <s v="Card"/>
    <x v="1"/>
    <n v="24"/>
  </r>
  <r>
    <n v="560"/>
    <x v="0"/>
    <d v="2025-09-03T00:00:00"/>
    <x v="2"/>
    <x v="6"/>
    <x v="0"/>
    <x v="0"/>
    <n v="1"/>
    <n v="25"/>
    <s v="Card"/>
    <x v="2"/>
    <n v="25"/>
  </r>
  <r>
    <n v="1644"/>
    <x v="4"/>
    <d v="2025-08-05T00:00:00"/>
    <x v="0"/>
    <x v="3"/>
    <x v="0"/>
    <x v="1"/>
    <n v="4"/>
    <n v="12"/>
    <s v="Cash"/>
    <x v="2"/>
    <n v="48"/>
  </r>
  <r>
    <n v="1282"/>
    <x v="5"/>
    <d v="2025-07-26T00:00:00"/>
    <x v="1"/>
    <x v="2"/>
    <x v="0"/>
    <x v="1"/>
    <n v="3"/>
    <n v="12"/>
    <s v="Cash"/>
    <x v="3"/>
    <n v="36"/>
  </r>
  <r>
    <n v="1057"/>
    <x v="2"/>
    <d v="2025-08-15T00:00:00"/>
    <x v="0"/>
    <x v="1"/>
    <x v="0"/>
    <x v="0"/>
    <n v="2"/>
    <n v="25"/>
    <s v="Mobile Wallet"/>
    <x v="2"/>
    <n v="50"/>
  </r>
  <r>
    <n v="364"/>
    <x v="4"/>
    <d v="2025-08-31T00:00:00"/>
    <x v="0"/>
    <x v="0"/>
    <x v="0"/>
    <x v="1"/>
    <n v="2"/>
    <n v="12"/>
    <s v="Mobile Wallet"/>
    <x v="2"/>
    <n v="24"/>
  </r>
  <r>
    <n v="738"/>
    <x v="1"/>
    <d v="2025-07-26T00:00:00"/>
    <x v="1"/>
    <x v="2"/>
    <x v="0"/>
    <x v="0"/>
    <n v="2"/>
    <n v="25"/>
    <s v="Card"/>
    <x v="3"/>
    <n v="50"/>
  </r>
  <r>
    <n v="613"/>
    <x v="6"/>
    <d v="2025-09-22T00:00:00"/>
    <x v="2"/>
    <x v="4"/>
    <x v="0"/>
    <x v="1"/>
    <n v="4"/>
    <n v="12"/>
    <s v="Card"/>
    <x v="2"/>
    <n v="48"/>
  </r>
  <r>
    <n v="424"/>
    <x v="7"/>
    <d v="2025-07-16T00:00:00"/>
    <x v="1"/>
    <x v="6"/>
    <x v="0"/>
    <x v="1"/>
    <n v="4"/>
    <n v="12"/>
    <s v="Mobile Wallet"/>
    <x v="0"/>
    <n v="48"/>
  </r>
  <r>
    <n v="1507"/>
    <x v="2"/>
    <d v="2025-09-21T00:00:00"/>
    <x v="2"/>
    <x v="0"/>
    <x v="0"/>
    <x v="3"/>
    <n v="4"/>
    <n v="30"/>
    <s v="Card"/>
    <x v="0"/>
    <n v="120"/>
  </r>
  <r>
    <n v="1842"/>
    <x v="0"/>
    <d v="2025-09-26T00:00:00"/>
    <x v="2"/>
    <x v="1"/>
    <x v="0"/>
    <x v="1"/>
    <n v="3"/>
    <n v="12"/>
    <s v="Cash"/>
    <x v="2"/>
    <n v="36"/>
  </r>
  <r>
    <n v="335"/>
    <x v="0"/>
    <d v="2025-08-01T00:00:00"/>
    <x v="0"/>
    <x v="1"/>
    <x v="0"/>
    <x v="1"/>
    <n v="5"/>
    <n v="12"/>
    <s v="Card"/>
    <x v="1"/>
    <n v="60"/>
  </r>
  <r>
    <n v="704"/>
    <x v="2"/>
    <d v="2025-09-06T00:00:00"/>
    <x v="2"/>
    <x v="2"/>
    <x v="0"/>
    <x v="1"/>
    <n v="5"/>
    <n v="12"/>
    <s v="Cash"/>
    <x v="2"/>
    <n v="60"/>
  </r>
  <r>
    <n v="603"/>
    <x v="6"/>
    <d v="2025-08-26T00:00:00"/>
    <x v="0"/>
    <x v="3"/>
    <x v="0"/>
    <x v="4"/>
    <n v="5"/>
    <n v="8"/>
    <s v="Cash"/>
    <x v="2"/>
    <n v="40"/>
  </r>
  <r>
    <n v="1783"/>
    <x v="2"/>
    <d v="2025-09-15T00:00:00"/>
    <x v="2"/>
    <x v="4"/>
    <x v="0"/>
    <x v="1"/>
    <n v="4"/>
    <n v="12"/>
    <s v="Card"/>
    <x v="1"/>
    <n v="48"/>
  </r>
  <r>
    <n v="1309"/>
    <x v="3"/>
    <d v="2025-07-05T00:00:00"/>
    <x v="1"/>
    <x v="2"/>
    <x v="0"/>
    <x v="1"/>
    <n v="3"/>
    <n v="12"/>
    <s v="Card"/>
    <x v="3"/>
    <n v="36"/>
  </r>
  <r>
    <n v="214"/>
    <x v="5"/>
    <d v="2025-09-28T00:00:00"/>
    <x v="2"/>
    <x v="0"/>
    <x v="0"/>
    <x v="3"/>
    <n v="3"/>
    <n v="30"/>
    <s v="Card"/>
    <x v="2"/>
    <n v="90"/>
  </r>
  <r>
    <n v="481"/>
    <x v="6"/>
    <d v="2025-08-17T00:00:00"/>
    <x v="0"/>
    <x v="0"/>
    <x v="0"/>
    <x v="1"/>
    <n v="2"/>
    <n v="12"/>
    <s v="Card"/>
    <x v="2"/>
    <n v="24"/>
  </r>
  <r>
    <n v="102"/>
    <x v="4"/>
    <d v="2025-08-30T00:00:00"/>
    <x v="0"/>
    <x v="2"/>
    <x v="0"/>
    <x v="0"/>
    <n v="4"/>
    <n v="25"/>
    <s v="Cash"/>
    <x v="3"/>
    <n v="100"/>
  </r>
  <r>
    <n v="598"/>
    <x v="5"/>
    <d v="2025-09-20T00:00:00"/>
    <x v="2"/>
    <x v="2"/>
    <x v="0"/>
    <x v="1"/>
    <n v="3"/>
    <n v="12"/>
    <s v="Mobile Wallet"/>
    <x v="0"/>
    <n v="36"/>
  </r>
  <r>
    <n v="1574"/>
    <x v="0"/>
    <d v="2025-08-24T00:00:00"/>
    <x v="0"/>
    <x v="0"/>
    <x v="0"/>
    <x v="3"/>
    <n v="4"/>
    <n v="30"/>
    <s v="Card"/>
    <x v="2"/>
    <n v="120"/>
  </r>
  <r>
    <n v="233"/>
    <x v="6"/>
    <d v="2025-08-16T00:00:00"/>
    <x v="0"/>
    <x v="2"/>
    <x v="0"/>
    <x v="3"/>
    <n v="4"/>
    <n v="30"/>
    <s v="Card"/>
    <x v="1"/>
    <n v="120"/>
  </r>
  <r>
    <n v="1183"/>
    <x v="2"/>
    <d v="2025-08-13T00:00:00"/>
    <x v="0"/>
    <x v="6"/>
    <x v="0"/>
    <x v="1"/>
    <n v="1"/>
    <n v="12"/>
    <s v="Cash"/>
    <x v="1"/>
    <n v="12"/>
  </r>
  <r>
    <n v="1709"/>
    <x v="2"/>
    <d v="2025-08-05T00:00:00"/>
    <x v="0"/>
    <x v="3"/>
    <x v="0"/>
    <x v="1"/>
    <n v="3"/>
    <n v="12"/>
    <s v="Mobile Wallet"/>
    <x v="1"/>
    <n v="36"/>
  </r>
  <r>
    <n v="1659"/>
    <x v="3"/>
    <d v="2025-07-19T00:00:00"/>
    <x v="1"/>
    <x v="2"/>
    <x v="0"/>
    <x v="0"/>
    <n v="2"/>
    <n v="25"/>
    <s v="Cash"/>
    <x v="1"/>
    <n v="50"/>
  </r>
  <r>
    <n v="1128"/>
    <x v="4"/>
    <d v="2025-08-23T00:00:00"/>
    <x v="0"/>
    <x v="2"/>
    <x v="0"/>
    <x v="1"/>
    <n v="2"/>
    <n v="12"/>
    <s v="Cash"/>
    <x v="1"/>
    <n v="24"/>
  </r>
  <r>
    <n v="748"/>
    <x v="5"/>
    <d v="2025-07-02T00:00:00"/>
    <x v="1"/>
    <x v="6"/>
    <x v="0"/>
    <x v="1"/>
    <n v="1"/>
    <n v="12"/>
    <s v="Cash"/>
    <x v="1"/>
    <n v="12"/>
  </r>
  <r>
    <n v="1653"/>
    <x v="4"/>
    <d v="2025-07-21T00:00:00"/>
    <x v="1"/>
    <x v="4"/>
    <x v="0"/>
    <x v="2"/>
    <n v="5"/>
    <n v="20"/>
    <s v="Mobile Wallet"/>
    <x v="1"/>
    <n v="100"/>
  </r>
  <r>
    <n v="1914"/>
    <x v="0"/>
    <d v="2025-08-09T00:00:00"/>
    <x v="0"/>
    <x v="2"/>
    <x v="0"/>
    <x v="3"/>
    <n v="1"/>
    <n v="30"/>
    <s v="Card"/>
    <x v="1"/>
    <n v="30"/>
  </r>
  <r>
    <n v="907"/>
    <x v="4"/>
    <d v="2025-08-30T00:00:00"/>
    <x v="0"/>
    <x v="2"/>
    <x v="0"/>
    <x v="3"/>
    <n v="5"/>
    <n v="30"/>
    <s v="Cash"/>
    <x v="1"/>
    <n v="150"/>
  </r>
  <r>
    <n v="1638"/>
    <x v="1"/>
    <d v="2025-08-14T00:00:00"/>
    <x v="0"/>
    <x v="5"/>
    <x v="0"/>
    <x v="1"/>
    <n v="2"/>
    <n v="12"/>
    <s v="Cash"/>
    <x v="1"/>
    <n v="24"/>
  </r>
  <r>
    <n v="1366"/>
    <x v="0"/>
    <d v="2025-09-14T00:00:00"/>
    <x v="2"/>
    <x v="0"/>
    <x v="0"/>
    <x v="0"/>
    <n v="2"/>
    <n v="25"/>
    <s v="Mobile Wallet"/>
    <x v="1"/>
    <n v="50"/>
  </r>
  <r>
    <n v="1665"/>
    <x v="7"/>
    <d v="2025-08-16T00:00:00"/>
    <x v="0"/>
    <x v="2"/>
    <x v="0"/>
    <x v="0"/>
    <n v="5"/>
    <n v="25"/>
    <s v="Mobile Wallet"/>
    <x v="1"/>
    <n v="125"/>
  </r>
  <r>
    <n v="1419"/>
    <x v="1"/>
    <d v="2025-09-21T00:00:00"/>
    <x v="2"/>
    <x v="0"/>
    <x v="0"/>
    <x v="1"/>
    <n v="4"/>
    <n v="12"/>
    <s v="Card"/>
    <x v="1"/>
    <n v="48"/>
  </r>
  <r>
    <n v="130"/>
    <x v="6"/>
    <d v="2025-08-02T00:00:00"/>
    <x v="0"/>
    <x v="2"/>
    <x v="0"/>
    <x v="1"/>
    <n v="2"/>
    <n v="12"/>
    <s v="Cash"/>
    <x v="1"/>
    <n v="24"/>
  </r>
  <r>
    <n v="1606"/>
    <x v="5"/>
    <d v="2025-07-18T00:00:00"/>
    <x v="1"/>
    <x v="1"/>
    <x v="0"/>
    <x v="1"/>
    <n v="2"/>
    <n v="12"/>
    <s v="Card"/>
    <x v="1"/>
    <n v="24"/>
  </r>
  <r>
    <n v="296"/>
    <x v="6"/>
    <d v="2025-08-15T00:00:00"/>
    <x v="0"/>
    <x v="1"/>
    <x v="0"/>
    <x v="1"/>
    <n v="3"/>
    <n v="12"/>
    <s v="Card"/>
    <x v="1"/>
    <n v="36"/>
  </r>
  <r>
    <n v="1357"/>
    <x v="6"/>
    <d v="2025-07-31T00:00:00"/>
    <x v="1"/>
    <x v="5"/>
    <x v="0"/>
    <x v="4"/>
    <n v="2"/>
    <n v="8"/>
    <s v="Cash"/>
    <x v="1"/>
    <n v="16"/>
  </r>
  <r>
    <n v="1149"/>
    <x v="7"/>
    <d v="2025-09-13T00:00:00"/>
    <x v="2"/>
    <x v="2"/>
    <x v="0"/>
    <x v="4"/>
    <n v="3"/>
    <n v="8"/>
    <s v="Mobile Wallet"/>
    <x v="1"/>
    <n v="24"/>
  </r>
  <r>
    <n v="1389"/>
    <x v="5"/>
    <d v="2025-07-19T00:00:00"/>
    <x v="1"/>
    <x v="2"/>
    <x v="0"/>
    <x v="1"/>
    <n v="5"/>
    <n v="12"/>
    <s v="Cash"/>
    <x v="1"/>
    <n v="60"/>
  </r>
  <r>
    <n v="1008"/>
    <x v="1"/>
    <d v="2025-08-05T00:00:00"/>
    <x v="0"/>
    <x v="3"/>
    <x v="0"/>
    <x v="1"/>
    <n v="5"/>
    <n v="12"/>
    <s v="Mobile Wallet"/>
    <x v="1"/>
    <n v="60"/>
  </r>
  <r>
    <n v="551"/>
    <x v="3"/>
    <d v="2025-07-13T00:00:00"/>
    <x v="1"/>
    <x v="0"/>
    <x v="0"/>
    <x v="1"/>
    <n v="2"/>
    <n v="12"/>
    <s v="Card"/>
    <x v="1"/>
    <n v="24"/>
  </r>
  <r>
    <n v="1241"/>
    <x v="1"/>
    <d v="2025-07-21T00:00:00"/>
    <x v="1"/>
    <x v="4"/>
    <x v="0"/>
    <x v="1"/>
    <n v="4"/>
    <n v="12"/>
    <s v="Cash"/>
    <x v="1"/>
    <n v="48"/>
  </r>
  <r>
    <n v="534"/>
    <x v="3"/>
    <d v="2025-08-11T00:00:00"/>
    <x v="0"/>
    <x v="4"/>
    <x v="0"/>
    <x v="1"/>
    <n v="1"/>
    <n v="12"/>
    <s v="Mobile Wallet"/>
    <x v="1"/>
    <n v="12"/>
  </r>
  <r>
    <n v="1712"/>
    <x v="3"/>
    <d v="2025-09-07T00:00:00"/>
    <x v="2"/>
    <x v="0"/>
    <x v="0"/>
    <x v="4"/>
    <n v="2"/>
    <n v="8"/>
    <s v="Mobile Wallet"/>
    <x v="1"/>
    <n v="16"/>
  </r>
  <r>
    <n v="1825"/>
    <x v="1"/>
    <d v="2025-09-03T00:00:00"/>
    <x v="2"/>
    <x v="6"/>
    <x v="0"/>
    <x v="1"/>
    <n v="3"/>
    <n v="12"/>
    <s v="Mobile Wallet"/>
    <x v="1"/>
    <n v="36"/>
  </r>
  <r>
    <n v="28"/>
    <x v="4"/>
    <d v="2025-09-06T00:00:00"/>
    <x v="2"/>
    <x v="2"/>
    <x v="0"/>
    <x v="3"/>
    <n v="1"/>
    <n v="30"/>
    <s v="Cash"/>
    <x v="1"/>
    <n v="30"/>
  </r>
  <r>
    <n v="306"/>
    <x v="1"/>
    <d v="2025-08-27T00:00:00"/>
    <x v="0"/>
    <x v="6"/>
    <x v="0"/>
    <x v="1"/>
    <n v="4"/>
    <n v="12"/>
    <s v="Cash"/>
    <x v="1"/>
    <n v="48"/>
  </r>
  <r>
    <n v="1226"/>
    <x v="0"/>
    <d v="2025-08-03T00:00:00"/>
    <x v="0"/>
    <x v="0"/>
    <x v="0"/>
    <x v="2"/>
    <n v="2"/>
    <n v="20"/>
    <s v="Card"/>
    <x v="1"/>
    <n v="40"/>
  </r>
  <r>
    <n v="1076"/>
    <x v="1"/>
    <d v="2025-07-22T00:00:00"/>
    <x v="1"/>
    <x v="3"/>
    <x v="0"/>
    <x v="2"/>
    <n v="4"/>
    <n v="20"/>
    <s v="Mobile Wallet"/>
    <x v="1"/>
    <n v="80"/>
  </r>
  <r>
    <n v="904"/>
    <x v="5"/>
    <d v="2025-08-17T00:00:00"/>
    <x v="0"/>
    <x v="0"/>
    <x v="0"/>
    <x v="1"/>
    <n v="3"/>
    <n v="12"/>
    <s v="Card"/>
    <x v="1"/>
    <n v="36"/>
  </r>
  <r>
    <n v="1846"/>
    <x v="5"/>
    <d v="2025-08-23T00:00:00"/>
    <x v="0"/>
    <x v="2"/>
    <x v="0"/>
    <x v="4"/>
    <n v="3"/>
    <n v="8"/>
    <s v="Cash"/>
    <x v="1"/>
    <n v="24"/>
  </r>
  <r>
    <n v="20"/>
    <x v="7"/>
    <d v="2025-09-20T00:00:00"/>
    <x v="2"/>
    <x v="2"/>
    <x v="0"/>
    <x v="4"/>
    <n v="4"/>
    <n v="8"/>
    <s v="Card"/>
    <x v="1"/>
    <n v="32"/>
  </r>
  <r>
    <n v="961"/>
    <x v="3"/>
    <d v="2025-08-12T00:00:00"/>
    <x v="0"/>
    <x v="3"/>
    <x v="0"/>
    <x v="1"/>
    <n v="4"/>
    <n v="12"/>
    <s v="Cash"/>
    <x v="1"/>
    <n v="48"/>
  </r>
  <r>
    <n v="1429"/>
    <x v="0"/>
    <d v="2025-08-15T00:00:00"/>
    <x v="0"/>
    <x v="1"/>
    <x v="0"/>
    <x v="2"/>
    <n v="4"/>
    <n v="20"/>
    <s v="Mobile Wallet"/>
    <x v="1"/>
    <n v="80"/>
  </r>
  <r>
    <n v="1150"/>
    <x v="3"/>
    <d v="2025-07-11T00:00:00"/>
    <x v="1"/>
    <x v="1"/>
    <x v="0"/>
    <x v="1"/>
    <n v="4"/>
    <n v="12"/>
    <s v="Card"/>
    <x v="1"/>
    <n v="48"/>
  </r>
  <r>
    <n v="1445"/>
    <x v="7"/>
    <d v="2025-07-12T00:00:00"/>
    <x v="1"/>
    <x v="2"/>
    <x v="0"/>
    <x v="3"/>
    <n v="4"/>
    <n v="30"/>
    <s v="Cash"/>
    <x v="1"/>
    <n v="120"/>
  </r>
  <r>
    <n v="156"/>
    <x v="4"/>
    <d v="2025-07-19T00:00:00"/>
    <x v="1"/>
    <x v="2"/>
    <x v="0"/>
    <x v="1"/>
    <n v="4"/>
    <n v="12"/>
    <s v="Cash"/>
    <x v="1"/>
    <n v="48"/>
  </r>
  <r>
    <n v="1940"/>
    <x v="5"/>
    <d v="2025-09-11T00:00:00"/>
    <x v="2"/>
    <x v="5"/>
    <x v="0"/>
    <x v="1"/>
    <n v="3"/>
    <n v="12"/>
    <s v="Cash"/>
    <x v="1"/>
    <n v="36"/>
  </r>
  <r>
    <n v="1410"/>
    <x v="4"/>
    <d v="2025-07-19T00:00:00"/>
    <x v="1"/>
    <x v="2"/>
    <x v="0"/>
    <x v="1"/>
    <n v="5"/>
    <n v="12"/>
    <s v="Cash"/>
    <x v="1"/>
    <n v="60"/>
  </r>
  <r>
    <n v="1791"/>
    <x v="1"/>
    <d v="2025-08-23T00:00:00"/>
    <x v="0"/>
    <x v="2"/>
    <x v="0"/>
    <x v="1"/>
    <n v="4"/>
    <n v="12"/>
    <s v="Card"/>
    <x v="1"/>
    <n v="48"/>
  </r>
  <r>
    <n v="1882"/>
    <x v="4"/>
    <d v="2025-07-08T00:00:00"/>
    <x v="1"/>
    <x v="3"/>
    <x v="0"/>
    <x v="4"/>
    <n v="3"/>
    <n v="8"/>
    <s v="Cash"/>
    <x v="1"/>
    <n v="24"/>
  </r>
  <r>
    <n v="1171"/>
    <x v="2"/>
    <d v="2025-07-14T00:00:00"/>
    <x v="1"/>
    <x v="4"/>
    <x v="0"/>
    <x v="4"/>
    <n v="4"/>
    <n v="8"/>
    <s v="Mobile Wallet"/>
    <x v="1"/>
    <n v="32"/>
  </r>
  <r>
    <n v="579"/>
    <x v="4"/>
    <d v="2025-09-22T00:00:00"/>
    <x v="2"/>
    <x v="4"/>
    <x v="0"/>
    <x v="1"/>
    <n v="2"/>
    <n v="12"/>
    <s v="Card"/>
    <x v="1"/>
    <n v="24"/>
  </r>
  <r>
    <n v="322"/>
    <x v="1"/>
    <d v="2025-07-12T00:00:00"/>
    <x v="1"/>
    <x v="2"/>
    <x v="0"/>
    <x v="4"/>
    <n v="1"/>
    <n v="8"/>
    <s v="Card"/>
    <x v="1"/>
    <n v="8"/>
  </r>
  <r>
    <n v="1010"/>
    <x v="2"/>
    <d v="2025-07-08T00:00:00"/>
    <x v="1"/>
    <x v="3"/>
    <x v="0"/>
    <x v="1"/>
    <n v="4"/>
    <n v="12"/>
    <s v="Mobile Wallet"/>
    <x v="1"/>
    <n v="48"/>
  </r>
  <r>
    <n v="1717"/>
    <x v="2"/>
    <d v="2025-09-28T00:00:00"/>
    <x v="2"/>
    <x v="0"/>
    <x v="0"/>
    <x v="1"/>
    <n v="1"/>
    <n v="12"/>
    <s v="Cash"/>
    <x v="1"/>
    <n v="12"/>
  </r>
  <r>
    <n v="1555"/>
    <x v="6"/>
    <d v="2025-08-08T00:00:00"/>
    <x v="0"/>
    <x v="1"/>
    <x v="0"/>
    <x v="1"/>
    <n v="1"/>
    <n v="12"/>
    <s v="Card"/>
    <x v="1"/>
    <n v="12"/>
  </r>
  <r>
    <n v="975"/>
    <x v="6"/>
    <d v="2025-08-16T00:00:00"/>
    <x v="0"/>
    <x v="2"/>
    <x v="0"/>
    <x v="1"/>
    <n v="3"/>
    <n v="12"/>
    <s v="Cash"/>
    <x v="1"/>
    <n v="36"/>
  </r>
  <r>
    <n v="1084"/>
    <x v="6"/>
    <d v="2025-07-26T00:00:00"/>
    <x v="1"/>
    <x v="2"/>
    <x v="0"/>
    <x v="0"/>
    <n v="3"/>
    <n v="25"/>
    <s v="Mobile Wallet"/>
    <x v="1"/>
    <n v="75"/>
  </r>
  <r>
    <n v="1990"/>
    <x v="1"/>
    <d v="2025-08-31T00:00:00"/>
    <x v="0"/>
    <x v="0"/>
    <x v="0"/>
    <x v="2"/>
    <n v="2"/>
    <n v="20"/>
    <s v="Card"/>
    <x v="1"/>
    <n v="40"/>
  </r>
  <r>
    <n v="1396"/>
    <x v="0"/>
    <d v="2025-09-25T00:00:00"/>
    <x v="2"/>
    <x v="5"/>
    <x v="0"/>
    <x v="3"/>
    <n v="3"/>
    <n v="30"/>
    <s v="Cash"/>
    <x v="1"/>
    <n v="90"/>
  </r>
  <r>
    <n v="46"/>
    <x v="6"/>
    <d v="2025-08-22T00:00:00"/>
    <x v="0"/>
    <x v="1"/>
    <x v="0"/>
    <x v="4"/>
    <n v="2"/>
    <n v="8"/>
    <s v="Mobile Wallet"/>
    <x v="1"/>
    <n v="16"/>
  </r>
  <r>
    <n v="210"/>
    <x v="1"/>
    <d v="2025-08-23T00:00:00"/>
    <x v="0"/>
    <x v="2"/>
    <x v="0"/>
    <x v="3"/>
    <n v="1"/>
    <n v="30"/>
    <s v="Cash"/>
    <x v="1"/>
    <n v="30"/>
  </r>
  <r>
    <n v="535"/>
    <x v="7"/>
    <d v="2025-09-04T00:00:00"/>
    <x v="2"/>
    <x v="5"/>
    <x v="0"/>
    <x v="4"/>
    <n v="2"/>
    <n v="8"/>
    <s v="Card"/>
    <x v="1"/>
    <n v="16"/>
  </r>
  <r>
    <n v="87"/>
    <x v="0"/>
    <d v="2025-09-25T00:00:00"/>
    <x v="2"/>
    <x v="5"/>
    <x v="0"/>
    <x v="1"/>
    <n v="3"/>
    <n v="12"/>
    <s v="Cash"/>
    <x v="1"/>
    <n v="36"/>
  </r>
  <r>
    <n v="1692"/>
    <x v="0"/>
    <d v="2025-07-27T00:00:00"/>
    <x v="1"/>
    <x v="0"/>
    <x v="0"/>
    <x v="0"/>
    <n v="3"/>
    <n v="25"/>
    <s v="Cash"/>
    <x v="1"/>
    <n v="75"/>
  </r>
  <r>
    <n v="1652"/>
    <x v="0"/>
    <d v="2025-07-03T00:00:00"/>
    <x v="1"/>
    <x v="5"/>
    <x v="0"/>
    <x v="1"/>
    <n v="1"/>
    <n v="12"/>
    <s v="Cash"/>
    <x v="1"/>
    <n v="12"/>
  </r>
  <r>
    <n v="1594"/>
    <x v="6"/>
    <d v="2025-08-12T00:00:00"/>
    <x v="0"/>
    <x v="3"/>
    <x v="0"/>
    <x v="0"/>
    <n v="5"/>
    <n v="25"/>
    <s v="Mobile Wallet"/>
    <x v="1"/>
    <n v="125"/>
  </r>
  <r>
    <n v="522"/>
    <x v="5"/>
    <d v="2025-07-12T00:00:00"/>
    <x v="1"/>
    <x v="2"/>
    <x v="0"/>
    <x v="1"/>
    <n v="2"/>
    <n v="12"/>
    <s v="Card"/>
    <x v="1"/>
    <n v="24"/>
  </r>
  <r>
    <n v="264"/>
    <x v="3"/>
    <d v="2025-08-17T00:00:00"/>
    <x v="0"/>
    <x v="0"/>
    <x v="0"/>
    <x v="1"/>
    <n v="3"/>
    <n v="12"/>
    <s v="Cash"/>
    <x v="1"/>
    <n v="36"/>
  </r>
  <r>
    <n v="1404"/>
    <x v="0"/>
    <d v="2025-09-20T00:00:00"/>
    <x v="2"/>
    <x v="2"/>
    <x v="0"/>
    <x v="1"/>
    <n v="2"/>
    <n v="12"/>
    <s v="Mobile Wallet"/>
    <x v="1"/>
    <n v="24"/>
  </r>
  <r>
    <n v="1106"/>
    <x v="6"/>
    <d v="2025-07-07T00:00:00"/>
    <x v="1"/>
    <x v="4"/>
    <x v="0"/>
    <x v="1"/>
    <n v="5"/>
    <n v="12"/>
    <s v="Cash"/>
    <x v="1"/>
    <n v="60"/>
  </r>
  <r>
    <n v="927"/>
    <x v="1"/>
    <d v="2025-07-12T00:00:00"/>
    <x v="1"/>
    <x v="2"/>
    <x v="0"/>
    <x v="2"/>
    <n v="2"/>
    <n v="20"/>
    <s v="Card"/>
    <x v="1"/>
    <n v="40"/>
  </r>
  <r>
    <n v="467"/>
    <x v="2"/>
    <d v="2025-07-26T00:00:00"/>
    <x v="1"/>
    <x v="2"/>
    <x v="0"/>
    <x v="1"/>
    <n v="2"/>
    <n v="12"/>
    <s v="Card"/>
    <x v="1"/>
    <n v="24"/>
  </r>
  <r>
    <n v="35"/>
    <x v="0"/>
    <d v="2025-08-16T00:00:00"/>
    <x v="0"/>
    <x v="2"/>
    <x v="0"/>
    <x v="0"/>
    <n v="4"/>
    <n v="25"/>
    <s v="Card"/>
    <x v="1"/>
    <n v="100"/>
  </r>
  <r>
    <n v="706"/>
    <x v="1"/>
    <d v="2025-07-16T00:00:00"/>
    <x v="1"/>
    <x v="6"/>
    <x v="0"/>
    <x v="2"/>
    <n v="4"/>
    <n v="20"/>
    <s v="Cash"/>
    <x v="1"/>
    <n v="80"/>
  </r>
  <r>
    <n v="109"/>
    <x v="0"/>
    <d v="2025-08-31T00:00:00"/>
    <x v="0"/>
    <x v="0"/>
    <x v="0"/>
    <x v="1"/>
    <n v="1"/>
    <n v="12"/>
    <s v="Card"/>
    <x v="1"/>
    <n v="12"/>
  </r>
  <r>
    <n v="778"/>
    <x v="2"/>
    <d v="2025-08-09T00:00:00"/>
    <x v="0"/>
    <x v="2"/>
    <x v="0"/>
    <x v="1"/>
    <n v="4"/>
    <n v="12"/>
    <s v="Mobile Wallet"/>
    <x v="1"/>
    <n v="48"/>
  </r>
  <r>
    <n v="1163"/>
    <x v="4"/>
    <d v="2025-09-28T00:00:00"/>
    <x v="2"/>
    <x v="0"/>
    <x v="0"/>
    <x v="1"/>
    <n v="3"/>
    <n v="12"/>
    <s v="Card"/>
    <x v="1"/>
    <n v="36"/>
  </r>
  <r>
    <n v="474"/>
    <x v="6"/>
    <d v="2025-07-10T00:00:00"/>
    <x v="1"/>
    <x v="5"/>
    <x v="0"/>
    <x v="4"/>
    <n v="5"/>
    <n v="8"/>
    <s v="Card"/>
    <x v="1"/>
    <n v="40"/>
  </r>
  <r>
    <n v="448"/>
    <x v="0"/>
    <d v="2025-07-02T00:00:00"/>
    <x v="1"/>
    <x v="6"/>
    <x v="0"/>
    <x v="1"/>
    <n v="2"/>
    <n v="12"/>
    <s v="Card"/>
    <x v="1"/>
    <n v="24"/>
  </r>
  <r>
    <n v="1587"/>
    <x v="3"/>
    <d v="2025-07-11T00:00:00"/>
    <x v="1"/>
    <x v="1"/>
    <x v="0"/>
    <x v="1"/>
    <n v="4"/>
    <n v="12"/>
    <s v="Cash"/>
    <x v="1"/>
    <n v="48"/>
  </r>
  <r>
    <n v="944"/>
    <x v="1"/>
    <d v="2025-07-05T00:00:00"/>
    <x v="1"/>
    <x v="2"/>
    <x v="0"/>
    <x v="4"/>
    <n v="2"/>
    <n v="8"/>
    <s v="Card"/>
    <x v="1"/>
    <n v="16"/>
  </r>
  <r>
    <n v="1182"/>
    <x v="2"/>
    <d v="2025-07-27T00:00:00"/>
    <x v="1"/>
    <x v="0"/>
    <x v="0"/>
    <x v="1"/>
    <n v="5"/>
    <n v="12"/>
    <s v="Mobile Wallet"/>
    <x v="1"/>
    <n v="60"/>
  </r>
  <r>
    <n v="1776"/>
    <x v="2"/>
    <d v="2025-07-09T00:00:00"/>
    <x v="1"/>
    <x v="6"/>
    <x v="0"/>
    <x v="3"/>
    <n v="1"/>
    <n v="30"/>
    <s v="Cash"/>
    <x v="1"/>
    <n v="30"/>
  </r>
  <r>
    <n v="226"/>
    <x v="4"/>
    <d v="2025-09-07T00:00:00"/>
    <x v="2"/>
    <x v="0"/>
    <x v="0"/>
    <x v="1"/>
    <n v="2"/>
    <n v="12"/>
    <s v="Mobile Wallet"/>
    <x v="1"/>
    <n v="24"/>
  </r>
  <r>
    <n v="78"/>
    <x v="6"/>
    <d v="2025-07-14T00:00:00"/>
    <x v="1"/>
    <x v="4"/>
    <x v="0"/>
    <x v="1"/>
    <n v="4"/>
    <n v="12"/>
    <s v="Cash"/>
    <x v="1"/>
    <n v="48"/>
  </r>
  <r>
    <n v="1512"/>
    <x v="5"/>
    <d v="2025-09-02T00:00:00"/>
    <x v="2"/>
    <x v="3"/>
    <x v="0"/>
    <x v="1"/>
    <n v="1"/>
    <n v="12"/>
    <s v="Cash"/>
    <x v="1"/>
    <n v="12"/>
  </r>
  <r>
    <n v="1026"/>
    <x v="0"/>
    <d v="2025-08-12T00:00:00"/>
    <x v="0"/>
    <x v="3"/>
    <x v="0"/>
    <x v="1"/>
    <n v="2"/>
    <n v="12"/>
    <s v="Cash"/>
    <x v="1"/>
    <n v="24"/>
  </r>
  <r>
    <n v="1871"/>
    <x v="5"/>
    <d v="2025-07-20T00:00:00"/>
    <x v="1"/>
    <x v="0"/>
    <x v="0"/>
    <x v="1"/>
    <n v="5"/>
    <n v="12"/>
    <s v="Card"/>
    <x v="1"/>
    <n v="60"/>
  </r>
  <r>
    <n v="1207"/>
    <x v="1"/>
    <d v="2025-07-27T00:00:00"/>
    <x v="1"/>
    <x v="0"/>
    <x v="0"/>
    <x v="2"/>
    <n v="4"/>
    <n v="20"/>
    <s v="Mobile Wallet"/>
    <x v="1"/>
    <n v="80"/>
  </r>
  <r>
    <n v="44"/>
    <x v="2"/>
    <d v="2025-08-23T00:00:00"/>
    <x v="0"/>
    <x v="2"/>
    <x v="0"/>
    <x v="1"/>
    <n v="2"/>
    <n v="12"/>
    <s v="Cash"/>
    <x v="1"/>
    <n v="24"/>
  </r>
  <r>
    <n v="1436"/>
    <x v="4"/>
    <d v="2025-08-04T00:00:00"/>
    <x v="0"/>
    <x v="4"/>
    <x v="0"/>
    <x v="1"/>
    <n v="2"/>
    <n v="12"/>
    <s v="Mobile Wallet"/>
    <x v="1"/>
    <n v="24"/>
  </r>
  <r>
    <n v="1028"/>
    <x v="7"/>
    <d v="2025-07-28T00:00:00"/>
    <x v="1"/>
    <x v="4"/>
    <x v="0"/>
    <x v="0"/>
    <n v="5"/>
    <n v="25"/>
    <s v="Card"/>
    <x v="1"/>
    <n v="125"/>
  </r>
  <r>
    <n v="951"/>
    <x v="7"/>
    <d v="2025-08-28T00:00:00"/>
    <x v="0"/>
    <x v="5"/>
    <x v="0"/>
    <x v="2"/>
    <n v="4"/>
    <n v="20"/>
    <s v="Cash"/>
    <x v="1"/>
    <n v="80"/>
  </r>
  <r>
    <n v="250"/>
    <x v="7"/>
    <d v="2025-07-10T00:00:00"/>
    <x v="1"/>
    <x v="5"/>
    <x v="0"/>
    <x v="1"/>
    <n v="5"/>
    <n v="12"/>
    <s v="Card"/>
    <x v="1"/>
    <n v="60"/>
  </r>
  <r>
    <n v="934"/>
    <x v="3"/>
    <d v="2025-07-21T00:00:00"/>
    <x v="1"/>
    <x v="4"/>
    <x v="0"/>
    <x v="0"/>
    <n v="1"/>
    <n v="25"/>
    <s v="Cash"/>
    <x v="1"/>
    <n v="25"/>
  </r>
  <r>
    <n v="1726"/>
    <x v="0"/>
    <d v="2025-09-01T00:00:00"/>
    <x v="2"/>
    <x v="4"/>
    <x v="0"/>
    <x v="3"/>
    <n v="5"/>
    <n v="30"/>
    <s v="Card"/>
    <x v="1"/>
    <n v="150"/>
  </r>
  <r>
    <n v="1893"/>
    <x v="1"/>
    <d v="2025-07-02T00:00:00"/>
    <x v="1"/>
    <x v="6"/>
    <x v="0"/>
    <x v="4"/>
    <n v="1"/>
    <n v="8"/>
    <s v="Mobile Wallet"/>
    <x v="1"/>
    <n v="8"/>
  </r>
  <r>
    <n v="1319"/>
    <x v="4"/>
    <d v="2025-09-07T00:00:00"/>
    <x v="2"/>
    <x v="0"/>
    <x v="0"/>
    <x v="2"/>
    <n v="4"/>
    <n v="20"/>
    <s v="Mobile Wallet"/>
    <x v="1"/>
    <n v="80"/>
  </r>
  <r>
    <n v="1074"/>
    <x v="7"/>
    <d v="2025-08-09T00:00:00"/>
    <x v="0"/>
    <x v="2"/>
    <x v="0"/>
    <x v="1"/>
    <n v="2"/>
    <n v="12"/>
    <s v="Card"/>
    <x v="1"/>
    <n v="24"/>
  </r>
  <r>
    <n v="120"/>
    <x v="1"/>
    <d v="2025-08-16T00:00:00"/>
    <x v="0"/>
    <x v="2"/>
    <x v="0"/>
    <x v="2"/>
    <n v="1"/>
    <n v="20"/>
    <s v="Card"/>
    <x v="1"/>
    <n v="20"/>
  </r>
  <r>
    <n v="98"/>
    <x v="6"/>
    <d v="2025-08-17T00:00:00"/>
    <x v="0"/>
    <x v="0"/>
    <x v="0"/>
    <x v="0"/>
    <n v="2"/>
    <n v="25"/>
    <s v="Mobile Wallet"/>
    <x v="1"/>
    <n v="50"/>
  </r>
  <r>
    <n v="939"/>
    <x v="0"/>
    <d v="2025-09-19T00:00:00"/>
    <x v="2"/>
    <x v="1"/>
    <x v="0"/>
    <x v="3"/>
    <n v="1"/>
    <n v="30"/>
    <s v="Mobile Wallet"/>
    <x v="1"/>
    <n v="30"/>
  </r>
  <r>
    <n v="457"/>
    <x v="0"/>
    <d v="2025-07-26T00:00:00"/>
    <x v="1"/>
    <x v="2"/>
    <x v="0"/>
    <x v="1"/>
    <n v="1"/>
    <n v="12"/>
    <s v="Card"/>
    <x v="1"/>
    <n v="12"/>
  </r>
  <r>
    <n v="13"/>
    <x v="7"/>
    <d v="2025-07-18T00:00:00"/>
    <x v="1"/>
    <x v="1"/>
    <x v="0"/>
    <x v="3"/>
    <n v="4"/>
    <n v="30"/>
    <s v="Cash"/>
    <x v="1"/>
    <n v="120"/>
  </r>
  <r>
    <n v="1575"/>
    <x v="2"/>
    <d v="2025-08-08T00:00:00"/>
    <x v="0"/>
    <x v="1"/>
    <x v="0"/>
    <x v="2"/>
    <n v="4"/>
    <n v="20"/>
    <s v="Mobile Wallet"/>
    <x v="1"/>
    <n v="80"/>
  </r>
  <r>
    <n v="101"/>
    <x v="5"/>
    <d v="2025-07-19T00:00:00"/>
    <x v="1"/>
    <x v="2"/>
    <x v="0"/>
    <x v="3"/>
    <n v="4"/>
    <n v="30"/>
    <s v="Card"/>
    <x v="1"/>
    <n v="120"/>
  </r>
  <r>
    <n v="224"/>
    <x v="6"/>
    <d v="2025-08-02T00:00:00"/>
    <x v="0"/>
    <x v="2"/>
    <x v="0"/>
    <x v="1"/>
    <n v="1"/>
    <n v="12"/>
    <s v="Cash"/>
    <x v="1"/>
    <n v="12"/>
  </r>
  <r>
    <n v="333"/>
    <x v="6"/>
    <d v="2025-08-24T00:00:00"/>
    <x v="0"/>
    <x v="0"/>
    <x v="0"/>
    <x v="0"/>
    <n v="2"/>
    <n v="25"/>
    <s v="Card"/>
    <x v="1"/>
    <n v="50"/>
  </r>
  <r>
    <n v="1506"/>
    <x v="7"/>
    <d v="2025-08-06T00:00:00"/>
    <x v="0"/>
    <x v="6"/>
    <x v="0"/>
    <x v="0"/>
    <n v="1"/>
    <n v="25"/>
    <s v="Card"/>
    <x v="1"/>
    <n v="25"/>
  </r>
  <r>
    <n v="1271"/>
    <x v="4"/>
    <d v="2025-08-11T00:00:00"/>
    <x v="0"/>
    <x v="4"/>
    <x v="0"/>
    <x v="1"/>
    <n v="3"/>
    <n v="12"/>
    <s v="Mobile Wallet"/>
    <x v="1"/>
    <n v="36"/>
  </r>
  <r>
    <n v="90"/>
    <x v="4"/>
    <d v="2025-08-05T00:00:00"/>
    <x v="0"/>
    <x v="3"/>
    <x v="0"/>
    <x v="1"/>
    <n v="3"/>
    <n v="12"/>
    <s v="Mobile Wallet"/>
    <x v="1"/>
    <n v="36"/>
  </r>
  <r>
    <n v="1300"/>
    <x v="4"/>
    <d v="2025-09-19T00:00:00"/>
    <x v="2"/>
    <x v="1"/>
    <x v="0"/>
    <x v="2"/>
    <n v="2"/>
    <n v="20"/>
    <s v="Card"/>
    <x v="1"/>
    <n v="40"/>
  </r>
  <r>
    <n v="395"/>
    <x v="7"/>
    <d v="2025-07-05T00:00:00"/>
    <x v="1"/>
    <x v="2"/>
    <x v="0"/>
    <x v="2"/>
    <n v="2"/>
    <n v="20"/>
    <s v="Mobile Wallet"/>
    <x v="1"/>
    <n v="40"/>
  </r>
  <r>
    <n v="1078"/>
    <x v="3"/>
    <d v="2025-07-20T00:00:00"/>
    <x v="1"/>
    <x v="0"/>
    <x v="0"/>
    <x v="1"/>
    <n v="4"/>
    <n v="12"/>
    <s v="Mobile Wallet"/>
    <x v="1"/>
    <n v="48"/>
  </r>
  <r>
    <n v="1349"/>
    <x v="2"/>
    <d v="2025-09-10T00:00:00"/>
    <x v="2"/>
    <x v="6"/>
    <x v="0"/>
    <x v="1"/>
    <n v="4"/>
    <n v="12"/>
    <s v="Mobile Wallet"/>
    <x v="1"/>
    <n v="48"/>
  </r>
  <r>
    <n v="394"/>
    <x v="2"/>
    <d v="2025-08-13T00:00:00"/>
    <x v="0"/>
    <x v="6"/>
    <x v="0"/>
    <x v="1"/>
    <n v="4"/>
    <n v="12"/>
    <s v="Card"/>
    <x v="1"/>
    <n v="48"/>
  </r>
  <r>
    <n v="851"/>
    <x v="5"/>
    <d v="2025-08-06T00:00:00"/>
    <x v="0"/>
    <x v="6"/>
    <x v="0"/>
    <x v="4"/>
    <n v="5"/>
    <n v="8"/>
    <s v="Cash"/>
    <x v="1"/>
    <n v="40"/>
  </r>
  <r>
    <n v="1359"/>
    <x v="6"/>
    <d v="2025-08-16T00:00:00"/>
    <x v="0"/>
    <x v="2"/>
    <x v="0"/>
    <x v="2"/>
    <n v="3"/>
    <n v="20"/>
    <s v="Mobile Wallet"/>
    <x v="1"/>
    <n v="60"/>
  </r>
  <r>
    <n v="1730"/>
    <x v="0"/>
    <d v="2025-07-20T00:00:00"/>
    <x v="1"/>
    <x v="0"/>
    <x v="0"/>
    <x v="0"/>
    <n v="5"/>
    <n v="25"/>
    <s v="Mobile Wallet"/>
    <x v="1"/>
    <n v="125"/>
  </r>
  <r>
    <n v="1320"/>
    <x v="7"/>
    <d v="2025-09-07T00:00:00"/>
    <x v="2"/>
    <x v="0"/>
    <x v="0"/>
    <x v="4"/>
    <n v="5"/>
    <n v="8"/>
    <s v="Card"/>
    <x v="1"/>
    <n v="40"/>
  </r>
  <r>
    <n v="1428"/>
    <x v="7"/>
    <d v="2025-09-06T00:00:00"/>
    <x v="2"/>
    <x v="2"/>
    <x v="0"/>
    <x v="0"/>
    <n v="2"/>
    <n v="25"/>
    <s v="Mobile Wallet"/>
    <x v="1"/>
    <n v="50"/>
  </r>
  <r>
    <n v="237"/>
    <x v="0"/>
    <d v="2025-09-28T00:00:00"/>
    <x v="2"/>
    <x v="0"/>
    <x v="0"/>
    <x v="2"/>
    <n v="4"/>
    <n v="20"/>
    <s v="Cash"/>
    <x v="1"/>
    <n v="80"/>
  </r>
  <r>
    <n v="1795"/>
    <x v="2"/>
    <d v="2025-07-24T00:00:00"/>
    <x v="1"/>
    <x v="5"/>
    <x v="0"/>
    <x v="1"/>
    <n v="3"/>
    <n v="12"/>
    <s v="Card"/>
    <x v="1"/>
    <n v="36"/>
  </r>
  <r>
    <n v="678"/>
    <x v="2"/>
    <d v="2025-07-06T00:00:00"/>
    <x v="1"/>
    <x v="0"/>
    <x v="0"/>
    <x v="1"/>
    <n v="1"/>
    <n v="12"/>
    <s v="Mobile Wallet"/>
    <x v="1"/>
    <n v="12"/>
  </r>
  <r>
    <n v="1313"/>
    <x v="3"/>
    <d v="2025-09-21T00:00:00"/>
    <x v="2"/>
    <x v="0"/>
    <x v="0"/>
    <x v="4"/>
    <n v="2"/>
    <n v="8"/>
    <s v="Mobile Wallet"/>
    <x v="1"/>
    <n v="16"/>
  </r>
  <r>
    <n v="1121"/>
    <x v="4"/>
    <d v="2025-08-14T00:00:00"/>
    <x v="0"/>
    <x v="5"/>
    <x v="0"/>
    <x v="1"/>
    <n v="2"/>
    <n v="12"/>
    <s v="Cash"/>
    <x v="1"/>
    <n v="24"/>
  </r>
  <r>
    <n v="1637"/>
    <x v="3"/>
    <d v="2025-08-05T00:00:00"/>
    <x v="0"/>
    <x v="3"/>
    <x v="0"/>
    <x v="3"/>
    <n v="4"/>
    <n v="30"/>
    <s v="Card"/>
    <x v="1"/>
    <n v="120"/>
  </r>
  <r>
    <n v="1079"/>
    <x v="0"/>
    <d v="2025-08-16T00:00:00"/>
    <x v="0"/>
    <x v="2"/>
    <x v="0"/>
    <x v="1"/>
    <n v="1"/>
    <n v="12"/>
    <s v="Card"/>
    <x v="1"/>
    <n v="12"/>
  </r>
  <r>
    <n v="111"/>
    <x v="2"/>
    <d v="2025-07-13T00:00:00"/>
    <x v="1"/>
    <x v="0"/>
    <x v="0"/>
    <x v="1"/>
    <n v="1"/>
    <n v="12"/>
    <s v="Card"/>
    <x v="1"/>
    <n v="12"/>
  </r>
  <r>
    <n v="1108"/>
    <x v="0"/>
    <d v="2025-08-10T00:00:00"/>
    <x v="0"/>
    <x v="0"/>
    <x v="0"/>
    <x v="1"/>
    <n v="5"/>
    <n v="12"/>
    <s v="Card"/>
    <x v="1"/>
    <n v="60"/>
  </r>
  <r>
    <n v="275"/>
    <x v="3"/>
    <d v="2025-08-02T00:00:00"/>
    <x v="0"/>
    <x v="2"/>
    <x v="0"/>
    <x v="3"/>
    <n v="3"/>
    <n v="30"/>
    <s v="Card"/>
    <x v="1"/>
    <n v="90"/>
  </r>
  <r>
    <n v="1155"/>
    <x v="2"/>
    <d v="2025-08-25T00:00:00"/>
    <x v="0"/>
    <x v="4"/>
    <x v="0"/>
    <x v="1"/>
    <n v="2"/>
    <n v="12"/>
    <s v="Cash"/>
    <x v="1"/>
    <n v="24"/>
  </r>
  <r>
    <n v="922"/>
    <x v="5"/>
    <d v="2025-09-02T00:00:00"/>
    <x v="2"/>
    <x v="3"/>
    <x v="0"/>
    <x v="4"/>
    <n v="4"/>
    <n v="8"/>
    <s v="Card"/>
    <x v="1"/>
    <n v="32"/>
  </r>
  <r>
    <n v="1212"/>
    <x v="6"/>
    <d v="2025-08-08T00:00:00"/>
    <x v="0"/>
    <x v="1"/>
    <x v="0"/>
    <x v="4"/>
    <n v="1"/>
    <n v="8"/>
    <s v="Cash"/>
    <x v="1"/>
    <n v="8"/>
  </r>
  <r>
    <n v="89"/>
    <x v="6"/>
    <d v="2025-07-23T00:00:00"/>
    <x v="1"/>
    <x v="6"/>
    <x v="0"/>
    <x v="2"/>
    <n v="3"/>
    <n v="20"/>
    <s v="Cash"/>
    <x v="3"/>
    <n v="60"/>
  </r>
  <r>
    <n v="96"/>
    <x v="0"/>
    <d v="2025-08-01T00:00:00"/>
    <x v="0"/>
    <x v="1"/>
    <x v="0"/>
    <x v="4"/>
    <n v="3"/>
    <n v="8"/>
    <s v="Card"/>
    <x v="2"/>
    <n v="24"/>
  </r>
  <r>
    <n v="1067"/>
    <x v="1"/>
    <d v="2025-08-17T00:00:00"/>
    <x v="0"/>
    <x v="0"/>
    <x v="0"/>
    <x v="1"/>
    <n v="2"/>
    <n v="12"/>
    <s v="Mobile Wallet"/>
    <x v="3"/>
    <n v="24"/>
  </r>
  <r>
    <n v="572"/>
    <x v="7"/>
    <d v="2025-09-04T00:00:00"/>
    <x v="2"/>
    <x v="5"/>
    <x v="0"/>
    <x v="3"/>
    <n v="3"/>
    <n v="30"/>
    <s v="Cash"/>
    <x v="0"/>
    <n v="90"/>
  </r>
  <r>
    <n v="564"/>
    <x v="5"/>
    <d v="2025-08-19T00:00:00"/>
    <x v="0"/>
    <x v="3"/>
    <x v="0"/>
    <x v="1"/>
    <n v="3"/>
    <n v="12"/>
    <s v="Cash"/>
    <x v="0"/>
    <n v="36"/>
  </r>
  <r>
    <n v="658"/>
    <x v="7"/>
    <d v="2025-07-07T00:00:00"/>
    <x v="1"/>
    <x v="4"/>
    <x v="0"/>
    <x v="2"/>
    <n v="1"/>
    <n v="20"/>
    <s v="Cash"/>
    <x v="2"/>
    <n v="20"/>
  </r>
  <r>
    <n v="883"/>
    <x v="7"/>
    <d v="2025-07-31T00:00:00"/>
    <x v="1"/>
    <x v="5"/>
    <x v="0"/>
    <x v="1"/>
    <n v="3"/>
    <n v="12"/>
    <s v="Cash"/>
    <x v="1"/>
    <n v="36"/>
  </r>
  <r>
    <n v="1666"/>
    <x v="0"/>
    <d v="2025-09-16T00:00:00"/>
    <x v="2"/>
    <x v="3"/>
    <x v="0"/>
    <x v="1"/>
    <n v="5"/>
    <n v="12"/>
    <s v="Mobile Wallet"/>
    <x v="3"/>
    <n v="60"/>
  </r>
  <r>
    <n v="441"/>
    <x v="3"/>
    <d v="2025-09-20T00:00:00"/>
    <x v="2"/>
    <x v="2"/>
    <x v="0"/>
    <x v="0"/>
    <n v="2"/>
    <n v="25"/>
    <s v="Mobile Wallet"/>
    <x v="0"/>
    <n v="50"/>
  </r>
  <r>
    <n v="220"/>
    <x v="5"/>
    <d v="2025-08-24T00:00:00"/>
    <x v="0"/>
    <x v="0"/>
    <x v="0"/>
    <x v="1"/>
    <n v="3"/>
    <n v="12"/>
    <s v="Mobile Wallet"/>
    <x v="0"/>
    <n v="36"/>
  </r>
  <r>
    <n v="107"/>
    <x v="0"/>
    <d v="2025-08-16T00:00:00"/>
    <x v="0"/>
    <x v="2"/>
    <x v="0"/>
    <x v="2"/>
    <n v="4"/>
    <n v="20"/>
    <s v="Mobile Wallet"/>
    <x v="1"/>
    <n v="80"/>
  </r>
  <r>
    <n v="60"/>
    <x v="1"/>
    <d v="2025-07-02T00:00:00"/>
    <x v="1"/>
    <x v="6"/>
    <x v="0"/>
    <x v="0"/>
    <n v="2"/>
    <n v="25"/>
    <s v="Mobile Wallet"/>
    <x v="0"/>
    <n v="50"/>
  </r>
  <r>
    <n v="385"/>
    <x v="1"/>
    <d v="2025-09-14T00:00:00"/>
    <x v="2"/>
    <x v="0"/>
    <x v="0"/>
    <x v="1"/>
    <n v="5"/>
    <n v="12"/>
    <s v="Card"/>
    <x v="2"/>
    <n v="60"/>
  </r>
  <r>
    <n v="1599"/>
    <x v="2"/>
    <d v="2025-08-09T00:00:00"/>
    <x v="0"/>
    <x v="2"/>
    <x v="0"/>
    <x v="1"/>
    <n v="5"/>
    <n v="12"/>
    <s v="Mobile Wallet"/>
    <x v="2"/>
    <n v="60"/>
  </r>
  <r>
    <n v="501"/>
    <x v="5"/>
    <d v="2025-07-15T00:00:00"/>
    <x v="1"/>
    <x v="3"/>
    <x v="0"/>
    <x v="2"/>
    <n v="2"/>
    <n v="20"/>
    <s v="Mobile Wallet"/>
    <x v="2"/>
    <n v="40"/>
  </r>
  <r>
    <n v="686"/>
    <x v="0"/>
    <d v="2025-09-17T00:00:00"/>
    <x v="2"/>
    <x v="6"/>
    <x v="0"/>
    <x v="1"/>
    <n v="2"/>
    <n v="12"/>
    <s v="Card"/>
    <x v="1"/>
    <n v="24"/>
  </r>
  <r>
    <n v="1572"/>
    <x v="2"/>
    <d v="2025-08-22T00:00:00"/>
    <x v="0"/>
    <x v="1"/>
    <x v="0"/>
    <x v="0"/>
    <n v="2"/>
    <n v="25"/>
    <s v="Mobile Wallet"/>
    <x v="0"/>
    <n v="50"/>
  </r>
  <r>
    <n v="1779"/>
    <x v="2"/>
    <d v="2025-08-16T00:00:00"/>
    <x v="0"/>
    <x v="2"/>
    <x v="0"/>
    <x v="4"/>
    <n v="5"/>
    <n v="8"/>
    <s v="Cash"/>
    <x v="0"/>
    <n v="40"/>
  </r>
  <r>
    <n v="1047"/>
    <x v="7"/>
    <d v="2025-08-11T00:00:00"/>
    <x v="0"/>
    <x v="4"/>
    <x v="0"/>
    <x v="1"/>
    <n v="4"/>
    <n v="12"/>
    <s v="Cash"/>
    <x v="1"/>
    <n v="48"/>
  </r>
  <r>
    <n v="1670"/>
    <x v="6"/>
    <d v="2025-08-07T00:00:00"/>
    <x v="0"/>
    <x v="5"/>
    <x v="0"/>
    <x v="1"/>
    <n v="5"/>
    <n v="12"/>
    <s v="Card"/>
    <x v="3"/>
    <n v="60"/>
  </r>
  <r>
    <n v="1253"/>
    <x v="2"/>
    <d v="2025-09-24T00:00:00"/>
    <x v="2"/>
    <x v="6"/>
    <x v="0"/>
    <x v="0"/>
    <n v="5"/>
    <n v="25"/>
    <s v="Card"/>
    <x v="0"/>
    <n v="125"/>
  </r>
  <r>
    <n v="1989"/>
    <x v="7"/>
    <d v="2025-09-08T00:00:00"/>
    <x v="2"/>
    <x v="4"/>
    <x v="0"/>
    <x v="1"/>
    <n v="5"/>
    <n v="12"/>
    <s v="Card"/>
    <x v="0"/>
    <n v="60"/>
  </r>
  <r>
    <n v="1308"/>
    <x v="2"/>
    <d v="2025-08-27T00:00:00"/>
    <x v="0"/>
    <x v="6"/>
    <x v="0"/>
    <x v="1"/>
    <n v="2"/>
    <n v="12"/>
    <s v="Mobile Wallet"/>
    <x v="0"/>
    <n v="24"/>
  </r>
  <r>
    <n v="462"/>
    <x v="1"/>
    <d v="2025-07-02T00:00:00"/>
    <x v="1"/>
    <x v="6"/>
    <x v="0"/>
    <x v="2"/>
    <n v="2"/>
    <n v="20"/>
    <s v="Card"/>
    <x v="0"/>
    <n v="40"/>
  </r>
  <r>
    <n v="147"/>
    <x v="7"/>
    <d v="2025-07-13T00:00:00"/>
    <x v="1"/>
    <x v="0"/>
    <x v="0"/>
    <x v="1"/>
    <n v="4"/>
    <n v="12"/>
    <s v="Mobile Wallet"/>
    <x v="0"/>
    <n v="48"/>
  </r>
  <r>
    <n v="314"/>
    <x v="5"/>
    <d v="2025-07-24T00:00:00"/>
    <x v="1"/>
    <x v="5"/>
    <x v="0"/>
    <x v="4"/>
    <n v="2"/>
    <n v="8"/>
    <s v="Cash"/>
    <x v="0"/>
    <n v="16"/>
  </r>
  <r>
    <n v="770"/>
    <x v="3"/>
    <d v="2025-09-06T00:00:00"/>
    <x v="2"/>
    <x v="2"/>
    <x v="0"/>
    <x v="4"/>
    <n v="3"/>
    <n v="8"/>
    <s v="Mobile Wallet"/>
    <x v="0"/>
    <n v="24"/>
  </r>
  <r>
    <n v="1832"/>
    <x v="1"/>
    <d v="2025-07-18T00:00:00"/>
    <x v="1"/>
    <x v="1"/>
    <x v="0"/>
    <x v="2"/>
    <n v="3"/>
    <n v="20"/>
    <s v="Cash"/>
    <x v="0"/>
    <n v="60"/>
  </r>
  <r>
    <n v="1193"/>
    <x v="1"/>
    <d v="2025-08-30T00:00:00"/>
    <x v="0"/>
    <x v="2"/>
    <x v="0"/>
    <x v="3"/>
    <n v="2"/>
    <n v="30"/>
    <s v="Cash"/>
    <x v="0"/>
    <n v="60"/>
  </r>
  <r>
    <n v="1305"/>
    <x v="4"/>
    <d v="2025-09-07T00:00:00"/>
    <x v="2"/>
    <x v="0"/>
    <x v="0"/>
    <x v="1"/>
    <n v="4"/>
    <n v="12"/>
    <s v="Card"/>
    <x v="3"/>
    <n v="48"/>
  </r>
  <r>
    <n v="599"/>
    <x v="6"/>
    <d v="2025-08-18T00:00:00"/>
    <x v="0"/>
    <x v="4"/>
    <x v="0"/>
    <x v="1"/>
    <n v="5"/>
    <n v="12"/>
    <s v="Mobile Wallet"/>
    <x v="2"/>
    <n v="60"/>
  </r>
  <r>
    <n v="47"/>
    <x v="2"/>
    <d v="2025-08-11T00:00:00"/>
    <x v="0"/>
    <x v="4"/>
    <x v="0"/>
    <x v="1"/>
    <n v="4"/>
    <n v="12"/>
    <s v="Card"/>
    <x v="3"/>
    <n v="48"/>
  </r>
  <r>
    <n v="1179"/>
    <x v="5"/>
    <d v="2025-07-20T00:00:00"/>
    <x v="1"/>
    <x v="0"/>
    <x v="0"/>
    <x v="2"/>
    <n v="4"/>
    <n v="20"/>
    <s v="Mobile Wallet"/>
    <x v="3"/>
    <n v="80"/>
  </r>
  <r>
    <n v="660"/>
    <x v="4"/>
    <d v="2025-09-14T00:00:00"/>
    <x v="2"/>
    <x v="0"/>
    <x v="0"/>
    <x v="4"/>
    <n v="3"/>
    <n v="8"/>
    <s v="Cash"/>
    <x v="3"/>
    <n v="24"/>
  </r>
  <r>
    <n v="1394"/>
    <x v="0"/>
    <d v="2025-07-22T00:00:00"/>
    <x v="1"/>
    <x v="3"/>
    <x v="0"/>
    <x v="1"/>
    <n v="2"/>
    <n v="12"/>
    <s v="Cash"/>
    <x v="0"/>
    <n v="24"/>
  </r>
  <r>
    <n v="696"/>
    <x v="6"/>
    <d v="2025-07-08T00:00:00"/>
    <x v="1"/>
    <x v="3"/>
    <x v="0"/>
    <x v="0"/>
    <n v="5"/>
    <n v="25"/>
    <s v="Card"/>
    <x v="1"/>
    <n v="125"/>
  </r>
  <r>
    <n v="1007"/>
    <x v="6"/>
    <d v="2025-07-10T00:00:00"/>
    <x v="1"/>
    <x v="5"/>
    <x v="0"/>
    <x v="3"/>
    <n v="3"/>
    <n v="30"/>
    <s v="Mobile Wallet"/>
    <x v="0"/>
    <n v="90"/>
  </r>
  <r>
    <n v="1502"/>
    <x v="0"/>
    <d v="2025-07-22T00:00:00"/>
    <x v="1"/>
    <x v="3"/>
    <x v="0"/>
    <x v="2"/>
    <n v="4"/>
    <n v="20"/>
    <s v="Card"/>
    <x v="3"/>
    <n v="80"/>
  </r>
  <r>
    <n v="1997"/>
    <x v="4"/>
    <d v="2025-07-04T00:00:00"/>
    <x v="1"/>
    <x v="1"/>
    <x v="0"/>
    <x v="1"/>
    <n v="2"/>
    <n v="12"/>
    <s v="Mobile Wallet"/>
    <x v="2"/>
    <n v="24"/>
  </r>
  <r>
    <n v="918"/>
    <x v="6"/>
    <d v="2025-09-24T00:00:00"/>
    <x v="2"/>
    <x v="6"/>
    <x v="0"/>
    <x v="2"/>
    <n v="3"/>
    <n v="20"/>
    <s v="Mobile Wallet"/>
    <x v="0"/>
    <n v="60"/>
  </r>
  <r>
    <n v="1848"/>
    <x v="2"/>
    <d v="2025-09-02T00:00:00"/>
    <x v="2"/>
    <x v="3"/>
    <x v="0"/>
    <x v="0"/>
    <n v="1"/>
    <n v="25"/>
    <s v="Mobile Wallet"/>
    <x v="0"/>
    <n v="25"/>
  </r>
  <r>
    <n v="1493"/>
    <x v="5"/>
    <d v="2025-09-27T00:00:00"/>
    <x v="2"/>
    <x v="2"/>
    <x v="0"/>
    <x v="2"/>
    <n v="3"/>
    <n v="20"/>
    <s v="Cash"/>
    <x v="2"/>
    <n v="60"/>
  </r>
  <r>
    <n v="1219"/>
    <x v="1"/>
    <d v="2025-09-25T00:00:00"/>
    <x v="2"/>
    <x v="5"/>
    <x v="0"/>
    <x v="4"/>
    <n v="4"/>
    <n v="8"/>
    <s v="Cash"/>
    <x v="1"/>
    <n v="32"/>
  </r>
  <r>
    <n v="328"/>
    <x v="5"/>
    <d v="2025-09-04T00:00:00"/>
    <x v="2"/>
    <x v="5"/>
    <x v="0"/>
    <x v="1"/>
    <n v="4"/>
    <n v="12"/>
    <s v="Cash"/>
    <x v="1"/>
    <n v="48"/>
  </r>
  <r>
    <n v="1491"/>
    <x v="3"/>
    <d v="2025-08-23T00:00:00"/>
    <x v="0"/>
    <x v="2"/>
    <x v="0"/>
    <x v="1"/>
    <n v="1"/>
    <n v="12"/>
    <s v="Cash"/>
    <x v="1"/>
    <n v="12"/>
  </r>
  <r>
    <n v="30"/>
    <x v="6"/>
    <d v="2025-07-26T00:00:00"/>
    <x v="1"/>
    <x v="2"/>
    <x v="1"/>
    <x v="4"/>
    <n v="1"/>
    <n v="8"/>
    <s v="Mobile Wallet"/>
    <x v="1"/>
    <n v="8"/>
  </r>
  <r>
    <n v="1784"/>
    <x v="0"/>
    <d v="2025-07-27T00:00:00"/>
    <x v="1"/>
    <x v="0"/>
    <x v="1"/>
    <x v="2"/>
    <n v="4"/>
    <n v="20"/>
    <s v="Cash"/>
    <x v="1"/>
    <n v="80"/>
  </r>
  <r>
    <n v="981"/>
    <x v="6"/>
    <d v="2025-07-12T00:00:00"/>
    <x v="1"/>
    <x v="2"/>
    <x v="3"/>
    <x v="1"/>
    <n v="2"/>
    <n v="12"/>
    <s v="Mobile Wallet"/>
    <x v="1"/>
    <n v="24"/>
  </r>
  <r>
    <n v="1800"/>
    <x v="3"/>
    <d v="2025-07-13T00:00:00"/>
    <x v="1"/>
    <x v="0"/>
    <x v="3"/>
    <x v="0"/>
    <n v="3"/>
    <n v="25"/>
    <s v="Card"/>
    <x v="1"/>
    <n v="75"/>
  </r>
  <r>
    <n v="693"/>
    <x v="1"/>
    <d v="2025-09-07T00:00:00"/>
    <x v="2"/>
    <x v="0"/>
    <x v="1"/>
    <x v="1"/>
    <n v="1"/>
    <n v="12"/>
    <s v="Mobile Wallet"/>
    <x v="1"/>
    <n v="12"/>
  </r>
  <r>
    <n v="1700"/>
    <x v="2"/>
    <d v="2025-07-26T00:00:00"/>
    <x v="1"/>
    <x v="2"/>
    <x v="3"/>
    <x v="1"/>
    <n v="5"/>
    <n v="12"/>
    <s v="Card"/>
    <x v="1"/>
    <n v="60"/>
  </r>
  <r>
    <n v="495"/>
    <x v="1"/>
    <d v="2025-07-28T00:00:00"/>
    <x v="1"/>
    <x v="4"/>
    <x v="3"/>
    <x v="0"/>
    <n v="2"/>
    <n v="25"/>
    <s v="Cash"/>
    <x v="1"/>
    <n v="50"/>
  </r>
  <r>
    <n v="1187"/>
    <x v="2"/>
    <d v="2025-09-16T00:00:00"/>
    <x v="2"/>
    <x v="3"/>
    <x v="0"/>
    <x v="1"/>
    <n v="2"/>
    <n v="12"/>
    <s v="Mobile Wallet"/>
    <x v="1"/>
    <n v="24"/>
  </r>
  <r>
    <n v="65"/>
    <x v="5"/>
    <d v="2025-09-28T00:00:00"/>
    <x v="2"/>
    <x v="0"/>
    <x v="0"/>
    <x v="1"/>
    <n v="3"/>
    <n v="12"/>
    <s v="Card"/>
    <x v="1"/>
    <n v="36"/>
  </r>
  <r>
    <n v="374"/>
    <x v="2"/>
    <d v="2025-08-17T00:00:00"/>
    <x v="0"/>
    <x v="0"/>
    <x v="1"/>
    <x v="1"/>
    <n v="3"/>
    <n v="12"/>
    <s v="Card"/>
    <x v="1"/>
    <n v="36"/>
  </r>
  <r>
    <n v="1484"/>
    <x v="3"/>
    <d v="2025-08-19T00:00:00"/>
    <x v="0"/>
    <x v="3"/>
    <x v="3"/>
    <x v="3"/>
    <n v="5"/>
    <n v="30"/>
    <s v="Card"/>
    <x v="1"/>
    <n v="150"/>
  </r>
  <r>
    <n v="1475"/>
    <x v="2"/>
    <d v="2025-07-20T00:00:00"/>
    <x v="1"/>
    <x v="0"/>
    <x v="3"/>
    <x v="2"/>
    <n v="5"/>
    <n v="20"/>
    <s v="Cash"/>
    <x v="1"/>
    <n v="100"/>
  </r>
  <r>
    <n v="193"/>
    <x v="3"/>
    <d v="2025-08-31T00:00:00"/>
    <x v="0"/>
    <x v="0"/>
    <x v="2"/>
    <x v="4"/>
    <n v="3"/>
    <n v="8"/>
    <s v="Cash"/>
    <x v="1"/>
    <n v="24"/>
  </r>
  <r>
    <n v="165"/>
    <x v="4"/>
    <d v="2025-08-02T00:00:00"/>
    <x v="0"/>
    <x v="2"/>
    <x v="2"/>
    <x v="1"/>
    <n v="4"/>
    <n v="12"/>
    <s v="Mobile Wallet"/>
    <x v="1"/>
    <n v="48"/>
  </r>
  <r>
    <n v="1669"/>
    <x v="5"/>
    <d v="2025-08-01T00:00:00"/>
    <x v="0"/>
    <x v="1"/>
    <x v="1"/>
    <x v="1"/>
    <n v="4"/>
    <n v="12"/>
    <s v="Card"/>
    <x v="1"/>
    <n v="48"/>
  </r>
  <r>
    <n v="1461"/>
    <x v="1"/>
    <d v="2025-09-17T00:00:00"/>
    <x v="2"/>
    <x v="6"/>
    <x v="1"/>
    <x v="1"/>
    <n v="3"/>
    <n v="12"/>
    <s v="Card"/>
    <x v="1"/>
    <n v="36"/>
  </r>
  <r>
    <n v="1588"/>
    <x v="3"/>
    <d v="2025-07-03T00:00:00"/>
    <x v="1"/>
    <x v="5"/>
    <x v="1"/>
    <x v="4"/>
    <n v="4"/>
    <n v="8"/>
    <s v="Cash"/>
    <x v="1"/>
    <n v="32"/>
  </r>
  <r>
    <n v="1144"/>
    <x v="5"/>
    <d v="2025-09-21T00:00:00"/>
    <x v="2"/>
    <x v="0"/>
    <x v="3"/>
    <x v="0"/>
    <n v="4"/>
    <n v="25"/>
    <s v="Cash"/>
    <x v="1"/>
    <n v="100"/>
  </r>
  <r>
    <n v="45"/>
    <x v="6"/>
    <d v="2025-09-22T00:00:00"/>
    <x v="2"/>
    <x v="4"/>
    <x v="1"/>
    <x v="2"/>
    <n v="1"/>
    <n v="20"/>
    <s v="Cash"/>
    <x v="1"/>
    <n v="20"/>
  </r>
  <r>
    <n v="671"/>
    <x v="3"/>
    <d v="2025-07-02T00:00:00"/>
    <x v="1"/>
    <x v="6"/>
    <x v="0"/>
    <x v="0"/>
    <n v="2"/>
    <n v="25"/>
    <s v="Card"/>
    <x v="1"/>
    <n v="50"/>
  </r>
  <r>
    <n v="1170"/>
    <x v="7"/>
    <d v="2025-09-06T00:00:00"/>
    <x v="2"/>
    <x v="2"/>
    <x v="1"/>
    <x v="1"/>
    <n v="1"/>
    <n v="12"/>
    <s v="Mobile Wallet"/>
    <x v="1"/>
    <n v="12"/>
  </r>
  <r>
    <n v="260"/>
    <x v="7"/>
    <d v="2025-07-06T00:00:00"/>
    <x v="1"/>
    <x v="0"/>
    <x v="0"/>
    <x v="1"/>
    <n v="2"/>
    <n v="12"/>
    <s v="Card"/>
    <x v="1"/>
    <n v="24"/>
  </r>
  <r>
    <n v="614"/>
    <x v="4"/>
    <d v="2025-07-25T00:00:00"/>
    <x v="1"/>
    <x v="1"/>
    <x v="1"/>
    <x v="4"/>
    <n v="3"/>
    <n v="8"/>
    <s v="Cash"/>
    <x v="1"/>
    <n v="24"/>
  </r>
  <r>
    <n v="1731"/>
    <x v="0"/>
    <d v="2025-08-09T00:00:00"/>
    <x v="0"/>
    <x v="2"/>
    <x v="2"/>
    <x v="1"/>
    <n v="4"/>
    <n v="12"/>
    <s v="Cash"/>
    <x v="1"/>
    <n v="48"/>
  </r>
  <r>
    <n v="412"/>
    <x v="2"/>
    <d v="2025-08-09T00:00:00"/>
    <x v="0"/>
    <x v="2"/>
    <x v="0"/>
    <x v="1"/>
    <n v="2"/>
    <n v="12"/>
    <s v="Card"/>
    <x v="1"/>
    <n v="24"/>
  </r>
  <r>
    <n v="1738"/>
    <x v="5"/>
    <d v="2025-09-30T00:00:00"/>
    <x v="2"/>
    <x v="3"/>
    <x v="3"/>
    <x v="4"/>
    <n v="2"/>
    <n v="8"/>
    <s v="Cash"/>
    <x v="1"/>
    <n v="16"/>
  </r>
  <r>
    <n v="1807"/>
    <x v="6"/>
    <d v="2025-08-22T00:00:00"/>
    <x v="0"/>
    <x v="1"/>
    <x v="2"/>
    <x v="1"/>
    <n v="3"/>
    <n v="12"/>
    <s v="Cash"/>
    <x v="1"/>
    <n v="36"/>
  </r>
  <r>
    <n v="687"/>
    <x v="0"/>
    <d v="2025-09-07T00:00:00"/>
    <x v="2"/>
    <x v="0"/>
    <x v="0"/>
    <x v="1"/>
    <n v="1"/>
    <n v="12"/>
    <s v="Card"/>
    <x v="1"/>
    <n v="12"/>
  </r>
  <r>
    <n v="15"/>
    <x v="2"/>
    <d v="2025-08-05T00:00:00"/>
    <x v="0"/>
    <x v="3"/>
    <x v="2"/>
    <x v="0"/>
    <n v="3"/>
    <n v="25"/>
    <s v="Card"/>
    <x v="1"/>
    <n v="75"/>
  </r>
  <r>
    <n v="837"/>
    <x v="7"/>
    <d v="2025-07-12T00:00:00"/>
    <x v="1"/>
    <x v="2"/>
    <x v="2"/>
    <x v="3"/>
    <n v="3"/>
    <n v="30"/>
    <s v="Card"/>
    <x v="1"/>
    <n v="90"/>
  </r>
  <r>
    <n v="1713"/>
    <x v="1"/>
    <d v="2025-07-18T00:00:00"/>
    <x v="1"/>
    <x v="1"/>
    <x v="3"/>
    <x v="4"/>
    <n v="1"/>
    <n v="8"/>
    <s v="Cash"/>
    <x v="1"/>
    <n v="8"/>
  </r>
  <r>
    <n v="1621"/>
    <x v="1"/>
    <d v="2025-09-11T00:00:00"/>
    <x v="2"/>
    <x v="5"/>
    <x v="2"/>
    <x v="4"/>
    <n v="2"/>
    <n v="8"/>
    <s v="Cash"/>
    <x v="1"/>
    <n v="16"/>
  </r>
  <r>
    <n v="802"/>
    <x v="0"/>
    <d v="2025-09-06T00:00:00"/>
    <x v="2"/>
    <x v="2"/>
    <x v="2"/>
    <x v="3"/>
    <n v="2"/>
    <n v="30"/>
    <s v="Cash"/>
    <x v="1"/>
    <n v="60"/>
  </r>
  <r>
    <n v="407"/>
    <x v="0"/>
    <d v="2025-08-10T00:00:00"/>
    <x v="0"/>
    <x v="0"/>
    <x v="2"/>
    <x v="1"/>
    <n v="2"/>
    <n v="12"/>
    <s v="Mobile Wallet"/>
    <x v="1"/>
    <n v="24"/>
  </r>
  <r>
    <n v="1151"/>
    <x v="1"/>
    <d v="2025-08-30T00:00:00"/>
    <x v="0"/>
    <x v="2"/>
    <x v="3"/>
    <x v="0"/>
    <n v="5"/>
    <n v="25"/>
    <s v="Cash"/>
    <x v="1"/>
    <n v="125"/>
  </r>
  <r>
    <n v="63"/>
    <x v="1"/>
    <d v="2025-08-13T00:00:00"/>
    <x v="0"/>
    <x v="6"/>
    <x v="0"/>
    <x v="2"/>
    <n v="1"/>
    <n v="20"/>
    <s v="Card"/>
    <x v="1"/>
    <n v="20"/>
  </r>
  <r>
    <n v="1925"/>
    <x v="4"/>
    <d v="2025-09-19T00:00:00"/>
    <x v="2"/>
    <x v="1"/>
    <x v="2"/>
    <x v="3"/>
    <n v="2"/>
    <n v="30"/>
    <s v="Mobile Wallet"/>
    <x v="1"/>
    <n v="60"/>
  </r>
  <r>
    <n v="1864"/>
    <x v="0"/>
    <d v="2025-09-30T00:00:00"/>
    <x v="2"/>
    <x v="3"/>
    <x v="1"/>
    <x v="1"/>
    <n v="4"/>
    <n v="12"/>
    <s v="Cash"/>
    <x v="1"/>
    <n v="48"/>
  </r>
  <r>
    <n v="479"/>
    <x v="3"/>
    <d v="2025-08-31T00:00:00"/>
    <x v="0"/>
    <x v="0"/>
    <x v="2"/>
    <x v="1"/>
    <n v="3"/>
    <n v="12"/>
    <s v="Mobile Wallet"/>
    <x v="1"/>
    <n v="36"/>
  </r>
  <r>
    <n v="1301"/>
    <x v="5"/>
    <d v="2025-09-20T00:00:00"/>
    <x v="2"/>
    <x v="2"/>
    <x v="2"/>
    <x v="1"/>
    <n v="5"/>
    <n v="12"/>
    <s v="Mobile Wallet"/>
    <x v="1"/>
    <n v="60"/>
  </r>
  <r>
    <n v="612"/>
    <x v="4"/>
    <d v="2025-07-06T00:00:00"/>
    <x v="1"/>
    <x v="0"/>
    <x v="1"/>
    <x v="1"/>
    <n v="2"/>
    <n v="12"/>
    <s v="Cash"/>
    <x v="1"/>
    <n v="24"/>
  </r>
  <r>
    <n v="329"/>
    <x v="2"/>
    <d v="2025-09-10T00:00:00"/>
    <x v="2"/>
    <x v="6"/>
    <x v="0"/>
    <x v="0"/>
    <n v="5"/>
    <n v="25"/>
    <s v="Card"/>
    <x v="1"/>
    <n v="125"/>
  </r>
  <r>
    <n v="1479"/>
    <x v="0"/>
    <d v="2025-08-21T00:00:00"/>
    <x v="0"/>
    <x v="5"/>
    <x v="1"/>
    <x v="1"/>
    <n v="5"/>
    <n v="12"/>
    <s v="Card"/>
    <x v="1"/>
    <n v="60"/>
  </r>
  <r>
    <n v="1733"/>
    <x v="5"/>
    <d v="2025-09-08T00:00:00"/>
    <x v="2"/>
    <x v="4"/>
    <x v="3"/>
    <x v="1"/>
    <n v="1"/>
    <n v="12"/>
    <s v="Cash"/>
    <x v="1"/>
    <n v="12"/>
  </r>
  <r>
    <n v="594"/>
    <x v="6"/>
    <d v="2025-09-15T00:00:00"/>
    <x v="2"/>
    <x v="4"/>
    <x v="1"/>
    <x v="0"/>
    <n v="1"/>
    <n v="25"/>
    <s v="Cash"/>
    <x v="1"/>
    <n v="25"/>
  </r>
  <r>
    <n v="1978"/>
    <x v="7"/>
    <d v="2025-07-10T00:00:00"/>
    <x v="1"/>
    <x v="5"/>
    <x v="1"/>
    <x v="0"/>
    <n v="3"/>
    <n v="25"/>
    <s v="Cash"/>
    <x v="1"/>
    <n v="75"/>
  </r>
  <r>
    <n v="668"/>
    <x v="6"/>
    <d v="2025-09-20T00:00:00"/>
    <x v="2"/>
    <x v="2"/>
    <x v="1"/>
    <x v="4"/>
    <n v="3"/>
    <n v="8"/>
    <s v="Mobile Wallet"/>
    <x v="1"/>
    <n v="24"/>
  </r>
  <r>
    <n v="1822"/>
    <x v="5"/>
    <d v="2025-09-07T00:00:00"/>
    <x v="2"/>
    <x v="0"/>
    <x v="2"/>
    <x v="1"/>
    <n v="5"/>
    <n v="12"/>
    <s v="Cash"/>
    <x v="1"/>
    <n v="60"/>
  </r>
  <r>
    <n v="1610"/>
    <x v="7"/>
    <d v="2025-07-18T00:00:00"/>
    <x v="1"/>
    <x v="1"/>
    <x v="1"/>
    <x v="3"/>
    <n v="3"/>
    <n v="30"/>
    <s v="Card"/>
    <x v="1"/>
    <n v="90"/>
  </r>
  <r>
    <n v="453"/>
    <x v="0"/>
    <d v="2025-08-14T00:00:00"/>
    <x v="0"/>
    <x v="5"/>
    <x v="2"/>
    <x v="0"/>
    <n v="4"/>
    <n v="25"/>
    <s v="Card"/>
    <x v="1"/>
    <n v="100"/>
  </r>
  <r>
    <n v="1413"/>
    <x v="1"/>
    <d v="2025-09-21T00:00:00"/>
    <x v="2"/>
    <x v="0"/>
    <x v="2"/>
    <x v="1"/>
    <n v="3"/>
    <n v="12"/>
    <s v="Cash"/>
    <x v="1"/>
    <n v="36"/>
  </r>
  <r>
    <n v="1122"/>
    <x v="7"/>
    <d v="2025-09-03T00:00:00"/>
    <x v="2"/>
    <x v="6"/>
    <x v="3"/>
    <x v="1"/>
    <n v="2"/>
    <n v="12"/>
    <s v="Cash"/>
    <x v="1"/>
    <n v="24"/>
  </r>
  <r>
    <n v="1167"/>
    <x v="1"/>
    <d v="2025-08-02T00:00:00"/>
    <x v="0"/>
    <x v="2"/>
    <x v="2"/>
    <x v="3"/>
    <n v="3"/>
    <n v="30"/>
    <s v="Card"/>
    <x v="1"/>
    <n v="90"/>
  </r>
  <r>
    <n v="242"/>
    <x v="5"/>
    <d v="2025-09-24T00:00:00"/>
    <x v="2"/>
    <x v="6"/>
    <x v="0"/>
    <x v="1"/>
    <n v="1"/>
    <n v="12"/>
    <s v="Mobile Wallet"/>
    <x v="1"/>
    <n v="12"/>
  </r>
  <r>
    <n v="1808"/>
    <x v="1"/>
    <d v="2025-07-31T00:00:00"/>
    <x v="1"/>
    <x v="5"/>
    <x v="1"/>
    <x v="1"/>
    <n v="2"/>
    <n v="12"/>
    <s v="Mobile Wallet"/>
    <x v="1"/>
    <n v="24"/>
  </r>
  <r>
    <n v="1283"/>
    <x v="3"/>
    <d v="2025-08-09T00:00:00"/>
    <x v="0"/>
    <x v="2"/>
    <x v="3"/>
    <x v="2"/>
    <n v="1"/>
    <n v="20"/>
    <s v="Card"/>
    <x v="1"/>
    <n v="20"/>
  </r>
  <r>
    <n v="990"/>
    <x v="2"/>
    <d v="2025-09-05T00:00:00"/>
    <x v="2"/>
    <x v="1"/>
    <x v="1"/>
    <x v="2"/>
    <n v="4"/>
    <n v="20"/>
    <s v="Cash"/>
    <x v="1"/>
    <n v="80"/>
  </r>
  <r>
    <n v="336"/>
    <x v="2"/>
    <d v="2025-08-03T00:00:00"/>
    <x v="0"/>
    <x v="0"/>
    <x v="1"/>
    <x v="1"/>
    <n v="4"/>
    <n v="12"/>
    <s v="Cash"/>
    <x v="1"/>
    <n v="48"/>
  </r>
  <r>
    <n v="732"/>
    <x v="3"/>
    <d v="2025-09-05T00:00:00"/>
    <x v="2"/>
    <x v="1"/>
    <x v="2"/>
    <x v="1"/>
    <n v="1"/>
    <n v="12"/>
    <s v="Mobile Wallet"/>
    <x v="1"/>
    <n v="12"/>
  </r>
  <r>
    <n v="1611"/>
    <x v="1"/>
    <d v="2025-07-19T00:00:00"/>
    <x v="1"/>
    <x v="2"/>
    <x v="0"/>
    <x v="0"/>
    <n v="5"/>
    <n v="25"/>
    <s v="Card"/>
    <x v="1"/>
    <n v="125"/>
  </r>
  <r>
    <n v="971"/>
    <x v="2"/>
    <d v="2025-07-27T00:00:00"/>
    <x v="1"/>
    <x v="0"/>
    <x v="1"/>
    <x v="1"/>
    <n v="1"/>
    <n v="12"/>
    <s v="Card"/>
    <x v="1"/>
    <n v="12"/>
  </r>
  <r>
    <n v="645"/>
    <x v="2"/>
    <d v="2025-09-27T00:00:00"/>
    <x v="2"/>
    <x v="2"/>
    <x v="3"/>
    <x v="1"/>
    <n v="3"/>
    <n v="12"/>
    <s v="Cash"/>
    <x v="1"/>
    <n v="36"/>
  </r>
  <r>
    <n v="1856"/>
    <x v="4"/>
    <d v="2025-08-17T00:00:00"/>
    <x v="0"/>
    <x v="0"/>
    <x v="3"/>
    <x v="1"/>
    <n v="3"/>
    <n v="12"/>
    <s v="Cash"/>
    <x v="1"/>
    <n v="36"/>
  </r>
  <r>
    <n v="1984"/>
    <x v="7"/>
    <d v="2025-07-03T00:00:00"/>
    <x v="1"/>
    <x v="5"/>
    <x v="2"/>
    <x v="1"/>
    <n v="3"/>
    <n v="12"/>
    <s v="Card"/>
    <x v="1"/>
    <n v="36"/>
  </r>
  <r>
    <n v="1393"/>
    <x v="2"/>
    <d v="2025-07-03T00:00:00"/>
    <x v="1"/>
    <x v="5"/>
    <x v="2"/>
    <x v="2"/>
    <n v="3"/>
    <n v="20"/>
    <s v="Mobile Wallet"/>
    <x v="1"/>
    <n v="60"/>
  </r>
  <r>
    <n v="1293"/>
    <x v="6"/>
    <d v="2025-07-12T00:00:00"/>
    <x v="1"/>
    <x v="2"/>
    <x v="3"/>
    <x v="1"/>
    <n v="2"/>
    <n v="12"/>
    <s v="Mobile Wallet"/>
    <x v="1"/>
    <n v="24"/>
  </r>
  <r>
    <n v="1899"/>
    <x v="2"/>
    <d v="2025-09-12T00:00:00"/>
    <x v="2"/>
    <x v="1"/>
    <x v="0"/>
    <x v="0"/>
    <n v="4"/>
    <n v="25"/>
    <s v="Card"/>
    <x v="1"/>
    <n v="100"/>
  </r>
  <r>
    <n v="52"/>
    <x v="0"/>
    <d v="2025-07-20T00:00:00"/>
    <x v="1"/>
    <x v="0"/>
    <x v="0"/>
    <x v="1"/>
    <n v="5"/>
    <n v="12"/>
    <s v="Cash"/>
    <x v="1"/>
    <n v="60"/>
  </r>
  <r>
    <n v="1156"/>
    <x v="3"/>
    <d v="2025-07-22T00:00:00"/>
    <x v="1"/>
    <x v="3"/>
    <x v="0"/>
    <x v="0"/>
    <n v="1"/>
    <n v="25"/>
    <s v="Mobile Wallet"/>
    <x v="1"/>
    <n v="25"/>
  </r>
  <r>
    <n v="617"/>
    <x v="3"/>
    <d v="2025-08-27T00:00:00"/>
    <x v="0"/>
    <x v="6"/>
    <x v="2"/>
    <x v="1"/>
    <n v="5"/>
    <n v="12"/>
    <s v="Card"/>
    <x v="1"/>
    <n v="60"/>
  </r>
  <r>
    <n v="1597"/>
    <x v="6"/>
    <d v="2025-07-03T00:00:00"/>
    <x v="1"/>
    <x v="5"/>
    <x v="1"/>
    <x v="1"/>
    <n v="2"/>
    <n v="12"/>
    <s v="Mobile Wallet"/>
    <x v="1"/>
    <n v="24"/>
  </r>
  <r>
    <n v="27"/>
    <x v="0"/>
    <d v="2025-09-04T00:00:00"/>
    <x v="2"/>
    <x v="5"/>
    <x v="0"/>
    <x v="4"/>
    <n v="4"/>
    <n v="8"/>
    <s v="Mobile Wallet"/>
    <x v="1"/>
    <n v="32"/>
  </r>
  <r>
    <n v="1347"/>
    <x v="7"/>
    <d v="2025-09-20T00:00:00"/>
    <x v="2"/>
    <x v="2"/>
    <x v="2"/>
    <x v="1"/>
    <n v="1"/>
    <n v="12"/>
    <s v="Cash"/>
    <x v="1"/>
    <n v="12"/>
  </r>
  <r>
    <n v="1181"/>
    <x v="0"/>
    <d v="2025-08-21T00:00:00"/>
    <x v="0"/>
    <x v="5"/>
    <x v="3"/>
    <x v="1"/>
    <n v="4"/>
    <n v="12"/>
    <s v="Mobile Wallet"/>
    <x v="1"/>
    <n v="48"/>
  </r>
  <r>
    <n v="1004"/>
    <x v="3"/>
    <d v="2025-07-05T00:00:00"/>
    <x v="1"/>
    <x v="2"/>
    <x v="1"/>
    <x v="0"/>
    <n v="5"/>
    <n v="25"/>
    <s v="Card"/>
    <x v="1"/>
    <n v="125"/>
  </r>
  <r>
    <n v="1476"/>
    <x v="2"/>
    <d v="2025-08-10T00:00:00"/>
    <x v="0"/>
    <x v="0"/>
    <x v="0"/>
    <x v="2"/>
    <n v="4"/>
    <n v="20"/>
    <s v="Cash"/>
    <x v="1"/>
    <n v="80"/>
  </r>
  <r>
    <n v="1038"/>
    <x v="5"/>
    <d v="2025-09-20T00:00:00"/>
    <x v="2"/>
    <x v="2"/>
    <x v="1"/>
    <x v="3"/>
    <n v="2"/>
    <n v="30"/>
    <s v="Card"/>
    <x v="1"/>
    <n v="60"/>
  </r>
  <r>
    <n v="1468"/>
    <x v="0"/>
    <d v="2025-08-25T00:00:00"/>
    <x v="0"/>
    <x v="4"/>
    <x v="2"/>
    <x v="4"/>
    <n v="4"/>
    <n v="8"/>
    <s v="Card"/>
    <x v="1"/>
    <n v="32"/>
  </r>
  <r>
    <n v="1981"/>
    <x v="1"/>
    <d v="2025-07-19T00:00:00"/>
    <x v="1"/>
    <x v="2"/>
    <x v="2"/>
    <x v="2"/>
    <n v="1"/>
    <n v="20"/>
    <s v="Card"/>
    <x v="1"/>
    <n v="20"/>
  </r>
  <r>
    <n v="363"/>
    <x v="3"/>
    <d v="2025-07-04T00:00:00"/>
    <x v="1"/>
    <x v="1"/>
    <x v="0"/>
    <x v="1"/>
    <n v="1"/>
    <n v="12"/>
    <s v="Card"/>
    <x v="1"/>
    <n v="12"/>
  </r>
  <r>
    <n v="919"/>
    <x v="6"/>
    <d v="2025-08-30T00:00:00"/>
    <x v="0"/>
    <x v="2"/>
    <x v="1"/>
    <x v="1"/>
    <n v="3"/>
    <n v="12"/>
    <s v="Card"/>
    <x v="1"/>
    <n v="36"/>
  </r>
  <r>
    <n v="1177"/>
    <x v="5"/>
    <d v="2025-09-13T00:00:00"/>
    <x v="2"/>
    <x v="2"/>
    <x v="2"/>
    <x v="4"/>
    <n v="3"/>
    <n v="8"/>
    <s v="Cash"/>
    <x v="1"/>
    <n v="24"/>
  </r>
  <r>
    <n v="976"/>
    <x v="4"/>
    <d v="2025-09-06T00:00:00"/>
    <x v="2"/>
    <x v="2"/>
    <x v="0"/>
    <x v="1"/>
    <n v="4"/>
    <n v="12"/>
    <s v="Mobile Wallet"/>
    <x v="1"/>
    <n v="48"/>
  </r>
  <r>
    <n v="1906"/>
    <x v="4"/>
    <d v="2025-08-24T00:00:00"/>
    <x v="0"/>
    <x v="0"/>
    <x v="1"/>
    <x v="1"/>
    <n v="4"/>
    <n v="12"/>
    <s v="Mobile Wallet"/>
    <x v="1"/>
    <n v="48"/>
  </r>
  <r>
    <n v="1031"/>
    <x v="5"/>
    <d v="2025-09-21T00:00:00"/>
    <x v="2"/>
    <x v="0"/>
    <x v="0"/>
    <x v="1"/>
    <n v="4"/>
    <n v="12"/>
    <s v="Card"/>
    <x v="1"/>
    <n v="48"/>
  </r>
  <r>
    <n v="1655"/>
    <x v="4"/>
    <d v="2025-08-09T00:00:00"/>
    <x v="0"/>
    <x v="2"/>
    <x v="2"/>
    <x v="1"/>
    <n v="1"/>
    <n v="12"/>
    <s v="Mobile Wallet"/>
    <x v="1"/>
    <n v="12"/>
  </r>
  <r>
    <n v="1607"/>
    <x v="4"/>
    <d v="2025-07-11T00:00:00"/>
    <x v="1"/>
    <x v="1"/>
    <x v="2"/>
    <x v="2"/>
    <n v="2"/>
    <n v="20"/>
    <s v="Card"/>
    <x v="1"/>
    <n v="40"/>
  </r>
  <r>
    <n v="1949"/>
    <x v="6"/>
    <d v="2025-08-22T00:00:00"/>
    <x v="0"/>
    <x v="1"/>
    <x v="3"/>
    <x v="1"/>
    <n v="4"/>
    <n v="12"/>
    <s v="Mobile Wallet"/>
    <x v="1"/>
    <n v="48"/>
  </r>
  <r>
    <n v="1374"/>
    <x v="4"/>
    <d v="2025-07-27T00:00:00"/>
    <x v="1"/>
    <x v="0"/>
    <x v="0"/>
    <x v="4"/>
    <n v="2"/>
    <n v="8"/>
    <s v="Mobile Wallet"/>
    <x v="1"/>
    <n v="16"/>
  </r>
  <r>
    <n v="865"/>
    <x v="6"/>
    <d v="2025-08-12T00:00:00"/>
    <x v="0"/>
    <x v="3"/>
    <x v="2"/>
    <x v="1"/>
    <n v="5"/>
    <n v="12"/>
    <s v="Cash"/>
    <x v="1"/>
    <n v="60"/>
  </r>
  <r>
    <n v="76"/>
    <x v="4"/>
    <d v="2025-08-25T00:00:00"/>
    <x v="0"/>
    <x v="4"/>
    <x v="0"/>
    <x v="2"/>
    <n v="4"/>
    <n v="20"/>
    <s v="Mobile Wallet"/>
    <x v="1"/>
    <n v="80"/>
  </r>
  <r>
    <n v="1948"/>
    <x v="4"/>
    <d v="2025-09-16T00:00:00"/>
    <x v="2"/>
    <x v="3"/>
    <x v="0"/>
    <x v="0"/>
    <n v="5"/>
    <n v="25"/>
    <s v="Cash"/>
    <x v="1"/>
    <n v="125"/>
  </r>
  <r>
    <n v="596"/>
    <x v="6"/>
    <d v="2025-09-07T00:00:00"/>
    <x v="2"/>
    <x v="0"/>
    <x v="1"/>
    <x v="4"/>
    <n v="3"/>
    <n v="8"/>
    <s v="Mobile Wallet"/>
    <x v="1"/>
    <n v="24"/>
  </r>
  <r>
    <n v="1352"/>
    <x v="2"/>
    <d v="2025-08-04T00:00:00"/>
    <x v="0"/>
    <x v="4"/>
    <x v="2"/>
    <x v="1"/>
    <n v="2"/>
    <n v="12"/>
    <s v="Card"/>
    <x v="1"/>
    <n v="24"/>
  </r>
  <r>
    <n v="317"/>
    <x v="7"/>
    <d v="2025-08-06T00:00:00"/>
    <x v="0"/>
    <x v="6"/>
    <x v="2"/>
    <x v="1"/>
    <n v="1"/>
    <n v="12"/>
    <s v="Cash"/>
    <x v="1"/>
    <n v="12"/>
  </r>
  <r>
    <n v="1994"/>
    <x v="3"/>
    <d v="2025-08-09T00:00:00"/>
    <x v="0"/>
    <x v="2"/>
    <x v="3"/>
    <x v="1"/>
    <n v="2"/>
    <n v="12"/>
    <s v="Mobile Wallet"/>
    <x v="1"/>
    <n v="24"/>
  </r>
  <r>
    <n v="431"/>
    <x v="3"/>
    <d v="2025-08-02T00:00:00"/>
    <x v="0"/>
    <x v="2"/>
    <x v="1"/>
    <x v="0"/>
    <n v="4"/>
    <n v="25"/>
    <s v="Card"/>
    <x v="1"/>
    <n v="100"/>
  </r>
  <r>
    <n v="1263"/>
    <x v="5"/>
    <d v="2025-07-05T00:00:00"/>
    <x v="1"/>
    <x v="2"/>
    <x v="3"/>
    <x v="1"/>
    <n v="1"/>
    <n v="12"/>
    <s v="Card"/>
    <x v="1"/>
    <n v="12"/>
  </r>
  <r>
    <n v="1430"/>
    <x v="5"/>
    <d v="2025-07-27T00:00:00"/>
    <x v="1"/>
    <x v="0"/>
    <x v="2"/>
    <x v="0"/>
    <n v="4"/>
    <n v="25"/>
    <s v="Card"/>
    <x v="1"/>
    <n v="100"/>
  </r>
  <r>
    <n v="425"/>
    <x v="2"/>
    <d v="2025-07-04T00:00:00"/>
    <x v="1"/>
    <x v="1"/>
    <x v="0"/>
    <x v="1"/>
    <n v="5"/>
    <n v="12"/>
    <s v="Cash"/>
    <x v="1"/>
    <n v="60"/>
  </r>
  <r>
    <n v="555"/>
    <x v="3"/>
    <d v="2025-08-22T00:00:00"/>
    <x v="0"/>
    <x v="1"/>
    <x v="3"/>
    <x v="1"/>
    <n v="3"/>
    <n v="12"/>
    <s v="Mobile Wallet"/>
    <x v="1"/>
    <n v="36"/>
  </r>
  <r>
    <n v="945"/>
    <x v="1"/>
    <d v="2025-08-31T00:00:00"/>
    <x v="0"/>
    <x v="0"/>
    <x v="1"/>
    <x v="4"/>
    <n v="4"/>
    <n v="8"/>
    <s v="Card"/>
    <x v="1"/>
    <n v="32"/>
  </r>
  <r>
    <n v="655"/>
    <x v="0"/>
    <d v="2025-07-06T00:00:00"/>
    <x v="1"/>
    <x v="0"/>
    <x v="0"/>
    <x v="4"/>
    <n v="4"/>
    <n v="8"/>
    <s v="Mobile Wallet"/>
    <x v="1"/>
    <n v="32"/>
  </r>
  <r>
    <n v="1732"/>
    <x v="7"/>
    <d v="2025-07-18T00:00:00"/>
    <x v="1"/>
    <x v="1"/>
    <x v="1"/>
    <x v="3"/>
    <n v="4"/>
    <n v="30"/>
    <s v="Card"/>
    <x v="1"/>
    <n v="120"/>
  </r>
  <r>
    <n v="1456"/>
    <x v="1"/>
    <d v="2025-08-19T00:00:00"/>
    <x v="0"/>
    <x v="3"/>
    <x v="1"/>
    <x v="1"/>
    <n v="5"/>
    <n v="12"/>
    <s v="Cash"/>
    <x v="1"/>
    <n v="60"/>
  </r>
  <r>
    <n v="1762"/>
    <x v="5"/>
    <d v="2025-09-07T00:00:00"/>
    <x v="2"/>
    <x v="0"/>
    <x v="2"/>
    <x v="4"/>
    <n v="5"/>
    <n v="8"/>
    <s v="Cash"/>
    <x v="1"/>
    <n v="40"/>
  </r>
  <r>
    <n v="1684"/>
    <x v="3"/>
    <d v="2025-09-02T00:00:00"/>
    <x v="2"/>
    <x v="3"/>
    <x v="2"/>
    <x v="1"/>
    <n v="2"/>
    <n v="12"/>
    <s v="Mobile Wallet"/>
    <x v="1"/>
    <n v="24"/>
  </r>
  <r>
    <n v="1162"/>
    <x v="1"/>
    <d v="2025-07-18T00:00:00"/>
    <x v="1"/>
    <x v="1"/>
    <x v="3"/>
    <x v="1"/>
    <n v="5"/>
    <n v="12"/>
    <s v="Card"/>
    <x v="1"/>
    <n v="60"/>
  </r>
  <r>
    <n v="1725"/>
    <x v="4"/>
    <d v="2025-09-27T00:00:00"/>
    <x v="2"/>
    <x v="2"/>
    <x v="0"/>
    <x v="1"/>
    <n v="4"/>
    <n v="12"/>
    <s v="Cash"/>
    <x v="1"/>
    <n v="48"/>
  </r>
  <r>
    <n v="1383"/>
    <x v="7"/>
    <d v="2025-07-15T00:00:00"/>
    <x v="1"/>
    <x v="3"/>
    <x v="0"/>
    <x v="1"/>
    <n v="3"/>
    <n v="12"/>
    <s v="Cash"/>
    <x v="1"/>
    <n v="36"/>
  </r>
  <r>
    <n v="549"/>
    <x v="4"/>
    <d v="2025-09-17T00:00:00"/>
    <x v="2"/>
    <x v="6"/>
    <x v="2"/>
    <x v="1"/>
    <n v="4"/>
    <n v="12"/>
    <s v="Cash"/>
    <x v="1"/>
    <n v="48"/>
  </r>
  <r>
    <n v="119"/>
    <x v="2"/>
    <d v="2025-07-07T00:00:00"/>
    <x v="1"/>
    <x v="4"/>
    <x v="3"/>
    <x v="1"/>
    <n v="3"/>
    <n v="12"/>
    <s v="Card"/>
    <x v="1"/>
    <n v="36"/>
  </r>
  <r>
    <n v="1916"/>
    <x v="4"/>
    <d v="2025-09-13T00:00:00"/>
    <x v="2"/>
    <x v="2"/>
    <x v="2"/>
    <x v="1"/>
    <n v="5"/>
    <n v="12"/>
    <s v="Mobile Wallet"/>
    <x v="1"/>
    <n v="60"/>
  </r>
  <r>
    <n v="844"/>
    <x v="5"/>
    <d v="2025-08-10T00:00:00"/>
    <x v="0"/>
    <x v="0"/>
    <x v="0"/>
    <x v="3"/>
    <n v="2"/>
    <n v="30"/>
    <s v="Card"/>
    <x v="1"/>
    <n v="60"/>
  </r>
  <r>
    <n v="1814"/>
    <x v="1"/>
    <d v="2025-08-27T00:00:00"/>
    <x v="0"/>
    <x v="6"/>
    <x v="3"/>
    <x v="0"/>
    <n v="1"/>
    <n v="25"/>
    <s v="Card"/>
    <x v="1"/>
    <n v="25"/>
  </r>
  <r>
    <n v="461"/>
    <x v="4"/>
    <d v="2025-09-13T00:00:00"/>
    <x v="2"/>
    <x v="2"/>
    <x v="1"/>
    <x v="3"/>
    <n v="5"/>
    <n v="30"/>
    <s v="Card"/>
    <x v="1"/>
    <n v="150"/>
  </r>
  <r>
    <n v="325"/>
    <x v="0"/>
    <d v="2025-09-26T00:00:00"/>
    <x v="2"/>
    <x v="1"/>
    <x v="0"/>
    <x v="2"/>
    <n v="4"/>
    <n v="20"/>
    <s v="Mobile Wallet"/>
    <x v="1"/>
    <n v="80"/>
  </r>
  <r>
    <n v="1407"/>
    <x v="4"/>
    <d v="2025-08-20T00:00:00"/>
    <x v="0"/>
    <x v="6"/>
    <x v="2"/>
    <x v="2"/>
    <n v="2"/>
    <n v="20"/>
    <s v="Card"/>
    <x v="1"/>
    <n v="40"/>
  </r>
  <r>
    <n v="850"/>
    <x v="0"/>
    <d v="2025-08-12T00:00:00"/>
    <x v="0"/>
    <x v="3"/>
    <x v="2"/>
    <x v="1"/>
    <n v="3"/>
    <n v="12"/>
    <s v="Mobile Wallet"/>
    <x v="1"/>
    <n v="36"/>
  </r>
  <r>
    <n v="1322"/>
    <x v="7"/>
    <d v="2025-07-05T00:00:00"/>
    <x v="1"/>
    <x v="2"/>
    <x v="2"/>
    <x v="1"/>
    <n v="5"/>
    <n v="12"/>
    <s v="Card"/>
    <x v="1"/>
    <n v="60"/>
  </r>
  <r>
    <n v="1227"/>
    <x v="5"/>
    <d v="2025-09-01T00:00:00"/>
    <x v="2"/>
    <x v="4"/>
    <x v="3"/>
    <x v="1"/>
    <n v="4"/>
    <n v="12"/>
    <s v="Mobile Wallet"/>
    <x v="1"/>
    <n v="48"/>
  </r>
  <r>
    <n v="69"/>
    <x v="6"/>
    <d v="2025-08-14T00:00:00"/>
    <x v="0"/>
    <x v="5"/>
    <x v="2"/>
    <x v="1"/>
    <n v="4"/>
    <n v="12"/>
    <s v="Card"/>
    <x v="1"/>
    <n v="48"/>
  </r>
  <r>
    <n v="1622"/>
    <x v="4"/>
    <d v="2025-07-29T00:00:00"/>
    <x v="1"/>
    <x v="3"/>
    <x v="2"/>
    <x v="1"/>
    <n v="1"/>
    <n v="12"/>
    <s v="Mobile Wallet"/>
    <x v="1"/>
    <n v="12"/>
  </r>
  <r>
    <n v="952"/>
    <x v="6"/>
    <d v="2025-08-22T00:00:00"/>
    <x v="0"/>
    <x v="1"/>
    <x v="0"/>
    <x v="4"/>
    <n v="1"/>
    <n v="8"/>
    <s v="Cash"/>
    <x v="1"/>
    <n v="8"/>
  </r>
  <r>
    <n v="1262"/>
    <x v="7"/>
    <d v="2025-08-17T00:00:00"/>
    <x v="0"/>
    <x v="0"/>
    <x v="1"/>
    <x v="0"/>
    <n v="5"/>
    <n v="25"/>
    <s v="Cash"/>
    <x v="1"/>
    <n v="125"/>
  </r>
  <r>
    <n v="1536"/>
    <x v="4"/>
    <d v="2025-07-06T00:00:00"/>
    <x v="1"/>
    <x v="0"/>
    <x v="0"/>
    <x v="1"/>
    <n v="3"/>
    <n v="12"/>
    <s v="Cash"/>
    <x v="1"/>
    <n v="36"/>
  </r>
  <r>
    <n v="1323"/>
    <x v="1"/>
    <d v="2025-08-01T00:00:00"/>
    <x v="0"/>
    <x v="1"/>
    <x v="0"/>
    <x v="4"/>
    <n v="5"/>
    <n v="8"/>
    <s v="Cash"/>
    <x v="1"/>
    <n v="40"/>
  </r>
  <r>
    <n v="408"/>
    <x v="2"/>
    <d v="2025-07-20T00:00:00"/>
    <x v="1"/>
    <x v="0"/>
    <x v="0"/>
    <x v="1"/>
    <n v="5"/>
    <n v="12"/>
    <s v="Mobile Wallet"/>
    <x v="1"/>
    <n v="60"/>
  </r>
  <r>
    <n v="1580"/>
    <x v="7"/>
    <d v="2025-08-30T00:00:00"/>
    <x v="0"/>
    <x v="2"/>
    <x v="3"/>
    <x v="1"/>
    <n v="5"/>
    <n v="12"/>
    <s v="Cash"/>
    <x v="1"/>
    <n v="60"/>
  </r>
  <r>
    <n v="925"/>
    <x v="3"/>
    <d v="2025-09-16T00:00:00"/>
    <x v="2"/>
    <x v="3"/>
    <x v="2"/>
    <x v="1"/>
    <n v="4"/>
    <n v="12"/>
    <s v="Mobile Wallet"/>
    <x v="1"/>
    <n v="48"/>
  </r>
  <r>
    <n v="1578"/>
    <x v="4"/>
    <d v="2025-08-18T00:00:00"/>
    <x v="0"/>
    <x v="4"/>
    <x v="0"/>
    <x v="1"/>
    <n v="1"/>
    <n v="12"/>
    <s v="Mobile Wallet"/>
    <x v="1"/>
    <n v="12"/>
  </r>
  <r>
    <n v="733"/>
    <x v="3"/>
    <d v="2025-07-07T00:00:00"/>
    <x v="1"/>
    <x v="4"/>
    <x v="1"/>
    <x v="1"/>
    <n v="4"/>
    <n v="12"/>
    <s v="Card"/>
    <x v="1"/>
    <n v="48"/>
  </r>
  <r>
    <n v="246"/>
    <x v="0"/>
    <d v="2025-08-04T00:00:00"/>
    <x v="0"/>
    <x v="4"/>
    <x v="2"/>
    <x v="0"/>
    <n v="3"/>
    <n v="25"/>
    <s v="Cash"/>
    <x v="1"/>
    <n v="75"/>
  </r>
  <r>
    <n v="1973"/>
    <x v="7"/>
    <d v="2025-09-26T00:00:00"/>
    <x v="2"/>
    <x v="1"/>
    <x v="0"/>
    <x v="1"/>
    <n v="3"/>
    <n v="12"/>
    <s v="Cash"/>
    <x v="1"/>
    <n v="36"/>
  </r>
  <r>
    <n v="1641"/>
    <x v="6"/>
    <d v="2025-09-24T00:00:00"/>
    <x v="2"/>
    <x v="6"/>
    <x v="2"/>
    <x v="1"/>
    <n v="2"/>
    <n v="12"/>
    <s v="Mobile Wallet"/>
    <x v="1"/>
    <n v="24"/>
  </r>
  <r>
    <n v="1592"/>
    <x v="7"/>
    <d v="2025-07-17T00:00:00"/>
    <x v="1"/>
    <x v="5"/>
    <x v="0"/>
    <x v="1"/>
    <n v="1"/>
    <n v="12"/>
    <s v="Mobile Wallet"/>
    <x v="1"/>
    <n v="12"/>
  </r>
  <r>
    <n v="1870"/>
    <x v="4"/>
    <d v="2025-08-09T00:00:00"/>
    <x v="0"/>
    <x v="2"/>
    <x v="2"/>
    <x v="1"/>
    <n v="5"/>
    <n v="12"/>
    <s v="Card"/>
    <x v="1"/>
    <n v="60"/>
  </r>
  <r>
    <n v="391"/>
    <x v="7"/>
    <d v="2025-09-14T00:00:00"/>
    <x v="2"/>
    <x v="0"/>
    <x v="2"/>
    <x v="1"/>
    <n v="2"/>
    <n v="12"/>
    <s v="Cash"/>
    <x v="1"/>
    <n v="24"/>
  </r>
  <r>
    <n v="1942"/>
    <x v="2"/>
    <d v="2025-09-20T00:00:00"/>
    <x v="2"/>
    <x v="2"/>
    <x v="2"/>
    <x v="2"/>
    <n v="5"/>
    <n v="20"/>
    <s v="Card"/>
    <x v="1"/>
    <n v="100"/>
  </r>
  <r>
    <n v="1668"/>
    <x v="3"/>
    <d v="2025-09-14T00:00:00"/>
    <x v="2"/>
    <x v="0"/>
    <x v="1"/>
    <x v="1"/>
    <n v="4"/>
    <n v="12"/>
    <s v="Mobile Wallet"/>
    <x v="1"/>
    <n v="48"/>
  </r>
  <r>
    <n v="68"/>
    <x v="3"/>
    <d v="2025-07-10T00:00:00"/>
    <x v="1"/>
    <x v="5"/>
    <x v="3"/>
    <x v="1"/>
    <n v="5"/>
    <n v="12"/>
    <s v="Cash"/>
    <x v="1"/>
    <n v="60"/>
  </r>
  <r>
    <n v="674"/>
    <x v="0"/>
    <d v="2025-09-12T00:00:00"/>
    <x v="2"/>
    <x v="1"/>
    <x v="0"/>
    <x v="1"/>
    <n v="2"/>
    <n v="12"/>
    <s v="Card"/>
    <x v="1"/>
    <n v="24"/>
  </r>
  <r>
    <n v="1195"/>
    <x v="4"/>
    <d v="2025-07-31T00:00:00"/>
    <x v="1"/>
    <x v="5"/>
    <x v="2"/>
    <x v="1"/>
    <n v="1"/>
    <n v="12"/>
    <s v="Mobile Wallet"/>
    <x v="1"/>
    <n v="12"/>
  </r>
  <r>
    <n v="1154"/>
    <x v="4"/>
    <d v="2025-08-12T00:00:00"/>
    <x v="0"/>
    <x v="3"/>
    <x v="3"/>
    <x v="1"/>
    <n v="4"/>
    <n v="12"/>
    <s v="Card"/>
    <x v="1"/>
    <n v="48"/>
  </r>
  <r>
    <n v="1344"/>
    <x v="3"/>
    <d v="2025-08-07T00:00:00"/>
    <x v="0"/>
    <x v="5"/>
    <x v="2"/>
    <x v="1"/>
    <n v="3"/>
    <n v="12"/>
    <s v="Mobile Wallet"/>
    <x v="1"/>
    <n v="36"/>
  </r>
  <r>
    <n v="477"/>
    <x v="3"/>
    <d v="2025-07-26T00:00:00"/>
    <x v="1"/>
    <x v="2"/>
    <x v="1"/>
    <x v="1"/>
    <n v="5"/>
    <n v="12"/>
    <s v="Card"/>
    <x v="1"/>
    <n v="60"/>
  </r>
  <r>
    <n v="1956"/>
    <x v="3"/>
    <d v="2025-07-27T00:00:00"/>
    <x v="1"/>
    <x v="0"/>
    <x v="2"/>
    <x v="2"/>
    <n v="5"/>
    <n v="20"/>
    <s v="Card"/>
    <x v="1"/>
    <n v="100"/>
  </r>
  <r>
    <n v="977"/>
    <x v="2"/>
    <d v="2025-08-15T00:00:00"/>
    <x v="0"/>
    <x v="1"/>
    <x v="1"/>
    <x v="2"/>
    <n v="5"/>
    <n v="20"/>
    <s v="Card"/>
    <x v="1"/>
    <n v="100"/>
  </r>
  <r>
    <n v="1000"/>
    <x v="7"/>
    <d v="2025-08-31T00:00:00"/>
    <x v="0"/>
    <x v="0"/>
    <x v="1"/>
    <x v="2"/>
    <n v="1"/>
    <n v="20"/>
    <s v="Cash"/>
    <x v="1"/>
    <n v="20"/>
  </r>
  <r>
    <n v="372"/>
    <x v="2"/>
    <d v="2025-07-12T00:00:00"/>
    <x v="1"/>
    <x v="2"/>
    <x v="1"/>
    <x v="2"/>
    <n v="4"/>
    <n v="20"/>
    <s v="Card"/>
    <x v="1"/>
    <n v="80"/>
  </r>
  <r>
    <n v="378"/>
    <x v="3"/>
    <d v="2025-08-01T00:00:00"/>
    <x v="0"/>
    <x v="1"/>
    <x v="1"/>
    <x v="4"/>
    <n v="4"/>
    <n v="8"/>
    <s v="Card"/>
    <x v="1"/>
    <n v="32"/>
  </r>
  <r>
    <n v="489"/>
    <x v="3"/>
    <d v="2025-09-10T00:00:00"/>
    <x v="2"/>
    <x v="6"/>
    <x v="1"/>
    <x v="0"/>
    <n v="3"/>
    <n v="25"/>
    <s v="Cash"/>
    <x v="1"/>
    <n v="75"/>
  </r>
  <r>
    <n v="1510"/>
    <x v="6"/>
    <d v="2025-09-06T00:00:00"/>
    <x v="2"/>
    <x v="2"/>
    <x v="3"/>
    <x v="1"/>
    <n v="5"/>
    <n v="12"/>
    <s v="Mobile Wallet"/>
    <x v="1"/>
    <n v="60"/>
  </r>
  <r>
    <n v="1248"/>
    <x v="0"/>
    <d v="2025-09-28T00:00:00"/>
    <x v="2"/>
    <x v="0"/>
    <x v="3"/>
    <x v="1"/>
    <n v="3"/>
    <n v="12"/>
    <s v="Cash"/>
    <x v="1"/>
    <n v="36"/>
  </r>
  <r>
    <n v="1437"/>
    <x v="0"/>
    <d v="2025-07-17T00:00:00"/>
    <x v="1"/>
    <x v="5"/>
    <x v="3"/>
    <x v="1"/>
    <n v="4"/>
    <n v="12"/>
    <s v="Card"/>
    <x v="1"/>
    <n v="48"/>
  </r>
  <r>
    <n v="525"/>
    <x v="4"/>
    <d v="2025-09-01T00:00:00"/>
    <x v="2"/>
    <x v="4"/>
    <x v="0"/>
    <x v="2"/>
    <n v="1"/>
    <n v="20"/>
    <s v="Mobile Wallet"/>
    <x v="1"/>
    <n v="20"/>
  </r>
  <r>
    <n v="1376"/>
    <x v="1"/>
    <d v="2025-08-09T00:00:00"/>
    <x v="0"/>
    <x v="2"/>
    <x v="3"/>
    <x v="4"/>
    <n v="2"/>
    <n v="8"/>
    <s v="Mobile Wallet"/>
    <x v="1"/>
    <n v="16"/>
  </r>
  <r>
    <n v="1039"/>
    <x v="3"/>
    <d v="2025-09-06T00:00:00"/>
    <x v="2"/>
    <x v="2"/>
    <x v="0"/>
    <x v="1"/>
    <n v="5"/>
    <n v="12"/>
    <s v="Cash"/>
    <x v="1"/>
    <n v="60"/>
  </r>
  <r>
    <n v="24"/>
    <x v="2"/>
    <d v="2025-09-27T00:00:00"/>
    <x v="2"/>
    <x v="2"/>
    <x v="3"/>
    <x v="1"/>
    <n v="1"/>
    <n v="12"/>
    <s v="Cash"/>
    <x v="1"/>
    <n v="12"/>
  </r>
  <r>
    <n v="1631"/>
    <x v="5"/>
    <d v="2025-07-19T00:00:00"/>
    <x v="1"/>
    <x v="2"/>
    <x v="1"/>
    <x v="4"/>
    <n v="1"/>
    <n v="8"/>
    <s v="Cash"/>
    <x v="1"/>
    <n v="8"/>
  </r>
  <r>
    <n v="77"/>
    <x v="6"/>
    <d v="2025-07-10T00:00:00"/>
    <x v="1"/>
    <x v="5"/>
    <x v="1"/>
    <x v="1"/>
    <n v="1"/>
    <n v="12"/>
    <s v="Card"/>
    <x v="1"/>
    <n v="12"/>
  </r>
  <r>
    <n v="813"/>
    <x v="3"/>
    <d v="2025-07-09T00:00:00"/>
    <x v="1"/>
    <x v="6"/>
    <x v="3"/>
    <x v="4"/>
    <n v="3"/>
    <n v="8"/>
    <s v="Card"/>
    <x v="1"/>
    <n v="24"/>
  </r>
  <r>
    <n v="470"/>
    <x v="6"/>
    <d v="2025-09-21T00:00:00"/>
    <x v="2"/>
    <x v="0"/>
    <x v="1"/>
    <x v="0"/>
    <n v="3"/>
    <n v="25"/>
    <s v="Card"/>
    <x v="1"/>
    <n v="75"/>
  </r>
  <r>
    <n v="541"/>
    <x v="5"/>
    <d v="2025-07-26T00:00:00"/>
    <x v="1"/>
    <x v="2"/>
    <x v="3"/>
    <x v="4"/>
    <n v="1"/>
    <n v="8"/>
    <s v="Mobile Wallet"/>
    <x v="1"/>
    <n v="8"/>
  </r>
  <r>
    <n v="1993"/>
    <x v="7"/>
    <d v="2025-07-14T00:00:00"/>
    <x v="1"/>
    <x v="4"/>
    <x v="1"/>
    <x v="4"/>
    <n v="2"/>
    <n v="8"/>
    <s v="Cash"/>
    <x v="1"/>
    <n v="16"/>
  </r>
  <r>
    <n v="999"/>
    <x v="2"/>
    <d v="2025-08-12T00:00:00"/>
    <x v="0"/>
    <x v="3"/>
    <x v="2"/>
    <x v="1"/>
    <n v="5"/>
    <n v="12"/>
    <s v="Card"/>
    <x v="1"/>
    <n v="60"/>
  </r>
  <r>
    <n v="1643"/>
    <x v="1"/>
    <d v="2025-08-24T00:00:00"/>
    <x v="0"/>
    <x v="0"/>
    <x v="3"/>
    <x v="1"/>
    <n v="5"/>
    <n v="12"/>
    <s v="Mobile Wallet"/>
    <x v="1"/>
    <n v="60"/>
  </r>
  <r>
    <n v="1315"/>
    <x v="0"/>
    <d v="2025-08-16T00:00:00"/>
    <x v="0"/>
    <x v="2"/>
    <x v="0"/>
    <x v="1"/>
    <n v="4"/>
    <n v="12"/>
    <s v="Card"/>
    <x v="1"/>
    <n v="48"/>
  </r>
  <r>
    <n v="955"/>
    <x v="7"/>
    <d v="2025-07-03T00:00:00"/>
    <x v="1"/>
    <x v="5"/>
    <x v="2"/>
    <x v="3"/>
    <n v="3"/>
    <n v="30"/>
    <s v="Card"/>
    <x v="1"/>
    <n v="90"/>
  </r>
  <r>
    <n v="232"/>
    <x v="6"/>
    <d v="2025-07-05T00:00:00"/>
    <x v="1"/>
    <x v="2"/>
    <x v="3"/>
    <x v="1"/>
    <n v="3"/>
    <n v="12"/>
    <s v="Cash"/>
    <x v="1"/>
    <n v="36"/>
  </r>
  <r>
    <n v="1754"/>
    <x v="5"/>
    <d v="2025-09-21T00:00:00"/>
    <x v="2"/>
    <x v="0"/>
    <x v="3"/>
    <x v="4"/>
    <n v="4"/>
    <n v="8"/>
    <s v="Mobile Wallet"/>
    <x v="1"/>
    <n v="32"/>
  </r>
  <r>
    <n v="1564"/>
    <x v="4"/>
    <d v="2025-09-20T00:00:00"/>
    <x v="2"/>
    <x v="2"/>
    <x v="1"/>
    <x v="1"/>
    <n v="1"/>
    <n v="12"/>
    <s v="Card"/>
    <x v="1"/>
    <n v="12"/>
  </r>
  <r>
    <n v="1042"/>
    <x v="4"/>
    <d v="2025-08-23T00:00:00"/>
    <x v="0"/>
    <x v="2"/>
    <x v="1"/>
    <x v="3"/>
    <n v="5"/>
    <n v="30"/>
    <s v="Cash"/>
    <x v="1"/>
    <n v="150"/>
  </r>
  <r>
    <n v="1217"/>
    <x v="0"/>
    <d v="2025-09-02T00:00:00"/>
    <x v="2"/>
    <x v="3"/>
    <x v="0"/>
    <x v="1"/>
    <n v="5"/>
    <n v="12"/>
    <s v="Card"/>
    <x v="1"/>
    <n v="60"/>
  </r>
  <r>
    <n v="993"/>
    <x v="4"/>
    <d v="2025-08-03T00:00:00"/>
    <x v="0"/>
    <x v="0"/>
    <x v="2"/>
    <x v="0"/>
    <n v="2"/>
    <n v="25"/>
    <s v="Card"/>
    <x v="1"/>
    <n v="50"/>
  </r>
  <r>
    <n v="1403"/>
    <x v="3"/>
    <d v="2025-08-29T00:00:00"/>
    <x v="0"/>
    <x v="1"/>
    <x v="1"/>
    <x v="3"/>
    <n v="1"/>
    <n v="30"/>
    <s v="Card"/>
    <x v="1"/>
    <n v="30"/>
  </r>
  <r>
    <n v="115"/>
    <x v="5"/>
    <d v="2025-07-05T00:00:00"/>
    <x v="1"/>
    <x v="2"/>
    <x v="3"/>
    <x v="4"/>
    <n v="1"/>
    <n v="8"/>
    <s v="Cash"/>
    <x v="1"/>
    <n v="8"/>
  </r>
  <r>
    <n v="848"/>
    <x v="4"/>
    <d v="2025-09-28T00:00:00"/>
    <x v="2"/>
    <x v="0"/>
    <x v="1"/>
    <x v="1"/>
    <n v="2"/>
    <n v="12"/>
    <s v="Mobile Wallet"/>
    <x v="1"/>
    <n v="24"/>
  </r>
  <r>
    <n v="155"/>
    <x v="1"/>
    <d v="2025-08-17T00:00:00"/>
    <x v="0"/>
    <x v="0"/>
    <x v="1"/>
    <x v="1"/>
    <n v="2"/>
    <n v="12"/>
    <s v="Mobile Wallet"/>
    <x v="1"/>
    <n v="24"/>
  </r>
  <r>
    <n v="231"/>
    <x v="0"/>
    <d v="2025-09-11T00:00:00"/>
    <x v="2"/>
    <x v="5"/>
    <x v="2"/>
    <x v="4"/>
    <n v="1"/>
    <n v="8"/>
    <s v="Cash"/>
    <x v="1"/>
    <n v="8"/>
  </r>
  <r>
    <n v="309"/>
    <x v="2"/>
    <d v="2025-07-11T00:00:00"/>
    <x v="1"/>
    <x v="1"/>
    <x v="0"/>
    <x v="1"/>
    <n v="2"/>
    <n v="12"/>
    <s v="Cash"/>
    <x v="1"/>
    <n v="24"/>
  </r>
  <r>
    <n v="245"/>
    <x v="5"/>
    <d v="2025-07-28T00:00:00"/>
    <x v="1"/>
    <x v="4"/>
    <x v="1"/>
    <x v="2"/>
    <n v="3"/>
    <n v="20"/>
    <s v="Mobile Wallet"/>
    <x v="3"/>
    <n v="60"/>
  </r>
  <r>
    <n v="699"/>
    <x v="4"/>
    <d v="2025-07-03T00:00:00"/>
    <x v="1"/>
    <x v="5"/>
    <x v="1"/>
    <x v="4"/>
    <n v="4"/>
    <n v="8"/>
    <s v="Cash"/>
    <x v="2"/>
    <n v="32"/>
  </r>
  <r>
    <n v="1913"/>
    <x v="4"/>
    <d v="2025-09-01T00:00:00"/>
    <x v="2"/>
    <x v="4"/>
    <x v="3"/>
    <x v="1"/>
    <n v="4"/>
    <n v="12"/>
    <s v="Card"/>
    <x v="1"/>
    <n v="48"/>
  </r>
  <r>
    <n v="552"/>
    <x v="6"/>
    <d v="2025-08-17T00:00:00"/>
    <x v="0"/>
    <x v="0"/>
    <x v="3"/>
    <x v="1"/>
    <n v="1"/>
    <n v="12"/>
    <s v="Mobile Wallet"/>
    <x v="3"/>
    <n v="12"/>
  </r>
  <r>
    <n v="215"/>
    <x v="7"/>
    <d v="2025-09-19T00:00:00"/>
    <x v="2"/>
    <x v="1"/>
    <x v="2"/>
    <x v="4"/>
    <n v="3"/>
    <n v="8"/>
    <s v="Card"/>
    <x v="1"/>
    <n v="24"/>
  </r>
  <r>
    <n v="1210"/>
    <x v="1"/>
    <d v="2025-09-02T00:00:00"/>
    <x v="2"/>
    <x v="3"/>
    <x v="3"/>
    <x v="0"/>
    <n v="2"/>
    <n v="25"/>
    <s v="Mobile Wallet"/>
    <x v="3"/>
    <n v="50"/>
  </r>
  <r>
    <n v="656"/>
    <x v="1"/>
    <d v="2025-09-27T00:00:00"/>
    <x v="2"/>
    <x v="2"/>
    <x v="3"/>
    <x v="1"/>
    <n v="1"/>
    <n v="12"/>
    <s v="Card"/>
    <x v="0"/>
    <n v="12"/>
  </r>
  <r>
    <n v="88"/>
    <x v="3"/>
    <d v="2025-07-12T00:00:00"/>
    <x v="1"/>
    <x v="2"/>
    <x v="3"/>
    <x v="4"/>
    <n v="2"/>
    <n v="8"/>
    <s v="Mobile Wallet"/>
    <x v="3"/>
    <n v="16"/>
  </r>
  <r>
    <n v="419"/>
    <x v="2"/>
    <d v="2025-07-08T00:00:00"/>
    <x v="1"/>
    <x v="3"/>
    <x v="3"/>
    <x v="1"/>
    <n v="5"/>
    <n v="12"/>
    <s v="Mobile Wallet"/>
    <x v="0"/>
    <n v="60"/>
  </r>
  <r>
    <n v="697"/>
    <x v="5"/>
    <d v="2025-07-09T00:00:00"/>
    <x v="1"/>
    <x v="6"/>
    <x v="1"/>
    <x v="4"/>
    <n v="1"/>
    <n v="8"/>
    <s v="Cash"/>
    <x v="0"/>
    <n v="8"/>
  </r>
  <r>
    <n v="1080"/>
    <x v="3"/>
    <d v="2025-09-27T00:00:00"/>
    <x v="2"/>
    <x v="2"/>
    <x v="0"/>
    <x v="3"/>
    <n v="1"/>
    <n v="30"/>
    <s v="Card"/>
    <x v="2"/>
    <n v="30"/>
  </r>
  <r>
    <n v="440"/>
    <x v="7"/>
    <d v="2025-09-16T00:00:00"/>
    <x v="2"/>
    <x v="3"/>
    <x v="0"/>
    <x v="1"/>
    <n v="3"/>
    <n v="12"/>
    <s v="Cash"/>
    <x v="1"/>
    <n v="36"/>
  </r>
  <r>
    <n v="1165"/>
    <x v="1"/>
    <d v="2025-08-20T00:00:00"/>
    <x v="0"/>
    <x v="6"/>
    <x v="3"/>
    <x v="1"/>
    <n v="1"/>
    <n v="12"/>
    <s v="Cash"/>
    <x v="3"/>
    <n v="12"/>
  </r>
  <r>
    <n v="1926"/>
    <x v="1"/>
    <d v="2025-07-30T00:00:00"/>
    <x v="1"/>
    <x v="6"/>
    <x v="1"/>
    <x v="1"/>
    <n v="1"/>
    <n v="12"/>
    <s v="Card"/>
    <x v="2"/>
    <n v="12"/>
  </r>
  <r>
    <n v="135"/>
    <x v="5"/>
    <d v="2025-08-01T00:00:00"/>
    <x v="0"/>
    <x v="1"/>
    <x v="0"/>
    <x v="4"/>
    <n v="2"/>
    <n v="8"/>
    <s v="Card"/>
    <x v="1"/>
    <n v="16"/>
  </r>
  <r>
    <n v="1759"/>
    <x v="5"/>
    <d v="2025-08-19T00:00:00"/>
    <x v="0"/>
    <x v="3"/>
    <x v="0"/>
    <x v="1"/>
    <n v="3"/>
    <n v="12"/>
    <s v="Cash"/>
    <x v="1"/>
    <n v="36"/>
  </r>
  <r>
    <n v="1753"/>
    <x v="4"/>
    <d v="2025-09-02T00:00:00"/>
    <x v="2"/>
    <x v="3"/>
    <x v="3"/>
    <x v="1"/>
    <n v="2"/>
    <n v="12"/>
    <s v="Cash"/>
    <x v="3"/>
    <n v="24"/>
  </r>
  <r>
    <n v="1995"/>
    <x v="1"/>
    <d v="2025-07-27T00:00:00"/>
    <x v="1"/>
    <x v="0"/>
    <x v="2"/>
    <x v="1"/>
    <n v="4"/>
    <n v="12"/>
    <s v="Cash"/>
    <x v="2"/>
    <n v="48"/>
  </r>
  <r>
    <n v="1414"/>
    <x v="2"/>
    <d v="2025-08-04T00:00:00"/>
    <x v="0"/>
    <x v="4"/>
    <x v="1"/>
    <x v="1"/>
    <n v="2"/>
    <n v="12"/>
    <s v="Mobile Wallet"/>
    <x v="0"/>
    <n v="24"/>
  </r>
  <r>
    <n v="1951"/>
    <x v="6"/>
    <d v="2025-08-06T00:00:00"/>
    <x v="0"/>
    <x v="6"/>
    <x v="3"/>
    <x v="1"/>
    <n v="5"/>
    <n v="12"/>
    <s v="Card"/>
    <x v="1"/>
    <n v="60"/>
  </r>
  <r>
    <n v="942"/>
    <x v="1"/>
    <d v="2025-09-17T00:00:00"/>
    <x v="2"/>
    <x v="6"/>
    <x v="0"/>
    <x v="0"/>
    <n v="2"/>
    <n v="25"/>
    <s v="Mobile Wallet"/>
    <x v="1"/>
    <n v="50"/>
  </r>
  <r>
    <n v="737"/>
    <x v="6"/>
    <d v="2025-08-08T00:00:00"/>
    <x v="0"/>
    <x v="1"/>
    <x v="0"/>
    <x v="3"/>
    <n v="5"/>
    <n v="30"/>
    <s v="Cash"/>
    <x v="1"/>
    <n v="150"/>
  </r>
  <r>
    <n v="1006"/>
    <x v="1"/>
    <d v="2025-08-10T00:00:00"/>
    <x v="0"/>
    <x v="0"/>
    <x v="3"/>
    <x v="2"/>
    <n v="4"/>
    <n v="20"/>
    <s v="Mobile Wallet"/>
    <x v="2"/>
    <n v="80"/>
  </r>
  <r>
    <n v="1068"/>
    <x v="5"/>
    <d v="2025-08-05T00:00:00"/>
    <x v="0"/>
    <x v="3"/>
    <x v="3"/>
    <x v="3"/>
    <n v="3"/>
    <n v="30"/>
    <s v="Mobile Wallet"/>
    <x v="0"/>
    <n v="90"/>
  </r>
  <r>
    <n v="234"/>
    <x v="6"/>
    <d v="2025-07-01T00:00:00"/>
    <x v="1"/>
    <x v="3"/>
    <x v="0"/>
    <x v="2"/>
    <n v="3"/>
    <n v="20"/>
    <s v="Card"/>
    <x v="2"/>
    <n v="60"/>
  </r>
  <r>
    <n v="793"/>
    <x v="1"/>
    <d v="2025-07-27T00:00:00"/>
    <x v="1"/>
    <x v="0"/>
    <x v="3"/>
    <x v="0"/>
    <n v="3"/>
    <n v="25"/>
    <s v="Cash"/>
    <x v="1"/>
    <n v="75"/>
  </r>
  <r>
    <n v="1334"/>
    <x v="2"/>
    <d v="2025-08-31T00:00:00"/>
    <x v="0"/>
    <x v="0"/>
    <x v="1"/>
    <x v="1"/>
    <n v="2"/>
    <n v="12"/>
    <s v="Card"/>
    <x v="1"/>
    <n v="24"/>
  </r>
  <r>
    <n v="557"/>
    <x v="2"/>
    <d v="2025-09-21T00:00:00"/>
    <x v="2"/>
    <x v="0"/>
    <x v="1"/>
    <x v="0"/>
    <n v="2"/>
    <n v="25"/>
    <s v="Card"/>
    <x v="3"/>
    <n v="50"/>
  </r>
  <r>
    <n v="207"/>
    <x v="2"/>
    <d v="2025-07-17T00:00:00"/>
    <x v="1"/>
    <x v="5"/>
    <x v="0"/>
    <x v="1"/>
    <n v="5"/>
    <n v="12"/>
    <s v="Cash"/>
    <x v="1"/>
    <n v="60"/>
  </r>
  <r>
    <n v="640"/>
    <x v="2"/>
    <d v="2025-09-08T00:00:00"/>
    <x v="2"/>
    <x v="4"/>
    <x v="1"/>
    <x v="4"/>
    <n v="5"/>
    <n v="8"/>
    <s v="Mobile Wallet"/>
    <x v="1"/>
    <n v="40"/>
  </r>
  <r>
    <n v="387"/>
    <x v="7"/>
    <d v="2025-09-26T00:00:00"/>
    <x v="2"/>
    <x v="1"/>
    <x v="2"/>
    <x v="1"/>
    <n v="2"/>
    <n v="12"/>
    <s v="Card"/>
    <x v="1"/>
    <n v="24"/>
  </r>
  <r>
    <n v="1809"/>
    <x v="6"/>
    <d v="2025-09-14T00:00:00"/>
    <x v="2"/>
    <x v="0"/>
    <x v="3"/>
    <x v="1"/>
    <n v="3"/>
    <n v="12"/>
    <s v="Cash"/>
    <x v="1"/>
    <n v="36"/>
  </r>
  <r>
    <n v="540"/>
    <x v="4"/>
    <d v="2025-07-24T00:00:00"/>
    <x v="1"/>
    <x v="5"/>
    <x v="0"/>
    <x v="4"/>
    <n v="5"/>
    <n v="8"/>
    <s v="Cash"/>
    <x v="1"/>
    <n v="40"/>
  </r>
  <r>
    <n v="32"/>
    <x v="3"/>
    <d v="2025-09-23T00:00:00"/>
    <x v="2"/>
    <x v="3"/>
    <x v="3"/>
    <x v="0"/>
    <n v="2"/>
    <n v="25"/>
    <s v="Card"/>
    <x v="3"/>
    <n v="50"/>
  </r>
  <r>
    <n v="936"/>
    <x v="3"/>
    <d v="2025-08-02T00:00:00"/>
    <x v="0"/>
    <x v="2"/>
    <x v="3"/>
    <x v="1"/>
    <n v="3"/>
    <n v="12"/>
    <s v="Mobile Wallet"/>
    <x v="1"/>
    <n v="36"/>
  </r>
  <r>
    <n v="1851"/>
    <x v="7"/>
    <d v="2025-07-31T00:00:00"/>
    <x v="1"/>
    <x v="5"/>
    <x v="1"/>
    <x v="1"/>
    <n v="5"/>
    <n v="12"/>
    <s v="Card"/>
    <x v="3"/>
    <n v="60"/>
  </r>
  <r>
    <n v="949"/>
    <x v="0"/>
    <d v="2025-09-21T00:00:00"/>
    <x v="2"/>
    <x v="0"/>
    <x v="2"/>
    <x v="1"/>
    <n v="2"/>
    <n v="12"/>
    <s v="Cash"/>
    <x v="2"/>
    <n v="24"/>
  </r>
  <r>
    <n v="11"/>
    <x v="7"/>
    <d v="2025-08-09T00:00:00"/>
    <x v="0"/>
    <x v="2"/>
    <x v="0"/>
    <x v="1"/>
    <n v="2"/>
    <n v="12"/>
    <s v="Card"/>
    <x v="3"/>
    <n v="24"/>
  </r>
  <r>
    <n v="257"/>
    <x v="5"/>
    <d v="2025-08-04T00:00:00"/>
    <x v="0"/>
    <x v="4"/>
    <x v="0"/>
    <x v="0"/>
    <n v="3"/>
    <n v="25"/>
    <s v="Cash"/>
    <x v="0"/>
    <n v="75"/>
  </r>
  <r>
    <n v="1673"/>
    <x v="2"/>
    <d v="2025-09-13T00:00:00"/>
    <x v="2"/>
    <x v="2"/>
    <x v="0"/>
    <x v="4"/>
    <n v="3"/>
    <n v="8"/>
    <s v="Card"/>
    <x v="3"/>
    <n v="24"/>
  </r>
  <r>
    <n v="1184"/>
    <x v="6"/>
    <d v="2025-08-24T00:00:00"/>
    <x v="0"/>
    <x v="0"/>
    <x v="1"/>
    <x v="1"/>
    <n v="1"/>
    <n v="12"/>
    <s v="Card"/>
    <x v="0"/>
    <n v="12"/>
  </r>
  <r>
    <n v="1860"/>
    <x v="3"/>
    <d v="2025-09-28T00:00:00"/>
    <x v="2"/>
    <x v="0"/>
    <x v="3"/>
    <x v="2"/>
    <n v="3"/>
    <n v="20"/>
    <s v="Card"/>
    <x v="0"/>
    <n v="60"/>
  </r>
  <r>
    <n v="5"/>
    <x v="7"/>
    <d v="2025-08-24T00:00:00"/>
    <x v="0"/>
    <x v="0"/>
    <x v="1"/>
    <x v="1"/>
    <n v="4"/>
    <n v="12"/>
    <s v="Card"/>
    <x v="1"/>
    <n v="48"/>
  </r>
  <r>
    <n v="1963"/>
    <x v="4"/>
    <d v="2025-09-01T00:00:00"/>
    <x v="2"/>
    <x v="4"/>
    <x v="3"/>
    <x v="1"/>
    <n v="3"/>
    <n v="12"/>
    <s v="Card"/>
    <x v="1"/>
    <n v="36"/>
  </r>
  <r>
    <n v="1559"/>
    <x v="5"/>
    <d v="2025-08-24T00:00:00"/>
    <x v="0"/>
    <x v="0"/>
    <x v="2"/>
    <x v="1"/>
    <n v="4"/>
    <n v="12"/>
    <s v="Mobile Wallet"/>
    <x v="1"/>
    <n v="48"/>
  </r>
  <r>
    <n v="484"/>
    <x v="0"/>
    <d v="2025-09-13T00:00:00"/>
    <x v="2"/>
    <x v="2"/>
    <x v="1"/>
    <x v="1"/>
    <n v="3"/>
    <n v="12"/>
    <s v="Mobile Wallet"/>
    <x v="1"/>
    <n v="36"/>
  </r>
  <r>
    <n v="1573"/>
    <x v="0"/>
    <d v="2025-07-25T00:00:00"/>
    <x v="1"/>
    <x v="1"/>
    <x v="1"/>
    <x v="2"/>
    <n v="5"/>
    <n v="20"/>
    <s v="Card"/>
    <x v="2"/>
    <n v="100"/>
  </r>
  <r>
    <n v="1747"/>
    <x v="6"/>
    <d v="2025-08-02T00:00:00"/>
    <x v="0"/>
    <x v="2"/>
    <x v="1"/>
    <x v="4"/>
    <n v="1"/>
    <n v="8"/>
    <s v="Mobile Wallet"/>
    <x v="0"/>
    <n v="8"/>
  </r>
  <r>
    <n v="608"/>
    <x v="2"/>
    <d v="2025-07-27T00:00:00"/>
    <x v="1"/>
    <x v="0"/>
    <x v="3"/>
    <x v="1"/>
    <n v="2"/>
    <n v="12"/>
    <s v="Mobile Wallet"/>
    <x v="1"/>
    <n v="24"/>
  </r>
  <r>
    <n v="131"/>
    <x v="6"/>
    <d v="2025-07-01T00:00:00"/>
    <x v="1"/>
    <x v="3"/>
    <x v="3"/>
    <x v="1"/>
    <n v="1"/>
    <n v="12"/>
    <s v="Mobile Wallet"/>
    <x v="1"/>
    <n v="12"/>
  </r>
  <r>
    <n v="1279"/>
    <x v="1"/>
    <d v="2025-07-13T00:00:00"/>
    <x v="1"/>
    <x v="0"/>
    <x v="1"/>
    <x v="1"/>
    <n v="1"/>
    <n v="12"/>
    <s v="Cash"/>
    <x v="0"/>
    <n v="12"/>
  </r>
  <r>
    <n v="875"/>
    <x v="4"/>
    <d v="2025-07-14T00:00:00"/>
    <x v="1"/>
    <x v="4"/>
    <x v="1"/>
    <x v="4"/>
    <n v="5"/>
    <n v="8"/>
    <s v="Mobile Wallet"/>
    <x v="0"/>
    <n v="40"/>
  </r>
  <r>
    <n v="768"/>
    <x v="2"/>
    <d v="2025-07-05T00:00:00"/>
    <x v="1"/>
    <x v="2"/>
    <x v="0"/>
    <x v="1"/>
    <n v="3"/>
    <n v="12"/>
    <s v="Mobile Wallet"/>
    <x v="0"/>
    <n v="36"/>
  </r>
  <r>
    <n v="1537"/>
    <x v="3"/>
    <d v="2025-08-02T00:00:00"/>
    <x v="0"/>
    <x v="2"/>
    <x v="3"/>
    <x v="1"/>
    <n v="3"/>
    <n v="12"/>
    <s v="Cash"/>
    <x v="1"/>
    <n v="36"/>
  </r>
  <r>
    <n v="602"/>
    <x v="2"/>
    <d v="2025-09-26T00:00:00"/>
    <x v="2"/>
    <x v="1"/>
    <x v="3"/>
    <x v="1"/>
    <n v="1"/>
    <n v="12"/>
    <s v="Mobile Wallet"/>
    <x v="1"/>
    <n v="12"/>
  </r>
  <r>
    <n v="828"/>
    <x v="4"/>
    <d v="2025-08-18T00:00:00"/>
    <x v="0"/>
    <x v="4"/>
    <x v="3"/>
    <x v="1"/>
    <n v="4"/>
    <n v="12"/>
    <s v="Mobile Wallet"/>
    <x v="1"/>
    <n v="48"/>
  </r>
  <r>
    <n v="1318"/>
    <x v="2"/>
    <d v="2025-07-20T00:00:00"/>
    <x v="1"/>
    <x v="0"/>
    <x v="2"/>
    <x v="1"/>
    <n v="2"/>
    <n v="12"/>
    <s v="Cash"/>
    <x v="1"/>
    <n v="24"/>
  </r>
  <r>
    <n v="727"/>
    <x v="7"/>
    <d v="2025-09-06T00:00:00"/>
    <x v="2"/>
    <x v="2"/>
    <x v="1"/>
    <x v="1"/>
    <n v="5"/>
    <n v="12"/>
    <s v="Cash"/>
    <x v="3"/>
    <n v="60"/>
  </r>
  <r>
    <n v="1469"/>
    <x v="6"/>
    <d v="2025-09-29T00:00:00"/>
    <x v="2"/>
    <x v="4"/>
    <x v="0"/>
    <x v="2"/>
    <n v="2"/>
    <n v="20"/>
    <s v="Cash"/>
    <x v="1"/>
    <n v="40"/>
  </r>
  <r>
    <n v="815"/>
    <x v="6"/>
    <d v="2025-09-15T00:00:00"/>
    <x v="2"/>
    <x v="4"/>
    <x v="1"/>
    <x v="0"/>
    <n v="3"/>
    <n v="25"/>
    <s v="Card"/>
    <x v="1"/>
    <n v="75"/>
  </r>
  <r>
    <n v="300"/>
    <x v="2"/>
    <d v="2025-08-31T00:00:00"/>
    <x v="0"/>
    <x v="0"/>
    <x v="1"/>
    <x v="1"/>
    <n v="1"/>
    <n v="12"/>
    <s v="Card"/>
    <x v="1"/>
    <n v="12"/>
  </r>
  <r>
    <n v="755"/>
    <x v="4"/>
    <d v="2025-08-10T00:00:00"/>
    <x v="0"/>
    <x v="0"/>
    <x v="1"/>
    <x v="3"/>
    <n v="3"/>
    <n v="30"/>
    <s v="Cash"/>
    <x v="1"/>
    <n v="90"/>
  </r>
  <r>
    <n v="1788"/>
    <x v="6"/>
    <d v="2025-08-31T00:00:00"/>
    <x v="0"/>
    <x v="0"/>
    <x v="3"/>
    <x v="1"/>
    <n v="4"/>
    <n v="12"/>
    <s v="Mobile Wallet"/>
    <x v="1"/>
    <n v="48"/>
  </r>
  <r>
    <n v="1256"/>
    <x v="4"/>
    <d v="2025-09-11T00:00:00"/>
    <x v="2"/>
    <x v="5"/>
    <x v="2"/>
    <x v="1"/>
    <n v="2"/>
    <n v="12"/>
    <s v="Card"/>
    <x v="1"/>
    <n v="24"/>
  </r>
  <r>
    <n v="565"/>
    <x v="6"/>
    <d v="2025-07-10T00:00:00"/>
    <x v="1"/>
    <x v="5"/>
    <x v="2"/>
    <x v="1"/>
    <n v="2"/>
    <n v="12"/>
    <s v="Mobile Wallet"/>
    <x v="1"/>
    <n v="24"/>
  </r>
  <r>
    <n v="500"/>
    <x v="6"/>
    <d v="2025-08-05T00:00:00"/>
    <x v="0"/>
    <x v="3"/>
    <x v="1"/>
    <x v="1"/>
    <n v="1"/>
    <n v="12"/>
    <s v="Card"/>
    <x v="1"/>
    <n v="12"/>
  </r>
  <r>
    <n v="669"/>
    <x v="1"/>
    <d v="2025-07-13T00:00:00"/>
    <x v="1"/>
    <x v="0"/>
    <x v="3"/>
    <x v="4"/>
    <n v="1"/>
    <n v="8"/>
    <s v="Cash"/>
    <x v="1"/>
    <n v="8"/>
  </r>
  <r>
    <n v="743"/>
    <x v="4"/>
    <d v="2025-08-24T00:00:00"/>
    <x v="0"/>
    <x v="0"/>
    <x v="0"/>
    <x v="1"/>
    <n v="4"/>
    <n v="12"/>
    <s v="Card"/>
    <x v="1"/>
    <n v="48"/>
  </r>
  <r>
    <n v="14"/>
    <x v="7"/>
    <d v="2025-08-21T00:00:00"/>
    <x v="0"/>
    <x v="5"/>
    <x v="1"/>
    <x v="1"/>
    <n v="5"/>
    <n v="12"/>
    <s v="Cash"/>
    <x v="1"/>
    <n v="60"/>
  </r>
  <r>
    <n v="1660"/>
    <x v="2"/>
    <d v="2025-09-06T00:00:00"/>
    <x v="2"/>
    <x v="2"/>
    <x v="0"/>
    <x v="3"/>
    <n v="5"/>
    <n v="30"/>
    <s v="Card"/>
    <x v="1"/>
    <n v="150"/>
  </r>
  <r>
    <n v="381"/>
    <x v="2"/>
    <d v="2025-09-07T00:00:00"/>
    <x v="2"/>
    <x v="0"/>
    <x v="2"/>
    <x v="2"/>
    <n v="3"/>
    <n v="20"/>
    <s v="Cash"/>
    <x v="0"/>
    <n v="60"/>
  </r>
  <r>
    <n v="375"/>
    <x v="3"/>
    <d v="2025-07-19T00:00:00"/>
    <x v="1"/>
    <x v="2"/>
    <x v="2"/>
    <x v="4"/>
    <n v="3"/>
    <n v="8"/>
    <s v="Cash"/>
    <x v="0"/>
    <n v="24"/>
  </r>
  <r>
    <n v="1194"/>
    <x v="2"/>
    <d v="2025-08-12T00:00:00"/>
    <x v="0"/>
    <x v="3"/>
    <x v="3"/>
    <x v="1"/>
    <n v="2"/>
    <n v="12"/>
    <s v="Cash"/>
    <x v="0"/>
    <n v="24"/>
  </r>
  <r>
    <n v="438"/>
    <x v="2"/>
    <d v="2025-08-31T00:00:00"/>
    <x v="0"/>
    <x v="0"/>
    <x v="0"/>
    <x v="1"/>
    <n v="3"/>
    <n v="12"/>
    <s v="Mobile Wallet"/>
    <x v="1"/>
    <n v="36"/>
  </r>
  <r>
    <n v="304"/>
    <x v="0"/>
    <d v="2025-07-13T00:00:00"/>
    <x v="1"/>
    <x v="0"/>
    <x v="3"/>
    <x v="1"/>
    <n v="1"/>
    <n v="12"/>
    <s v="Cash"/>
    <x v="1"/>
    <n v="12"/>
  </r>
  <r>
    <n v="1261"/>
    <x v="5"/>
    <d v="2025-08-10T00:00:00"/>
    <x v="0"/>
    <x v="0"/>
    <x v="1"/>
    <x v="1"/>
    <n v="3"/>
    <n v="12"/>
    <s v="Card"/>
    <x v="0"/>
    <n v="36"/>
  </r>
  <r>
    <n v="1817"/>
    <x v="4"/>
    <d v="2025-08-02T00:00:00"/>
    <x v="0"/>
    <x v="2"/>
    <x v="0"/>
    <x v="1"/>
    <n v="4"/>
    <n v="12"/>
    <s v="Mobile Wallet"/>
    <x v="0"/>
    <n v="48"/>
  </r>
  <r>
    <n v="1019"/>
    <x v="2"/>
    <d v="2025-09-19T00:00:00"/>
    <x v="2"/>
    <x v="1"/>
    <x v="1"/>
    <x v="1"/>
    <n v="5"/>
    <n v="12"/>
    <s v="Card"/>
    <x v="3"/>
    <n v="60"/>
  </r>
  <r>
    <n v="870"/>
    <x v="0"/>
    <d v="2025-07-12T00:00:00"/>
    <x v="1"/>
    <x v="2"/>
    <x v="0"/>
    <x v="1"/>
    <n v="1"/>
    <n v="12"/>
    <s v="Cash"/>
    <x v="3"/>
    <n v="12"/>
  </r>
  <r>
    <n v="1481"/>
    <x v="7"/>
    <d v="2025-09-20T00:00:00"/>
    <x v="2"/>
    <x v="2"/>
    <x v="2"/>
    <x v="1"/>
    <n v="2"/>
    <n v="12"/>
    <s v="Card"/>
    <x v="0"/>
    <n v="24"/>
  </r>
  <r>
    <n v="1254"/>
    <x v="4"/>
    <d v="2025-08-07T00:00:00"/>
    <x v="0"/>
    <x v="5"/>
    <x v="0"/>
    <x v="1"/>
    <n v="3"/>
    <n v="12"/>
    <s v="Mobile Wallet"/>
    <x v="2"/>
    <n v="36"/>
  </r>
  <r>
    <n v="1866"/>
    <x v="4"/>
    <d v="2025-09-14T00:00:00"/>
    <x v="2"/>
    <x v="0"/>
    <x v="1"/>
    <x v="1"/>
    <n v="4"/>
    <n v="12"/>
    <s v="Mobile Wallet"/>
    <x v="0"/>
    <n v="48"/>
  </r>
  <r>
    <n v="1384"/>
    <x v="6"/>
    <d v="2025-07-26T00:00:00"/>
    <x v="1"/>
    <x v="2"/>
    <x v="0"/>
    <x v="1"/>
    <n v="2"/>
    <n v="12"/>
    <s v="Mobile Wallet"/>
    <x v="2"/>
    <n v="24"/>
  </r>
  <r>
    <n v="280"/>
    <x v="4"/>
    <d v="2025-08-15T00:00:00"/>
    <x v="0"/>
    <x v="1"/>
    <x v="0"/>
    <x v="1"/>
    <n v="4"/>
    <n v="12"/>
    <s v="Card"/>
    <x v="0"/>
    <n v="48"/>
  </r>
  <r>
    <n v="1503"/>
    <x v="0"/>
    <d v="2025-08-13T00:00:00"/>
    <x v="0"/>
    <x v="6"/>
    <x v="3"/>
    <x v="3"/>
    <n v="4"/>
    <n v="30"/>
    <s v="Mobile Wallet"/>
    <x v="0"/>
    <n v="120"/>
  </r>
  <r>
    <n v="877"/>
    <x v="4"/>
    <d v="2025-09-08T00:00:00"/>
    <x v="2"/>
    <x v="4"/>
    <x v="2"/>
    <x v="1"/>
    <n v="5"/>
    <n v="12"/>
    <s v="Cash"/>
    <x v="0"/>
    <n v="60"/>
  </r>
  <r>
    <n v="1159"/>
    <x v="6"/>
    <d v="2025-09-02T00:00:00"/>
    <x v="2"/>
    <x v="3"/>
    <x v="1"/>
    <x v="2"/>
    <n v="4"/>
    <n v="20"/>
    <s v="Mobile Wallet"/>
    <x v="0"/>
    <n v="80"/>
  </r>
  <r>
    <n v="238"/>
    <x v="0"/>
    <d v="2025-07-20T00:00:00"/>
    <x v="1"/>
    <x v="0"/>
    <x v="0"/>
    <x v="1"/>
    <n v="4"/>
    <n v="12"/>
    <s v="Mobile Wallet"/>
    <x v="3"/>
    <n v="48"/>
  </r>
  <r>
    <n v="179"/>
    <x v="3"/>
    <d v="2025-08-02T00:00:00"/>
    <x v="0"/>
    <x v="2"/>
    <x v="0"/>
    <x v="4"/>
    <n v="5"/>
    <n v="8"/>
    <s v="Mobile Wallet"/>
    <x v="3"/>
    <n v="40"/>
  </r>
  <r>
    <n v="1789"/>
    <x v="1"/>
    <d v="2025-09-05T00:00:00"/>
    <x v="2"/>
    <x v="1"/>
    <x v="2"/>
    <x v="1"/>
    <n v="2"/>
    <n v="12"/>
    <s v="Card"/>
    <x v="0"/>
    <n v="24"/>
  </r>
  <r>
    <n v="1750"/>
    <x v="5"/>
    <d v="2025-09-30T00:00:00"/>
    <x v="2"/>
    <x v="3"/>
    <x v="2"/>
    <x v="2"/>
    <n v="4"/>
    <n v="20"/>
    <s v="Cash"/>
    <x v="1"/>
    <n v="80"/>
  </r>
  <r>
    <n v="1919"/>
    <x v="7"/>
    <d v="2025-07-02T00:00:00"/>
    <x v="1"/>
    <x v="6"/>
    <x v="1"/>
    <x v="4"/>
    <n v="5"/>
    <n v="8"/>
    <s v="Cash"/>
    <x v="3"/>
    <n v="40"/>
  </r>
  <r>
    <n v="1046"/>
    <x v="7"/>
    <d v="2025-07-28T00:00:00"/>
    <x v="1"/>
    <x v="4"/>
    <x v="0"/>
    <x v="4"/>
    <n v="1"/>
    <n v="8"/>
    <s v="Mobile Wallet"/>
    <x v="2"/>
    <n v="8"/>
  </r>
  <r>
    <n v="1968"/>
    <x v="2"/>
    <d v="2025-09-21T00:00:00"/>
    <x v="2"/>
    <x v="0"/>
    <x v="1"/>
    <x v="1"/>
    <n v="1"/>
    <n v="12"/>
    <s v="Mobile Wallet"/>
    <x v="3"/>
    <n v="12"/>
  </r>
  <r>
    <n v="1873"/>
    <x v="7"/>
    <d v="2025-09-21T00:00:00"/>
    <x v="2"/>
    <x v="0"/>
    <x v="0"/>
    <x v="1"/>
    <n v="5"/>
    <n v="12"/>
    <s v="Card"/>
    <x v="0"/>
    <n v="60"/>
  </r>
  <r>
    <n v="689"/>
    <x v="5"/>
    <d v="2025-07-29T00:00:00"/>
    <x v="1"/>
    <x v="3"/>
    <x v="3"/>
    <x v="1"/>
    <n v="2"/>
    <n v="12"/>
    <s v="Card"/>
    <x v="3"/>
    <n v="24"/>
  </r>
  <r>
    <n v="1415"/>
    <x v="4"/>
    <d v="2025-07-11T00:00:00"/>
    <x v="1"/>
    <x v="1"/>
    <x v="3"/>
    <x v="4"/>
    <n v="2"/>
    <n v="8"/>
    <s v="Mobile Wallet"/>
    <x v="3"/>
    <n v="16"/>
  </r>
  <r>
    <n v="371"/>
    <x v="6"/>
    <d v="2025-07-04T00:00:00"/>
    <x v="1"/>
    <x v="1"/>
    <x v="1"/>
    <x v="4"/>
    <n v="2"/>
    <n v="8"/>
    <s v="Mobile Wallet"/>
    <x v="0"/>
    <n v="16"/>
  </r>
  <r>
    <n v="1069"/>
    <x v="1"/>
    <d v="2025-08-27T00:00:00"/>
    <x v="0"/>
    <x v="6"/>
    <x v="1"/>
    <x v="1"/>
    <n v="1"/>
    <n v="12"/>
    <s v="Card"/>
    <x v="0"/>
    <n v="12"/>
  </r>
  <r>
    <n v="530"/>
    <x v="4"/>
    <d v="2025-09-24T00:00:00"/>
    <x v="2"/>
    <x v="6"/>
    <x v="3"/>
    <x v="3"/>
    <n v="4"/>
    <n v="30"/>
    <s v="Cash"/>
    <x v="0"/>
    <n v="120"/>
  </r>
  <r>
    <n v="1361"/>
    <x v="0"/>
    <d v="2025-09-27T00:00:00"/>
    <x v="2"/>
    <x v="2"/>
    <x v="2"/>
    <x v="4"/>
    <n v="1"/>
    <n v="8"/>
    <s v="Mobile Wallet"/>
    <x v="0"/>
    <n v="8"/>
  </r>
  <r>
    <n v="1096"/>
    <x v="4"/>
    <d v="2025-07-12T00:00:00"/>
    <x v="1"/>
    <x v="2"/>
    <x v="1"/>
    <x v="4"/>
    <n v="5"/>
    <n v="8"/>
    <s v="Cash"/>
    <x v="3"/>
    <n v="40"/>
  </r>
  <r>
    <n v="423"/>
    <x v="0"/>
    <d v="2025-09-21T00:00:00"/>
    <x v="2"/>
    <x v="0"/>
    <x v="3"/>
    <x v="4"/>
    <n v="2"/>
    <n v="8"/>
    <s v="Cash"/>
    <x v="2"/>
    <n v="16"/>
  </r>
  <r>
    <n v="227"/>
    <x v="1"/>
    <d v="2025-09-22T00:00:00"/>
    <x v="2"/>
    <x v="4"/>
    <x v="0"/>
    <x v="1"/>
    <n v="5"/>
    <n v="12"/>
    <s v="Mobile Wallet"/>
    <x v="3"/>
    <n v="60"/>
  </r>
  <r>
    <n v="920"/>
    <x v="2"/>
    <d v="2025-07-26T00:00:00"/>
    <x v="1"/>
    <x v="2"/>
    <x v="2"/>
    <x v="1"/>
    <n v="3"/>
    <n v="12"/>
    <s v="Cash"/>
    <x v="1"/>
    <n v="36"/>
  </r>
  <r>
    <n v="1623"/>
    <x v="0"/>
    <d v="2025-08-04T00:00:00"/>
    <x v="0"/>
    <x v="4"/>
    <x v="1"/>
    <x v="1"/>
    <n v="4"/>
    <n v="12"/>
    <s v="Cash"/>
    <x v="1"/>
    <n v="48"/>
  </r>
  <r>
    <n v="554"/>
    <x v="6"/>
    <d v="2025-08-17T00:00:00"/>
    <x v="0"/>
    <x v="0"/>
    <x v="1"/>
    <x v="3"/>
    <n v="3"/>
    <n v="30"/>
    <s v="Card"/>
    <x v="0"/>
    <n v="90"/>
  </r>
  <r>
    <n v="610"/>
    <x v="2"/>
    <d v="2025-07-06T00:00:00"/>
    <x v="1"/>
    <x v="0"/>
    <x v="1"/>
    <x v="1"/>
    <n v="3"/>
    <n v="12"/>
    <s v="Mobile Wallet"/>
    <x v="3"/>
    <n v="36"/>
  </r>
  <r>
    <n v="1920"/>
    <x v="3"/>
    <d v="2025-08-11T00:00:00"/>
    <x v="0"/>
    <x v="4"/>
    <x v="0"/>
    <x v="2"/>
    <n v="3"/>
    <n v="20"/>
    <s v="Mobile Wallet"/>
    <x v="3"/>
    <n v="60"/>
  </r>
  <r>
    <n v="1266"/>
    <x v="7"/>
    <d v="2025-09-16T00:00:00"/>
    <x v="2"/>
    <x v="3"/>
    <x v="1"/>
    <x v="1"/>
    <n v="5"/>
    <n v="12"/>
    <s v="Cash"/>
    <x v="1"/>
    <n v="60"/>
  </r>
  <r>
    <n v="99"/>
    <x v="0"/>
    <d v="2025-08-15T00:00:00"/>
    <x v="0"/>
    <x v="1"/>
    <x v="2"/>
    <x v="4"/>
    <n v="1"/>
    <n v="8"/>
    <s v="Card"/>
    <x v="3"/>
    <n v="8"/>
  </r>
  <r>
    <n v="1768"/>
    <x v="3"/>
    <d v="2025-08-31T00:00:00"/>
    <x v="0"/>
    <x v="0"/>
    <x v="3"/>
    <x v="1"/>
    <n v="4"/>
    <n v="12"/>
    <s v="Cash"/>
    <x v="0"/>
    <n v="48"/>
  </r>
  <r>
    <n v="1458"/>
    <x v="6"/>
    <d v="2025-08-14T00:00:00"/>
    <x v="0"/>
    <x v="5"/>
    <x v="3"/>
    <x v="4"/>
    <n v="1"/>
    <n v="8"/>
    <s v="Cash"/>
    <x v="1"/>
    <n v="8"/>
  </r>
  <r>
    <n v="798"/>
    <x v="5"/>
    <d v="2025-09-11T00:00:00"/>
    <x v="2"/>
    <x v="5"/>
    <x v="1"/>
    <x v="0"/>
    <n v="3"/>
    <n v="25"/>
    <s v="Cash"/>
    <x v="3"/>
    <n v="75"/>
  </r>
  <r>
    <n v="991"/>
    <x v="4"/>
    <d v="2025-09-29T00:00:00"/>
    <x v="2"/>
    <x v="4"/>
    <x v="2"/>
    <x v="1"/>
    <n v="2"/>
    <n v="12"/>
    <s v="Mobile Wallet"/>
    <x v="0"/>
    <n v="24"/>
  </r>
  <r>
    <n v="1777"/>
    <x v="4"/>
    <d v="2025-08-11T00:00:00"/>
    <x v="0"/>
    <x v="4"/>
    <x v="3"/>
    <x v="2"/>
    <n v="4"/>
    <n v="20"/>
    <s v="Mobile Wallet"/>
    <x v="2"/>
    <n v="80"/>
  </r>
  <r>
    <n v="1672"/>
    <x v="1"/>
    <d v="2025-08-17T00:00:00"/>
    <x v="0"/>
    <x v="0"/>
    <x v="2"/>
    <x v="1"/>
    <n v="5"/>
    <n v="12"/>
    <s v="Card"/>
    <x v="0"/>
    <n v="60"/>
  </r>
  <r>
    <n v="726"/>
    <x v="1"/>
    <d v="2025-08-03T00:00:00"/>
    <x v="0"/>
    <x v="0"/>
    <x v="2"/>
    <x v="1"/>
    <n v="4"/>
    <n v="12"/>
    <s v="Cash"/>
    <x v="1"/>
    <n v="48"/>
  </r>
  <r>
    <n v="1455"/>
    <x v="3"/>
    <d v="2025-07-28T00:00:00"/>
    <x v="1"/>
    <x v="4"/>
    <x v="0"/>
    <x v="3"/>
    <n v="5"/>
    <n v="30"/>
    <s v="Cash"/>
    <x v="1"/>
    <n v="150"/>
  </r>
  <r>
    <n v="398"/>
    <x v="0"/>
    <d v="2025-09-18T00:00:00"/>
    <x v="2"/>
    <x v="5"/>
    <x v="0"/>
    <x v="1"/>
    <n v="5"/>
    <n v="12"/>
    <s v="Card"/>
    <x v="3"/>
    <n v="60"/>
  </r>
  <r>
    <n v="849"/>
    <x v="5"/>
    <d v="2025-07-15T00:00:00"/>
    <x v="1"/>
    <x v="3"/>
    <x v="3"/>
    <x v="0"/>
    <n v="4"/>
    <n v="25"/>
    <s v="Cash"/>
    <x v="2"/>
    <n v="100"/>
  </r>
  <r>
    <n v="1363"/>
    <x v="3"/>
    <d v="2025-08-30T00:00:00"/>
    <x v="0"/>
    <x v="2"/>
    <x v="1"/>
    <x v="4"/>
    <n v="5"/>
    <n v="8"/>
    <s v="Cash"/>
    <x v="3"/>
    <n v="40"/>
  </r>
  <r>
    <n v="937"/>
    <x v="0"/>
    <d v="2025-09-20T00:00:00"/>
    <x v="2"/>
    <x v="2"/>
    <x v="1"/>
    <x v="4"/>
    <n v="5"/>
    <n v="8"/>
    <s v="Card"/>
    <x v="0"/>
    <n v="40"/>
  </r>
  <r>
    <n v="166"/>
    <x v="3"/>
    <d v="2025-09-02T00:00:00"/>
    <x v="2"/>
    <x v="3"/>
    <x v="0"/>
    <x v="3"/>
    <n v="4"/>
    <n v="30"/>
    <s v="Cash"/>
    <x v="3"/>
    <n v="120"/>
  </r>
  <r>
    <n v="348"/>
    <x v="6"/>
    <d v="2025-08-12T00:00:00"/>
    <x v="0"/>
    <x v="3"/>
    <x v="2"/>
    <x v="1"/>
    <n v="2"/>
    <n v="12"/>
    <s v="Mobile Wallet"/>
    <x v="0"/>
    <n v="24"/>
  </r>
  <r>
    <n v="1829"/>
    <x v="0"/>
    <d v="2025-09-23T00:00:00"/>
    <x v="2"/>
    <x v="3"/>
    <x v="3"/>
    <x v="2"/>
    <n v="4"/>
    <n v="20"/>
    <s v="Cash"/>
    <x v="2"/>
    <n v="80"/>
  </r>
  <r>
    <n v="900"/>
    <x v="7"/>
    <d v="2025-07-06T00:00:00"/>
    <x v="1"/>
    <x v="0"/>
    <x v="2"/>
    <x v="1"/>
    <n v="2"/>
    <n v="12"/>
    <s v="Card"/>
    <x v="3"/>
    <n v="24"/>
  </r>
  <r>
    <n v="213"/>
    <x v="1"/>
    <d v="2025-07-05T00:00:00"/>
    <x v="1"/>
    <x v="2"/>
    <x v="2"/>
    <x v="1"/>
    <n v="4"/>
    <n v="12"/>
    <s v="Cash"/>
    <x v="0"/>
    <n v="48"/>
  </r>
  <r>
    <n v="421"/>
    <x v="4"/>
    <d v="2025-07-03T00:00:00"/>
    <x v="1"/>
    <x v="5"/>
    <x v="3"/>
    <x v="1"/>
    <n v="3"/>
    <n v="12"/>
    <s v="Cash"/>
    <x v="3"/>
    <n v="36"/>
  </r>
  <r>
    <n v="134"/>
    <x v="1"/>
    <d v="2025-07-04T00:00:00"/>
    <x v="1"/>
    <x v="1"/>
    <x v="3"/>
    <x v="0"/>
    <n v="4"/>
    <n v="25"/>
    <s v="Cash"/>
    <x v="1"/>
    <n v="100"/>
  </r>
  <r>
    <n v="592"/>
    <x v="2"/>
    <d v="2025-08-02T00:00:00"/>
    <x v="0"/>
    <x v="2"/>
    <x v="2"/>
    <x v="2"/>
    <n v="5"/>
    <n v="20"/>
    <s v="Card"/>
    <x v="1"/>
    <n v="100"/>
  </r>
  <r>
    <n v="948"/>
    <x v="2"/>
    <d v="2025-07-13T00:00:00"/>
    <x v="1"/>
    <x v="0"/>
    <x v="2"/>
    <x v="0"/>
    <n v="2"/>
    <n v="25"/>
    <s v="Cash"/>
    <x v="0"/>
    <n v="50"/>
  </r>
  <r>
    <n v="1048"/>
    <x v="3"/>
    <d v="2025-08-24T00:00:00"/>
    <x v="0"/>
    <x v="0"/>
    <x v="2"/>
    <x v="1"/>
    <n v="5"/>
    <n v="12"/>
    <s v="Card"/>
    <x v="3"/>
    <n v="60"/>
  </r>
  <r>
    <n v="857"/>
    <x v="7"/>
    <d v="2025-08-10T00:00:00"/>
    <x v="0"/>
    <x v="0"/>
    <x v="2"/>
    <x v="1"/>
    <n v="5"/>
    <n v="12"/>
    <s v="Card"/>
    <x v="0"/>
    <n v="60"/>
  </r>
  <r>
    <n v="571"/>
    <x v="0"/>
    <d v="2025-09-01T00:00:00"/>
    <x v="2"/>
    <x v="4"/>
    <x v="2"/>
    <x v="1"/>
    <n v="1"/>
    <n v="12"/>
    <s v="Mobile Wallet"/>
    <x v="2"/>
    <n v="12"/>
  </r>
  <r>
    <n v="157"/>
    <x v="5"/>
    <d v="2025-07-27T00:00:00"/>
    <x v="1"/>
    <x v="0"/>
    <x v="1"/>
    <x v="1"/>
    <n v="4"/>
    <n v="12"/>
    <s v="Card"/>
    <x v="0"/>
    <n v="48"/>
  </r>
  <r>
    <n v="1562"/>
    <x v="6"/>
    <d v="2025-09-28T00:00:00"/>
    <x v="2"/>
    <x v="0"/>
    <x v="1"/>
    <x v="2"/>
    <n v="1"/>
    <n v="20"/>
    <s v="Card"/>
    <x v="2"/>
    <n v="20"/>
  </r>
  <r>
    <n v="1838"/>
    <x v="6"/>
    <d v="2025-08-25T00:00:00"/>
    <x v="0"/>
    <x v="4"/>
    <x v="2"/>
    <x v="1"/>
    <n v="1"/>
    <n v="12"/>
    <s v="Mobile Wallet"/>
    <x v="0"/>
    <n v="12"/>
  </r>
  <r>
    <n v="1689"/>
    <x v="3"/>
    <d v="2025-08-10T00:00:00"/>
    <x v="0"/>
    <x v="0"/>
    <x v="2"/>
    <x v="1"/>
    <n v="3"/>
    <n v="12"/>
    <s v="Card"/>
    <x v="3"/>
    <n v="36"/>
  </r>
  <r>
    <n v="1542"/>
    <x v="5"/>
    <d v="2025-09-01T00:00:00"/>
    <x v="2"/>
    <x v="4"/>
    <x v="2"/>
    <x v="2"/>
    <n v="4"/>
    <n v="20"/>
    <s v="Card"/>
    <x v="2"/>
    <n v="80"/>
  </r>
  <r>
    <n v="1517"/>
    <x v="5"/>
    <d v="2025-09-10T00:00:00"/>
    <x v="2"/>
    <x v="6"/>
    <x v="0"/>
    <x v="1"/>
    <n v="3"/>
    <n v="12"/>
    <s v="Cash"/>
    <x v="1"/>
    <n v="36"/>
  </r>
  <r>
    <n v="1420"/>
    <x v="3"/>
    <d v="2025-08-23T00:00:00"/>
    <x v="0"/>
    <x v="2"/>
    <x v="0"/>
    <x v="1"/>
    <n v="4"/>
    <n v="12"/>
    <s v="Cash"/>
    <x v="3"/>
    <n v="48"/>
  </r>
  <r>
    <n v="780"/>
    <x v="7"/>
    <d v="2025-07-16T00:00:00"/>
    <x v="1"/>
    <x v="6"/>
    <x v="0"/>
    <x v="1"/>
    <n v="2"/>
    <n v="12"/>
    <s v="Cash"/>
    <x v="1"/>
    <n v="24"/>
  </r>
  <r>
    <n v="1105"/>
    <x v="0"/>
    <d v="2025-08-18T00:00:00"/>
    <x v="0"/>
    <x v="4"/>
    <x v="2"/>
    <x v="1"/>
    <n v="3"/>
    <n v="12"/>
    <s v="Cash"/>
    <x v="3"/>
    <n v="36"/>
  </r>
  <r>
    <n v="1451"/>
    <x v="2"/>
    <d v="2025-07-16T00:00:00"/>
    <x v="1"/>
    <x v="6"/>
    <x v="1"/>
    <x v="1"/>
    <n v="2"/>
    <n v="12"/>
    <s v="Card"/>
    <x v="0"/>
    <n v="24"/>
  </r>
  <r>
    <n v="1140"/>
    <x v="3"/>
    <d v="2025-09-07T00:00:00"/>
    <x v="2"/>
    <x v="0"/>
    <x v="0"/>
    <x v="1"/>
    <n v="5"/>
    <n v="12"/>
    <s v="Card"/>
    <x v="0"/>
    <n v="60"/>
  </r>
  <r>
    <n v="1896"/>
    <x v="5"/>
    <d v="2025-08-04T00:00:00"/>
    <x v="0"/>
    <x v="4"/>
    <x v="2"/>
    <x v="2"/>
    <n v="2"/>
    <n v="20"/>
    <s v="Cash"/>
    <x v="3"/>
    <n v="40"/>
  </r>
  <r>
    <n v="1296"/>
    <x v="4"/>
    <d v="2025-07-15T00:00:00"/>
    <x v="1"/>
    <x v="3"/>
    <x v="1"/>
    <x v="1"/>
    <n v="2"/>
    <n v="12"/>
    <s v="Mobile Wallet"/>
    <x v="3"/>
    <n v="24"/>
  </r>
  <r>
    <n v="821"/>
    <x v="5"/>
    <d v="2025-08-09T00:00:00"/>
    <x v="0"/>
    <x v="2"/>
    <x v="1"/>
    <x v="3"/>
    <n v="1"/>
    <n v="30"/>
    <s v="Mobile Wallet"/>
    <x v="3"/>
    <n v="30"/>
  </r>
  <r>
    <n v="418"/>
    <x v="4"/>
    <d v="2025-09-15T00:00:00"/>
    <x v="2"/>
    <x v="4"/>
    <x v="2"/>
    <x v="1"/>
    <n v="4"/>
    <n v="12"/>
    <s v="Cash"/>
    <x v="3"/>
    <n v="48"/>
  </r>
  <r>
    <n v="1898"/>
    <x v="7"/>
    <d v="2025-08-12T00:00:00"/>
    <x v="0"/>
    <x v="3"/>
    <x v="3"/>
    <x v="2"/>
    <n v="1"/>
    <n v="20"/>
    <s v="Cash"/>
    <x v="2"/>
    <n v="20"/>
  </r>
  <r>
    <n v="1327"/>
    <x v="3"/>
    <d v="2025-08-16T00:00:00"/>
    <x v="0"/>
    <x v="2"/>
    <x v="0"/>
    <x v="2"/>
    <n v="1"/>
    <n v="20"/>
    <s v="Mobile Wallet"/>
    <x v="3"/>
    <n v="20"/>
  </r>
  <r>
    <n v="108"/>
    <x v="6"/>
    <d v="2025-08-13T00:00:00"/>
    <x v="0"/>
    <x v="6"/>
    <x v="0"/>
    <x v="3"/>
    <n v="2"/>
    <n v="30"/>
    <s v="Card"/>
    <x v="2"/>
    <n v="60"/>
  </r>
  <r>
    <n v="559"/>
    <x v="2"/>
    <d v="2025-08-17T00:00:00"/>
    <x v="0"/>
    <x v="0"/>
    <x v="1"/>
    <x v="1"/>
    <n v="4"/>
    <n v="12"/>
    <s v="Mobile Wallet"/>
    <x v="0"/>
    <n v="48"/>
  </r>
  <r>
    <n v="368"/>
    <x v="4"/>
    <d v="2025-09-08T00:00:00"/>
    <x v="2"/>
    <x v="4"/>
    <x v="3"/>
    <x v="0"/>
    <n v="5"/>
    <n v="25"/>
    <s v="Mobile Wallet"/>
    <x v="0"/>
    <n v="125"/>
  </r>
  <r>
    <n v="1055"/>
    <x v="3"/>
    <d v="2025-09-09T00:00:00"/>
    <x v="2"/>
    <x v="3"/>
    <x v="0"/>
    <x v="4"/>
    <n v="1"/>
    <n v="8"/>
    <s v="Mobile Wallet"/>
    <x v="1"/>
    <n v="8"/>
  </r>
  <r>
    <n v="417"/>
    <x v="1"/>
    <d v="2025-09-09T00:00:00"/>
    <x v="2"/>
    <x v="3"/>
    <x v="2"/>
    <x v="1"/>
    <n v="5"/>
    <n v="12"/>
    <s v="Card"/>
    <x v="0"/>
    <n v="60"/>
  </r>
  <r>
    <n v="373"/>
    <x v="4"/>
    <d v="2025-09-13T00:00:00"/>
    <x v="2"/>
    <x v="2"/>
    <x v="1"/>
    <x v="4"/>
    <n v="3"/>
    <n v="8"/>
    <s v="Cash"/>
    <x v="3"/>
    <n v="24"/>
  </r>
  <r>
    <n v="1944"/>
    <x v="0"/>
    <d v="2025-07-12T00:00:00"/>
    <x v="1"/>
    <x v="2"/>
    <x v="2"/>
    <x v="1"/>
    <n v="2"/>
    <n v="12"/>
    <s v="Cash"/>
    <x v="3"/>
    <n v="24"/>
  </r>
  <r>
    <n v="247"/>
    <x v="3"/>
    <d v="2025-07-12T00:00:00"/>
    <x v="1"/>
    <x v="2"/>
    <x v="3"/>
    <x v="1"/>
    <n v="5"/>
    <n v="12"/>
    <s v="Mobile Wallet"/>
    <x v="3"/>
    <n v="60"/>
  </r>
  <r>
    <n v="1511"/>
    <x v="5"/>
    <d v="2025-08-16T00:00:00"/>
    <x v="0"/>
    <x v="2"/>
    <x v="2"/>
    <x v="1"/>
    <n v="3"/>
    <n v="12"/>
    <s v="Cash"/>
    <x v="2"/>
    <n v="36"/>
  </r>
  <r>
    <n v="731"/>
    <x v="7"/>
    <d v="2025-07-12T00:00:00"/>
    <x v="1"/>
    <x v="2"/>
    <x v="0"/>
    <x v="4"/>
    <n v="4"/>
    <n v="8"/>
    <s v="Mobile Wallet"/>
    <x v="1"/>
    <n v="32"/>
  </r>
  <r>
    <n v="1423"/>
    <x v="7"/>
    <d v="2025-09-12T00:00:00"/>
    <x v="2"/>
    <x v="1"/>
    <x v="0"/>
    <x v="4"/>
    <n v="5"/>
    <n v="8"/>
    <s v="Card"/>
    <x v="3"/>
    <n v="40"/>
  </r>
  <r>
    <n v="619"/>
    <x v="5"/>
    <d v="2025-07-06T00:00:00"/>
    <x v="1"/>
    <x v="0"/>
    <x v="0"/>
    <x v="2"/>
    <n v="1"/>
    <n v="20"/>
    <s v="Cash"/>
    <x v="0"/>
    <n v="20"/>
  </r>
  <r>
    <n v="218"/>
    <x v="1"/>
    <d v="2025-09-10T00:00:00"/>
    <x v="2"/>
    <x v="6"/>
    <x v="3"/>
    <x v="1"/>
    <n v="3"/>
    <n v="12"/>
    <s v="Mobile Wallet"/>
    <x v="2"/>
    <n v="36"/>
  </r>
  <r>
    <n v="57"/>
    <x v="2"/>
    <d v="2025-08-04T00:00:00"/>
    <x v="0"/>
    <x v="4"/>
    <x v="2"/>
    <x v="1"/>
    <n v="3"/>
    <n v="12"/>
    <s v="Cash"/>
    <x v="3"/>
    <n v="36"/>
  </r>
  <r>
    <n v="1534"/>
    <x v="1"/>
    <d v="2025-08-22T00:00:00"/>
    <x v="0"/>
    <x v="1"/>
    <x v="2"/>
    <x v="1"/>
    <n v="2"/>
    <n v="12"/>
    <s v="Mobile Wallet"/>
    <x v="1"/>
    <n v="24"/>
  </r>
  <r>
    <n v="1746"/>
    <x v="4"/>
    <d v="2025-08-08T00:00:00"/>
    <x v="0"/>
    <x v="1"/>
    <x v="0"/>
    <x v="1"/>
    <n v="3"/>
    <n v="12"/>
    <s v="Cash"/>
    <x v="2"/>
    <n v="36"/>
  </r>
  <r>
    <n v="459"/>
    <x v="7"/>
    <d v="2025-07-24T00:00:00"/>
    <x v="1"/>
    <x v="5"/>
    <x v="3"/>
    <x v="1"/>
    <n v="5"/>
    <n v="12"/>
    <s v="Card"/>
    <x v="1"/>
    <n v="60"/>
  </r>
  <r>
    <n v="1386"/>
    <x v="6"/>
    <d v="2025-07-24T00:00:00"/>
    <x v="1"/>
    <x v="5"/>
    <x v="2"/>
    <x v="2"/>
    <n v="2"/>
    <n v="20"/>
    <s v="Card"/>
    <x v="0"/>
    <n v="40"/>
  </r>
  <r>
    <n v="584"/>
    <x v="4"/>
    <d v="2025-09-03T00:00:00"/>
    <x v="2"/>
    <x v="6"/>
    <x v="2"/>
    <x v="1"/>
    <n v="4"/>
    <n v="12"/>
    <s v="Mobile Wallet"/>
    <x v="2"/>
    <n v="48"/>
  </r>
  <r>
    <n v="1284"/>
    <x v="3"/>
    <d v="2025-09-14T00:00:00"/>
    <x v="2"/>
    <x v="0"/>
    <x v="2"/>
    <x v="2"/>
    <n v="4"/>
    <n v="20"/>
    <s v="Card"/>
    <x v="1"/>
    <n v="80"/>
  </r>
  <r>
    <n v="511"/>
    <x v="3"/>
    <d v="2025-07-28T00:00:00"/>
    <x v="1"/>
    <x v="4"/>
    <x v="1"/>
    <x v="1"/>
    <n v="1"/>
    <n v="12"/>
    <s v="Mobile Wallet"/>
    <x v="1"/>
    <n v="12"/>
  </r>
  <r>
    <n v="701"/>
    <x v="4"/>
    <d v="2025-08-30T00:00:00"/>
    <x v="0"/>
    <x v="2"/>
    <x v="3"/>
    <x v="0"/>
    <n v="3"/>
    <n v="25"/>
    <s v="Mobile Wallet"/>
    <x v="0"/>
    <n v="75"/>
  </r>
  <r>
    <n v="170"/>
    <x v="0"/>
    <d v="2025-07-16T00:00:00"/>
    <x v="1"/>
    <x v="6"/>
    <x v="1"/>
    <x v="1"/>
    <n v="3"/>
    <n v="12"/>
    <s v="Card"/>
    <x v="3"/>
    <n v="36"/>
  </r>
  <r>
    <n v="581"/>
    <x v="0"/>
    <d v="2025-07-13T00:00:00"/>
    <x v="1"/>
    <x v="0"/>
    <x v="2"/>
    <x v="1"/>
    <n v="2"/>
    <n v="12"/>
    <s v="Cash"/>
    <x v="3"/>
    <n v="24"/>
  </r>
  <r>
    <n v="1935"/>
    <x v="5"/>
    <d v="2025-07-05T00:00:00"/>
    <x v="1"/>
    <x v="2"/>
    <x v="3"/>
    <x v="1"/>
    <n v="4"/>
    <n v="12"/>
    <s v="Card"/>
    <x v="3"/>
    <n v="48"/>
  </r>
  <r>
    <n v="1278"/>
    <x v="5"/>
    <d v="2025-09-03T00:00:00"/>
    <x v="2"/>
    <x v="6"/>
    <x v="1"/>
    <x v="1"/>
    <n v="2"/>
    <n v="12"/>
    <s v="Mobile Wallet"/>
    <x v="1"/>
    <n v="24"/>
  </r>
  <r>
    <n v="574"/>
    <x v="4"/>
    <d v="2025-09-01T00:00:00"/>
    <x v="2"/>
    <x v="4"/>
    <x v="3"/>
    <x v="1"/>
    <n v="3"/>
    <n v="12"/>
    <s v="Cash"/>
    <x v="1"/>
    <n v="36"/>
  </r>
  <r>
    <n v="40"/>
    <x v="7"/>
    <d v="2025-07-01T00:00:00"/>
    <x v="1"/>
    <x v="3"/>
    <x v="0"/>
    <x v="1"/>
    <n v="5"/>
    <n v="12"/>
    <s v="Card"/>
    <x v="0"/>
    <n v="60"/>
  </r>
  <r>
    <n v="664"/>
    <x v="0"/>
    <d v="2025-07-26T00:00:00"/>
    <x v="1"/>
    <x v="2"/>
    <x v="0"/>
    <x v="4"/>
    <n v="5"/>
    <n v="8"/>
    <s v="Card"/>
    <x v="2"/>
    <n v="40"/>
  </r>
  <r>
    <n v="339"/>
    <x v="6"/>
    <d v="2025-07-27T00:00:00"/>
    <x v="1"/>
    <x v="0"/>
    <x v="1"/>
    <x v="1"/>
    <n v="2"/>
    <n v="12"/>
    <s v="Mobile Wallet"/>
    <x v="0"/>
    <n v="24"/>
  </r>
  <r>
    <n v="1118"/>
    <x v="1"/>
    <d v="2025-09-17T00:00:00"/>
    <x v="2"/>
    <x v="6"/>
    <x v="2"/>
    <x v="1"/>
    <n v="1"/>
    <n v="12"/>
    <s v="Mobile Wallet"/>
    <x v="3"/>
    <n v="12"/>
  </r>
  <r>
    <n v="933"/>
    <x v="3"/>
    <d v="2025-09-12T00:00:00"/>
    <x v="2"/>
    <x v="1"/>
    <x v="3"/>
    <x v="1"/>
    <n v="5"/>
    <n v="12"/>
    <s v="Mobile Wallet"/>
    <x v="3"/>
    <n v="60"/>
  </r>
  <r>
    <n v="521"/>
    <x v="2"/>
    <d v="2025-09-24T00:00:00"/>
    <x v="2"/>
    <x v="6"/>
    <x v="3"/>
    <x v="4"/>
    <n v="4"/>
    <n v="8"/>
    <s v="Cash"/>
    <x v="0"/>
    <n v="32"/>
  </r>
  <r>
    <n v="72"/>
    <x v="4"/>
    <d v="2025-09-10T00:00:00"/>
    <x v="2"/>
    <x v="6"/>
    <x v="0"/>
    <x v="0"/>
    <n v="4"/>
    <n v="25"/>
    <s v="Cash"/>
    <x v="0"/>
    <n v="100"/>
  </r>
  <r>
    <n v="1932"/>
    <x v="6"/>
    <d v="2025-08-23T00:00:00"/>
    <x v="0"/>
    <x v="2"/>
    <x v="3"/>
    <x v="1"/>
    <n v="1"/>
    <n v="12"/>
    <s v="Cash"/>
    <x v="2"/>
    <n v="12"/>
  </r>
  <r>
    <n v="382"/>
    <x v="0"/>
    <d v="2025-07-06T00:00:00"/>
    <x v="1"/>
    <x v="0"/>
    <x v="3"/>
    <x v="2"/>
    <n v="3"/>
    <n v="20"/>
    <s v="Card"/>
    <x v="1"/>
    <n v="60"/>
  </r>
  <r>
    <n v="1886"/>
    <x v="0"/>
    <d v="2025-07-07T00:00:00"/>
    <x v="1"/>
    <x v="4"/>
    <x v="2"/>
    <x v="3"/>
    <n v="4"/>
    <n v="30"/>
    <s v="Card"/>
    <x v="2"/>
    <n v="120"/>
  </r>
  <r>
    <n v="347"/>
    <x v="7"/>
    <d v="2025-07-26T00:00:00"/>
    <x v="1"/>
    <x v="2"/>
    <x v="0"/>
    <x v="4"/>
    <n v="5"/>
    <n v="8"/>
    <s v="Cash"/>
    <x v="1"/>
    <n v="40"/>
  </r>
  <r>
    <n v="575"/>
    <x v="5"/>
    <d v="2025-08-02T00:00:00"/>
    <x v="0"/>
    <x v="2"/>
    <x v="3"/>
    <x v="1"/>
    <n v="4"/>
    <n v="12"/>
    <s v="Cash"/>
    <x v="0"/>
    <n v="48"/>
  </r>
  <r>
    <n v="1474"/>
    <x v="4"/>
    <d v="2025-08-11T00:00:00"/>
    <x v="0"/>
    <x v="4"/>
    <x v="1"/>
    <x v="4"/>
    <n v="4"/>
    <n v="8"/>
    <s v="Card"/>
    <x v="1"/>
    <n v="32"/>
  </r>
  <r>
    <n v="475"/>
    <x v="7"/>
    <d v="2025-07-25T00:00:00"/>
    <x v="1"/>
    <x v="1"/>
    <x v="1"/>
    <x v="0"/>
    <n v="3"/>
    <n v="25"/>
    <s v="Card"/>
    <x v="2"/>
    <n v="75"/>
  </r>
  <r>
    <n v="601"/>
    <x v="1"/>
    <d v="2025-08-03T00:00:00"/>
    <x v="0"/>
    <x v="0"/>
    <x v="2"/>
    <x v="0"/>
    <n v="2"/>
    <n v="25"/>
    <s v="Card"/>
    <x v="0"/>
    <n v="50"/>
  </r>
  <r>
    <n v="311"/>
    <x v="2"/>
    <d v="2025-07-07T00:00:00"/>
    <x v="1"/>
    <x v="4"/>
    <x v="2"/>
    <x v="0"/>
    <n v="4"/>
    <n v="25"/>
    <s v="Card"/>
    <x v="2"/>
    <n v="100"/>
  </r>
  <r>
    <n v="1486"/>
    <x v="5"/>
    <d v="2025-08-10T00:00:00"/>
    <x v="0"/>
    <x v="0"/>
    <x v="3"/>
    <x v="0"/>
    <n v="3"/>
    <n v="25"/>
    <s v="Mobile Wallet"/>
    <x v="0"/>
    <n v="75"/>
  </r>
  <r>
    <n v="1521"/>
    <x v="0"/>
    <d v="2025-08-21T00:00:00"/>
    <x v="0"/>
    <x v="5"/>
    <x v="0"/>
    <x v="1"/>
    <n v="4"/>
    <n v="12"/>
    <s v="Mobile Wallet"/>
    <x v="2"/>
    <n v="48"/>
  </r>
  <r>
    <n v="323"/>
    <x v="6"/>
    <d v="2025-09-27T00:00:00"/>
    <x v="2"/>
    <x v="2"/>
    <x v="2"/>
    <x v="0"/>
    <n v="4"/>
    <n v="25"/>
    <s v="Card"/>
    <x v="3"/>
    <n v="100"/>
  </r>
  <r>
    <n v="146"/>
    <x v="5"/>
    <d v="2025-09-20T00:00:00"/>
    <x v="2"/>
    <x v="2"/>
    <x v="1"/>
    <x v="2"/>
    <n v="5"/>
    <n v="20"/>
    <s v="Cash"/>
    <x v="1"/>
    <n v="100"/>
  </r>
  <r>
    <n v="653"/>
    <x v="5"/>
    <d v="2025-09-03T00:00:00"/>
    <x v="2"/>
    <x v="6"/>
    <x v="1"/>
    <x v="1"/>
    <n v="3"/>
    <n v="12"/>
    <s v="Cash"/>
    <x v="2"/>
    <n v="36"/>
  </r>
  <r>
    <n v="682"/>
    <x v="1"/>
    <d v="2025-08-03T00:00:00"/>
    <x v="0"/>
    <x v="0"/>
    <x v="0"/>
    <x v="2"/>
    <n v="2"/>
    <n v="20"/>
    <s v="Mobile Wallet"/>
    <x v="2"/>
    <n v="40"/>
  </r>
  <r>
    <n v="343"/>
    <x v="7"/>
    <d v="2025-07-14T00:00:00"/>
    <x v="1"/>
    <x v="4"/>
    <x v="3"/>
    <x v="1"/>
    <n v="1"/>
    <n v="12"/>
    <s v="Cash"/>
    <x v="2"/>
    <n v="12"/>
  </r>
  <r>
    <n v="707"/>
    <x v="6"/>
    <d v="2025-07-29T00:00:00"/>
    <x v="1"/>
    <x v="3"/>
    <x v="3"/>
    <x v="1"/>
    <n v="2"/>
    <n v="12"/>
    <s v="Mobile Wallet"/>
    <x v="0"/>
    <n v="24"/>
  </r>
  <r>
    <n v="415"/>
    <x v="7"/>
    <d v="2025-09-09T00:00:00"/>
    <x v="2"/>
    <x v="3"/>
    <x v="2"/>
    <x v="0"/>
    <n v="3"/>
    <n v="25"/>
    <s v="Mobile Wallet"/>
    <x v="2"/>
    <n v="75"/>
  </r>
  <r>
    <n v="1767"/>
    <x v="0"/>
    <d v="2025-08-03T00:00:00"/>
    <x v="0"/>
    <x v="0"/>
    <x v="1"/>
    <x v="0"/>
    <n v="4"/>
    <n v="25"/>
    <s v="Mobile Wallet"/>
    <x v="0"/>
    <n v="100"/>
  </r>
  <r>
    <n v="662"/>
    <x v="7"/>
    <d v="2025-08-31T00:00:00"/>
    <x v="0"/>
    <x v="0"/>
    <x v="2"/>
    <x v="2"/>
    <n v="1"/>
    <n v="20"/>
    <s v="Cash"/>
    <x v="2"/>
    <n v="20"/>
  </r>
  <r>
    <n v="1281"/>
    <x v="4"/>
    <d v="2025-08-12T00:00:00"/>
    <x v="0"/>
    <x v="3"/>
    <x v="1"/>
    <x v="1"/>
    <n v="3"/>
    <n v="12"/>
    <s v="Mobile Wallet"/>
    <x v="0"/>
    <n v="36"/>
  </r>
  <r>
    <n v="972"/>
    <x v="5"/>
    <d v="2025-09-20T00:00:00"/>
    <x v="2"/>
    <x v="2"/>
    <x v="2"/>
    <x v="1"/>
    <n v="4"/>
    <n v="12"/>
    <s v="Card"/>
    <x v="0"/>
    <n v="48"/>
  </r>
  <r>
    <n v="1029"/>
    <x v="1"/>
    <d v="2025-08-13T00:00:00"/>
    <x v="0"/>
    <x v="6"/>
    <x v="0"/>
    <x v="4"/>
    <n v="1"/>
    <n v="8"/>
    <s v="Mobile Wallet"/>
    <x v="3"/>
    <n v="8"/>
  </r>
  <r>
    <n v="1844"/>
    <x v="7"/>
    <d v="2025-07-12T00:00:00"/>
    <x v="1"/>
    <x v="2"/>
    <x v="2"/>
    <x v="1"/>
    <n v="4"/>
    <n v="12"/>
    <s v="Cash"/>
    <x v="0"/>
    <n v="48"/>
  </r>
  <r>
    <n v="1904"/>
    <x v="1"/>
    <d v="2025-08-05T00:00:00"/>
    <x v="0"/>
    <x v="3"/>
    <x v="3"/>
    <x v="1"/>
    <n v="3"/>
    <n v="12"/>
    <s v="Cash"/>
    <x v="0"/>
    <n v="36"/>
  </r>
  <r>
    <n v="137"/>
    <x v="3"/>
    <d v="2025-07-06T00:00:00"/>
    <x v="1"/>
    <x v="0"/>
    <x v="2"/>
    <x v="1"/>
    <n v="3"/>
    <n v="12"/>
    <s v="Mobile Wallet"/>
    <x v="0"/>
    <n v="36"/>
  </r>
  <r>
    <n v="1202"/>
    <x v="4"/>
    <d v="2025-07-06T00:00:00"/>
    <x v="1"/>
    <x v="0"/>
    <x v="3"/>
    <x v="0"/>
    <n v="4"/>
    <n v="25"/>
    <s v="Mobile Wallet"/>
    <x v="3"/>
    <n v="100"/>
  </r>
  <r>
    <n v="680"/>
    <x v="4"/>
    <d v="2025-07-27T00:00:00"/>
    <x v="1"/>
    <x v="0"/>
    <x v="0"/>
    <x v="0"/>
    <n v="5"/>
    <n v="25"/>
    <s v="Mobile Wallet"/>
    <x v="1"/>
    <n v="125"/>
  </r>
  <r>
    <n v="867"/>
    <x v="1"/>
    <d v="2025-09-07T00:00:00"/>
    <x v="2"/>
    <x v="0"/>
    <x v="1"/>
    <x v="0"/>
    <n v="1"/>
    <n v="25"/>
    <s v="Card"/>
    <x v="0"/>
    <n v="25"/>
  </r>
  <r>
    <n v="140"/>
    <x v="3"/>
    <d v="2025-09-14T00:00:00"/>
    <x v="2"/>
    <x v="0"/>
    <x v="2"/>
    <x v="2"/>
    <n v="3"/>
    <n v="20"/>
    <s v="Mobile Wallet"/>
    <x v="2"/>
    <n v="60"/>
  </r>
  <r>
    <n v="37"/>
    <x v="6"/>
    <d v="2025-08-31T00:00:00"/>
    <x v="0"/>
    <x v="0"/>
    <x v="2"/>
    <x v="1"/>
    <n v="5"/>
    <n v="12"/>
    <s v="Card"/>
    <x v="3"/>
    <n v="60"/>
  </r>
  <r>
    <n v="1444"/>
    <x v="7"/>
    <d v="2025-07-29T00:00:00"/>
    <x v="1"/>
    <x v="3"/>
    <x v="1"/>
    <x v="3"/>
    <n v="3"/>
    <n v="30"/>
    <s v="Mobile Wallet"/>
    <x v="0"/>
    <n v="90"/>
  </r>
  <r>
    <n v="92"/>
    <x v="6"/>
    <d v="2025-08-21T00:00:00"/>
    <x v="0"/>
    <x v="5"/>
    <x v="1"/>
    <x v="3"/>
    <n v="3"/>
    <n v="30"/>
    <s v="Cash"/>
    <x v="3"/>
    <n v="90"/>
  </r>
  <r>
    <n v="1945"/>
    <x v="1"/>
    <d v="2025-09-19T00:00:00"/>
    <x v="2"/>
    <x v="1"/>
    <x v="3"/>
    <x v="1"/>
    <n v="2"/>
    <n v="12"/>
    <s v="Cash"/>
    <x v="1"/>
    <n v="24"/>
  </r>
  <r>
    <n v="1109"/>
    <x v="0"/>
    <d v="2025-07-05T00:00:00"/>
    <x v="1"/>
    <x v="2"/>
    <x v="3"/>
    <x v="0"/>
    <n v="1"/>
    <n v="25"/>
    <s v="Cash"/>
    <x v="1"/>
    <n v="25"/>
  </r>
  <r>
    <n v="1903"/>
    <x v="3"/>
    <d v="2025-08-04T00:00:00"/>
    <x v="0"/>
    <x v="4"/>
    <x v="1"/>
    <x v="3"/>
    <n v="5"/>
    <n v="30"/>
    <s v="Card"/>
    <x v="2"/>
    <n v="150"/>
  </r>
  <r>
    <n v="1954"/>
    <x v="6"/>
    <d v="2025-09-13T00:00:00"/>
    <x v="2"/>
    <x v="2"/>
    <x v="0"/>
    <x v="1"/>
    <n v="1"/>
    <n v="12"/>
    <s v="Cash"/>
    <x v="0"/>
    <n v="12"/>
  </r>
  <r>
    <n v="1834"/>
    <x v="7"/>
    <d v="2025-08-12T00:00:00"/>
    <x v="0"/>
    <x v="3"/>
    <x v="2"/>
    <x v="1"/>
    <n v="1"/>
    <n v="12"/>
    <s v="Cash"/>
    <x v="2"/>
    <n v="12"/>
  </r>
  <r>
    <n v="1988"/>
    <x v="6"/>
    <d v="2025-08-19T00:00:00"/>
    <x v="0"/>
    <x v="3"/>
    <x v="3"/>
    <x v="1"/>
    <n v="4"/>
    <n v="12"/>
    <s v="Card"/>
    <x v="3"/>
    <n v="48"/>
  </r>
  <r>
    <n v="626"/>
    <x v="4"/>
    <d v="2025-09-10T00:00:00"/>
    <x v="2"/>
    <x v="6"/>
    <x v="2"/>
    <x v="3"/>
    <n v="5"/>
    <n v="30"/>
    <s v="Mobile Wallet"/>
    <x v="3"/>
    <n v="150"/>
  </r>
  <r>
    <n v="1590"/>
    <x v="2"/>
    <d v="2025-08-17T00:00:00"/>
    <x v="0"/>
    <x v="0"/>
    <x v="1"/>
    <x v="1"/>
    <n v="5"/>
    <n v="12"/>
    <s v="Card"/>
    <x v="0"/>
    <n v="60"/>
  </r>
  <r>
    <n v="1043"/>
    <x v="5"/>
    <d v="2025-07-08T00:00:00"/>
    <x v="1"/>
    <x v="3"/>
    <x v="3"/>
    <x v="1"/>
    <n v="4"/>
    <n v="12"/>
    <s v="Cash"/>
    <x v="3"/>
    <n v="48"/>
  </r>
  <r>
    <n v="1687"/>
    <x v="6"/>
    <d v="2025-09-26T00:00:00"/>
    <x v="2"/>
    <x v="1"/>
    <x v="3"/>
    <x v="3"/>
    <n v="1"/>
    <n v="30"/>
    <s v="Cash"/>
    <x v="1"/>
    <n v="30"/>
  </r>
  <r>
    <n v="984"/>
    <x v="1"/>
    <d v="2025-08-10T00:00:00"/>
    <x v="0"/>
    <x v="0"/>
    <x v="0"/>
    <x v="2"/>
    <n v="2"/>
    <n v="20"/>
    <s v="Mobile Wallet"/>
    <x v="2"/>
    <n v="40"/>
  </r>
  <r>
    <n v="941"/>
    <x v="6"/>
    <d v="2025-07-13T00:00:00"/>
    <x v="1"/>
    <x v="0"/>
    <x v="3"/>
    <x v="1"/>
    <n v="3"/>
    <n v="12"/>
    <s v="Card"/>
    <x v="3"/>
    <n v="36"/>
  </r>
  <r>
    <n v="930"/>
    <x v="3"/>
    <d v="2025-09-04T00:00:00"/>
    <x v="2"/>
    <x v="5"/>
    <x v="1"/>
    <x v="1"/>
    <n v="1"/>
    <n v="12"/>
    <s v="Cash"/>
    <x v="1"/>
    <n v="12"/>
  </r>
  <r>
    <n v="353"/>
    <x v="3"/>
    <d v="2025-08-10T00:00:00"/>
    <x v="0"/>
    <x v="0"/>
    <x v="0"/>
    <x v="0"/>
    <n v="4"/>
    <n v="25"/>
    <s v="Card"/>
    <x v="3"/>
    <n v="100"/>
  </r>
  <r>
    <n v="649"/>
    <x v="2"/>
    <d v="2025-08-06T00:00:00"/>
    <x v="0"/>
    <x v="6"/>
    <x v="0"/>
    <x v="1"/>
    <n v="1"/>
    <n v="12"/>
    <s v="Cash"/>
    <x v="2"/>
    <n v="12"/>
  </r>
  <r>
    <n v="785"/>
    <x v="4"/>
    <d v="2025-07-25T00:00:00"/>
    <x v="1"/>
    <x v="1"/>
    <x v="2"/>
    <x v="2"/>
    <n v="2"/>
    <n v="20"/>
    <s v="Card"/>
    <x v="2"/>
    <n v="40"/>
  </r>
  <r>
    <n v="1900"/>
    <x v="4"/>
    <d v="2025-07-30T00:00:00"/>
    <x v="1"/>
    <x v="6"/>
    <x v="3"/>
    <x v="2"/>
    <n v="1"/>
    <n v="20"/>
    <s v="Card"/>
    <x v="1"/>
    <n v="20"/>
  </r>
  <r>
    <n v="1618"/>
    <x v="3"/>
    <d v="2025-08-16T00:00:00"/>
    <x v="0"/>
    <x v="2"/>
    <x v="2"/>
    <x v="2"/>
    <n v="1"/>
    <n v="20"/>
    <s v="Card"/>
    <x v="3"/>
    <n v="20"/>
  </r>
  <r>
    <n v="330"/>
    <x v="2"/>
    <d v="2025-09-20T00:00:00"/>
    <x v="2"/>
    <x v="2"/>
    <x v="2"/>
    <x v="1"/>
    <n v="5"/>
    <n v="12"/>
    <s v="Cash"/>
    <x v="0"/>
    <n v="60"/>
  </r>
  <r>
    <n v="688"/>
    <x v="1"/>
    <d v="2025-08-03T00:00:00"/>
    <x v="0"/>
    <x v="0"/>
    <x v="2"/>
    <x v="1"/>
    <n v="4"/>
    <n v="12"/>
    <s v="Cash"/>
    <x v="3"/>
    <n v="48"/>
  </r>
  <r>
    <n v="868"/>
    <x v="0"/>
    <d v="2025-08-02T00:00:00"/>
    <x v="0"/>
    <x v="2"/>
    <x v="2"/>
    <x v="4"/>
    <n v="3"/>
    <n v="8"/>
    <s v="Mobile Wallet"/>
    <x v="2"/>
    <n v="24"/>
  </r>
  <r>
    <n v="841"/>
    <x v="5"/>
    <d v="2025-08-09T00:00:00"/>
    <x v="0"/>
    <x v="2"/>
    <x v="3"/>
    <x v="1"/>
    <n v="1"/>
    <n v="12"/>
    <s v="Card"/>
    <x v="1"/>
    <n v="12"/>
  </r>
  <r>
    <n v="1529"/>
    <x v="0"/>
    <d v="2025-09-23T00:00:00"/>
    <x v="2"/>
    <x v="3"/>
    <x v="1"/>
    <x v="3"/>
    <n v="4"/>
    <n v="30"/>
    <s v="Mobile Wallet"/>
    <x v="0"/>
    <n v="120"/>
  </r>
  <r>
    <n v="1785"/>
    <x v="7"/>
    <d v="2025-08-07T00:00:00"/>
    <x v="0"/>
    <x v="5"/>
    <x v="2"/>
    <x v="2"/>
    <n v="2"/>
    <n v="20"/>
    <s v="Card"/>
    <x v="0"/>
    <n v="40"/>
  </r>
  <r>
    <n v="1053"/>
    <x v="7"/>
    <d v="2025-09-09T00:00:00"/>
    <x v="2"/>
    <x v="3"/>
    <x v="1"/>
    <x v="1"/>
    <n v="2"/>
    <n v="12"/>
    <s v="Cash"/>
    <x v="3"/>
    <n v="24"/>
  </r>
  <r>
    <n v="1358"/>
    <x v="7"/>
    <d v="2025-09-25T00:00:00"/>
    <x v="2"/>
    <x v="5"/>
    <x v="0"/>
    <x v="1"/>
    <n v="1"/>
    <n v="12"/>
    <s v="Card"/>
    <x v="0"/>
    <n v="12"/>
  </r>
  <r>
    <n v="1206"/>
    <x v="0"/>
    <d v="2025-08-16T00:00:00"/>
    <x v="0"/>
    <x v="2"/>
    <x v="2"/>
    <x v="2"/>
    <n v="2"/>
    <n v="20"/>
    <s v="Mobile Wallet"/>
    <x v="1"/>
    <n v="40"/>
  </r>
  <r>
    <n v="1351"/>
    <x v="6"/>
    <d v="2025-08-10T00:00:00"/>
    <x v="0"/>
    <x v="0"/>
    <x v="1"/>
    <x v="1"/>
    <n v="3"/>
    <n v="12"/>
    <s v="Card"/>
    <x v="2"/>
    <n v="36"/>
  </r>
  <r>
    <n v="1257"/>
    <x v="0"/>
    <d v="2025-07-26T00:00:00"/>
    <x v="1"/>
    <x v="2"/>
    <x v="2"/>
    <x v="4"/>
    <n v="5"/>
    <n v="8"/>
    <s v="Mobile Wallet"/>
    <x v="0"/>
    <n v="40"/>
  </r>
  <r>
    <n v="1328"/>
    <x v="1"/>
    <d v="2025-07-25T00:00:00"/>
    <x v="1"/>
    <x v="1"/>
    <x v="0"/>
    <x v="0"/>
    <n v="1"/>
    <n v="25"/>
    <s v="Cash"/>
    <x v="1"/>
    <n v="25"/>
  </r>
  <r>
    <n v="1381"/>
    <x v="0"/>
    <d v="2025-07-23T00:00:00"/>
    <x v="1"/>
    <x v="6"/>
    <x v="3"/>
    <x v="1"/>
    <n v="4"/>
    <n v="12"/>
    <s v="Mobile Wallet"/>
    <x v="1"/>
    <n v="48"/>
  </r>
  <r>
    <n v="1965"/>
    <x v="1"/>
    <d v="2025-07-17T00:00:00"/>
    <x v="1"/>
    <x v="5"/>
    <x v="2"/>
    <x v="1"/>
    <n v="2"/>
    <n v="12"/>
    <s v="Mobile Wallet"/>
    <x v="1"/>
    <n v="24"/>
  </r>
  <r>
    <n v="460"/>
    <x v="7"/>
    <d v="2025-09-23T00:00:00"/>
    <x v="2"/>
    <x v="3"/>
    <x v="2"/>
    <x v="1"/>
    <n v="5"/>
    <n v="12"/>
    <s v="Card"/>
    <x v="1"/>
    <n v="60"/>
  </r>
  <r>
    <n v="1633"/>
    <x v="2"/>
    <d v="2025-07-15T00:00:00"/>
    <x v="1"/>
    <x v="3"/>
    <x v="0"/>
    <x v="1"/>
    <n v="3"/>
    <n v="12"/>
    <s v="Card"/>
    <x v="0"/>
    <n v="36"/>
  </r>
  <r>
    <n v="586"/>
    <x v="5"/>
    <d v="2025-07-07T00:00:00"/>
    <x v="1"/>
    <x v="4"/>
    <x v="2"/>
    <x v="0"/>
    <n v="3"/>
    <n v="25"/>
    <s v="Mobile Wallet"/>
    <x v="3"/>
    <n v="75"/>
  </r>
  <r>
    <n v="447"/>
    <x v="7"/>
    <d v="2025-09-07T00:00:00"/>
    <x v="2"/>
    <x v="0"/>
    <x v="3"/>
    <x v="1"/>
    <n v="4"/>
    <n v="12"/>
    <s v="Cash"/>
    <x v="1"/>
    <n v="48"/>
  </r>
  <r>
    <n v="211"/>
    <x v="5"/>
    <d v="2025-09-04T00:00:00"/>
    <x v="2"/>
    <x v="5"/>
    <x v="3"/>
    <x v="4"/>
    <n v="1"/>
    <n v="8"/>
    <s v="Card"/>
    <x v="0"/>
    <n v="8"/>
  </r>
  <r>
    <n v="620"/>
    <x v="7"/>
    <d v="2025-08-03T00:00:00"/>
    <x v="0"/>
    <x v="0"/>
    <x v="0"/>
    <x v="1"/>
    <n v="5"/>
    <n v="12"/>
    <s v="Cash"/>
    <x v="3"/>
    <n v="60"/>
  </r>
  <r>
    <n v="176"/>
    <x v="0"/>
    <d v="2025-08-17T00:00:00"/>
    <x v="0"/>
    <x v="0"/>
    <x v="0"/>
    <x v="2"/>
    <n v="4"/>
    <n v="20"/>
    <s v="Mobile Wallet"/>
    <x v="1"/>
    <n v="80"/>
  </r>
  <r>
    <n v="652"/>
    <x v="2"/>
    <d v="2025-09-05T00:00:00"/>
    <x v="2"/>
    <x v="1"/>
    <x v="3"/>
    <x v="1"/>
    <n v="5"/>
    <n v="12"/>
    <s v="Mobile Wallet"/>
    <x v="0"/>
    <n v="60"/>
  </r>
  <r>
    <n v="159"/>
    <x v="3"/>
    <d v="2025-07-19T00:00:00"/>
    <x v="1"/>
    <x v="2"/>
    <x v="2"/>
    <x v="1"/>
    <n v="4"/>
    <n v="12"/>
    <s v="Cash"/>
    <x v="0"/>
    <n v="48"/>
  </r>
  <r>
    <n v="638"/>
    <x v="5"/>
    <d v="2025-09-21T00:00:00"/>
    <x v="2"/>
    <x v="0"/>
    <x v="2"/>
    <x v="4"/>
    <n v="1"/>
    <n v="8"/>
    <s v="Cash"/>
    <x v="1"/>
    <n v="8"/>
  </r>
  <r>
    <n v="568"/>
    <x v="2"/>
    <d v="2025-09-28T00:00:00"/>
    <x v="2"/>
    <x v="0"/>
    <x v="2"/>
    <x v="1"/>
    <n v="4"/>
    <n v="12"/>
    <s v="Card"/>
    <x v="1"/>
    <n v="48"/>
  </r>
  <r>
    <n v="1625"/>
    <x v="0"/>
    <d v="2025-09-05T00:00:00"/>
    <x v="2"/>
    <x v="1"/>
    <x v="1"/>
    <x v="1"/>
    <n v="3"/>
    <n v="12"/>
    <s v="Cash"/>
    <x v="1"/>
    <n v="36"/>
  </r>
  <r>
    <n v="1152"/>
    <x v="1"/>
    <d v="2025-07-07T00:00:00"/>
    <x v="1"/>
    <x v="4"/>
    <x v="2"/>
    <x v="1"/>
    <n v="3"/>
    <n v="12"/>
    <s v="Mobile Wallet"/>
    <x v="1"/>
    <n v="36"/>
  </r>
  <r>
    <n v="520"/>
    <x v="4"/>
    <d v="2025-09-04T00:00:00"/>
    <x v="2"/>
    <x v="5"/>
    <x v="3"/>
    <x v="4"/>
    <n v="3"/>
    <n v="8"/>
    <s v="Mobile Wallet"/>
    <x v="2"/>
    <n v="24"/>
  </r>
  <r>
    <n v="1816"/>
    <x v="7"/>
    <d v="2025-09-24T00:00:00"/>
    <x v="2"/>
    <x v="6"/>
    <x v="1"/>
    <x v="0"/>
    <n v="2"/>
    <n v="25"/>
    <s v="Card"/>
    <x v="0"/>
    <n v="50"/>
  </r>
  <r>
    <n v="1811"/>
    <x v="4"/>
    <d v="2025-07-01T00:00:00"/>
    <x v="1"/>
    <x v="3"/>
    <x v="2"/>
    <x v="4"/>
    <n v="5"/>
    <n v="8"/>
    <s v="Mobile Wallet"/>
    <x v="2"/>
    <n v="40"/>
  </r>
  <r>
    <n v="1815"/>
    <x v="6"/>
    <d v="2025-08-07T00:00:00"/>
    <x v="0"/>
    <x v="5"/>
    <x v="3"/>
    <x v="1"/>
    <n v="5"/>
    <n v="12"/>
    <s v="Cash"/>
    <x v="1"/>
    <n v="60"/>
  </r>
  <r>
    <n v="960"/>
    <x v="5"/>
    <d v="2025-09-10T00:00:00"/>
    <x v="2"/>
    <x v="6"/>
    <x v="3"/>
    <x v="2"/>
    <n v="3"/>
    <n v="20"/>
    <s v="Cash"/>
    <x v="2"/>
    <n v="60"/>
  </r>
  <r>
    <n v="244"/>
    <x v="3"/>
    <d v="2025-08-26T00:00:00"/>
    <x v="0"/>
    <x v="3"/>
    <x v="2"/>
    <x v="3"/>
    <n v="3"/>
    <n v="30"/>
    <s v="Card"/>
    <x v="1"/>
    <n v="90"/>
  </r>
  <r>
    <n v="890"/>
    <x v="3"/>
    <d v="2025-09-25T00:00:00"/>
    <x v="2"/>
    <x v="5"/>
    <x v="0"/>
    <x v="2"/>
    <n v="1"/>
    <n v="20"/>
    <s v="Card"/>
    <x v="0"/>
    <n v="20"/>
  </r>
  <r>
    <n v="803"/>
    <x v="3"/>
    <d v="2025-09-01T00:00:00"/>
    <x v="2"/>
    <x v="4"/>
    <x v="1"/>
    <x v="3"/>
    <n v="5"/>
    <n v="30"/>
    <s v="Mobile Wallet"/>
    <x v="2"/>
    <n v="150"/>
  </r>
  <r>
    <n v="485"/>
    <x v="1"/>
    <d v="2025-07-26T00:00:00"/>
    <x v="1"/>
    <x v="2"/>
    <x v="0"/>
    <x v="1"/>
    <n v="5"/>
    <n v="12"/>
    <s v="Mobile Wallet"/>
    <x v="1"/>
    <n v="60"/>
  </r>
  <r>
    <n v="293"/>
    <x v="3"/>
    <d v="2025-08-25T00:00:00"/>
    <x v="0"/>
    <x v="4"/>
    <x v="0"/>
    <x v="1"/>
    <n v="2"/>
    <n v="12"/>
    <s v="Card"/>
    <x v="0"/>
    <n v="24"/>
  </r>
  <r>
    <n v="1875"/>
    <x v="4"/>
    <d v="2025-08-25T00:00:00"/>
    <x v="0"/>
    <x v="4"/>
    <x v="1"/>
    <x v="1"/>
    <n v="1"/>
    <n v="12"/>
    <s v="Card"/>
    <x v="2"/>
    <n v="12"/>
  </r>
  <r>
    <n v="1760"/>
    <x v="7"/>
    <d v="2025-09-06T00:00:00"/>
    <x v="2"/>
    <x v="2"/>
    <x v="0"/>
    <x v="2"/>
    <n v="3"/>
    <n v="20"/>
    <s v="Card"/>
    <x v="1"/>
    <n v="60"/>
  </r>
  <r>
    <n v="399"/>
    <x v="2"/>
    <d v="2025-08-28T00:00:00"/>
    <x v="0"/>
    <x v="5"/>
    <x v="0"/>
    <x v="0"/>
    <n v="1"/>
    <n v="25"/>
    <s v="Card"/>
    <x v="2"/>
    <n v="25"/>
  </r>
  <r>
    <n v="566"/>
    <x v="4"/>
    <d v="2025-09-28T00:00:00"/>
    <x v="2"/>
    <x v="0"/>
    <x v="1"/>
    <x v="1"/>
    <n v="4"/>
    <n v="12"/>
    <s v="Card"/>
    <x v="0"/>
    <n v="48"/>
  </r>
  <r>
    <n v="1549"/>
    <x v="1"/>
    <d v="2025-07-27T00:00:00"/>
    <x v="1"/>
    <x v="0"/>
    <x v="3"/>
    <x v="1"/>
    <n v="3"/>
    <n v="12"/>
    <s v="Cash"/>
    <x v="3"/>
    <n v="36"/>
  </r>
  <r>
    <n v="909"/>
    <x v="5"/>
    <d v="2025-08-05T00:00:00"/>
    <x v="0"/>
    <x v="3"/>
    <x v="1"/>
    <x v="1"/>
    <n v="1"/>
    <n v="12"/>
    <s v="Mobile Wallet"/>
    <x v="2"/>
    <n v="12"/>
  </r>
  <r>
    <n v="1346"/>
    <x v="7"/>
    <d v="2025-08-06T00:00:00"/>
    <x v="0"/>
    <x v="6"/>
    <x v="2"/>
    <x v="4"/>
    <n v="4"/>
    <n v="8"/>
    <s v="Card"/>
    <x v="3"/>
    <n v="32"/>
  </r>
  <r>
    <n v="1208"/>
    <x v="0"/>
    <d v="2025-09-14T00:00:00"/>
    <x v="2"/>
    <x v="0"/>
    <x v="0"/>
    <x v="4"/>
    <n v="1"/>
    <n v="8"/>
    <s v="Mobile Wallet"/>
    <x v="0"/>
    <n v="8"/>
  </r>
  <r>
    <n v="593"/>
    <x v="1"/>
    <d v="2025-09-13T00:00:00"/>
    <x v="2"/>
    <x v="2"/>
    <x v="0"/>
    <x v="0"/>
    <n v="1"/>
    <n v="25"/>
    <s v="Cash"/>
    <x v="2"/>
    <n v="25"/>
  </r>
  <r>
    <n v="1251"/>
    <x v="5"/>
    <d v="2025-07-04T00:00:00"/>
    <x v="1"/>
    <x v="1"/>
    <x v="0"/>
    <x v="0"/>
    <n v="5"/>
    <n v="25"/>
    <s v="Cash"/>
    <x v="0"/>
    <n v="125"/>
  </r>
  <r>
    <n v="786"/>
    <x v="3"/>
    <d v="2025-09-24T00:00:00"/>
    <x v="2"/>
    <x v="6"/>
    <x v="1"/>
    <x v="1"/>
    <n v="2"/>
    <n v="12"/>
    <s v="Mobile Wallet"/>
    <x v="0"/>
    <n v="24"/>
  </r>
  <r>
    <n v="1110"/>
    <x v="7"/>
    <d v="2025-07-24T00:00:00"/>
    <x v="1"/>
    <x v="5"/>
    <x v="2"/>
    <x v="0"/>
    <n v="1"/>
    <n v="25"/>
    <s v="Cash"/>
    <x v="0"/>
    <n v="25"/>
  </r>
  <r>
    <n v="388"/>
    <x v="5"/>
    <d v="2025-07-08T00:00:00"/>
    <x v="1"/>
    <x v="3"/>
    <x v="1"/>
    <x v="0"/>
    <n v="1"/>
    <n v="25"/>
    <s v="Cash"/>
    <x v="0"/>
    <n v="25"/>
  </r>
  <r>
    <n v="1093"/>
    <x v="2"/>
    <d v="2025-08-17T00:00:00"/>
    <x v="0"/>
    <x v="0"/>
    <x v="0"/>
    <x v="1"/>
    <n v="2"/>
    <n v="12"/>
    <s v="Card"/>
    <x v="1"/>
    <n v="24"/>
  </r>
  <r>
    <n v="1022"/>
    <x v="3"/>
    <d v="2025-07-26T00:00:00"/>
    <x v="1"/>
    <x v="2"/>
    <x v="2"/>
    <x v="1"/>
    <n v="5"/>
    <n v="12"/>
    <s v="Mobile Wallet"/>
    <x v="3"/>
    <n v="60"/>
  </r>
  <r>
    <n v="1583"/>
    <x v="1"/>
    <d v="2025-09-22T00:00:00"/>
    <x v="2"/>
    <x v="4"/>
    <x v="1"/>
    <x v="1"/>
    <n v="5"/>
    <n v="12"/>
    <s v="Card"/>
    <x v="0"/>
    <n v="60"/>
  </r>
  <r>
    <n v="1333"/>
    <x v="5"/>
    <d v="2025-07-12T00:00:00"/>
    <x v="1"/>
    <x v="2"/>
    <x v="2"/>
    <x v="1"/>
    <n v="2"/>
    <n v="12"/>
    <s v="Card"/>
    <x v="3"/>
    <n v="24"/>
  </r>
  <r>
    <n v="800"/>
    <x v="7"/>
    <d v="2025-07-03T00:00:00"/>
    <x v="1"/>
    <x v="5"/>
    <x v="3"/>
    <x v="1"/>
    <n v="5"/>
    <n v="12"/>
    <s v="Card"/>
    <x v="3"/>
    <n v="60"/>
  </r>
  <r>
    <n v="864"/>
    <x v="4"/>
    <d v="2025-09-01T00:00:00"/>
    <x v="2"/>
    <x v="4"/>
    <x v="0"/>
    <x v="0"/>
    <n v="2"/>
    <n v="25"/>
    <s v="Mobile Wallet"/>
    <x v="2"/>
    <n v="50"/>
  </r>
  <r>
    <n v="766"/>
    <x v="7"/>
    <d v="2025-09-07T00:00:00"/>
    <x v="2"/>
    <x v="0"/>
    <x v="1"/>
    <x v="3"/>
    <n v="1"/>
    <n v="30"/>
    <s v="Cash"/>
    <x v="2"/>
    <n v="30"/>
  </r>
  <r>
    <n v="256"/>
    <x v="7"/>
    <d v="2025-07-21T00:00:00"/>
    <x v="1"/>
    <x v="4"/>
    <x v="1"/>
    <x v="0"/>
    <n v="5"/>
    <n v="25"/>
    <s v="Cash"/>
    <x v="0"/>
    <n v="125"/>
  </r>
  <r>
    <n v="605"/>
    <x v="5"/>
    <d v="2025-07-19T00:00:00"/>
    <x v="1"/>
    <x v="2"/>
    <x v="0"/>
    <x v="1"/>
    <n v="3"/>
    <n v="12"/>
    <s v="Card"/>
    <x v="2"/>
    <n v="36"/>
  </r>
  <r>
    <n v="765"/>
    <x v="1"/>
    <d v="2025-08-29T00:00:00"/>
    <x v="0"/>
    <x v="1"/>
    <x v="3"/>
    <x v="1"/>
    <n v="4"/>
    <n v="12"/>
    <s v="Cash"/>
    <x v="0"/>
    <n v="48"/>
  </r>
  <r>
    <n v="121"/>
    <x v="2"/>
    <d v="2025-07-19T00:00:00"/>
    <x v="1"/>
    <x v="2"/>
    <x v="1"/>
    <x v="2"/>
    <n v="2"/>
    <n v="20"/>
    <s v="Card"/>
    <x v="2"/>
    <n v="40"/>
  </r>
  <r>
    <n v="583"/>
    <x v="6"/>
    <d v="2025-09-21T00:00:00"/>
    <x v="2"/>
    <x v="0"/>
    <x v="2"/>
    <x v="0"/>
    <n v="5"/>
    <n v="25"/>
    <s v="Mobile Wallet"/>
    <x v="0"/>
    <n v="125"/>
  </r>
  <r>
    <n v="149"/>
    <x v="3"/>
    <d v="2025-08-02T00:00:00"/>
    <x v="0"/>
    <x v="2"/>
    <x v="2"/>
    <x v="1"/>
    <n v="5"/>
    <n v="12"/>
    <s v="Mobile Wallet"/>
    <x v="2"/>
    <n v="60"/>
  </r>
  <r>
    <n v="1758"/>
    <x v="3"/>
    <d v="2025-08-07T00:00:00"/>
    <x v="0"/>
    <x v="5"/>
    <x v="2"/>
    <x v="1"/>
    <n v="1"/>
    <n v="12"/>
    <s v="Cash"/>
    <x v="3"/>
    <n v="12"/>
  </r>
  <r>
    <n v="719"/>
    <x v="2"/>
    <d v="2025-07-08T00:00:00"/>
    <x v="1"/>
    <x v="3"/>
    <x v="0"/>
    <x v="2"/>
    <n v="5"/>
    <n v="20"/>
    <s v="Card"/>
    <x v="2"/>
    <n v="100"/>
  </r>
  <r>
    <n v="1604"/>
    <x v="3"/>
    <d v="2025-08-30T00:00:00"/>
    <x v="0"/>
    <x v="2"/>
    <x v="1"/>
    <x v="1"/>
    <n v="5"/>
    <n v="12"/>
    <s v="Mobile Wallet"/>
    <x v="3"/>
    <n v="60"/>
  </r>
  <r>
    <n v="390"/>
    <x v="3"/>
    <d v="2025-08-06T00:00:00"/>
    <x v="0"/>
    <x v="6"/>
    <x v="2"/>
    <x v="4"/>
    <n v="3"/>
    <n v="8"/>
    <s v="Card"/>
    <x v="3"/>
    <n v="24"/>
  </r>
  <r>
    <n v="1831"/>
    <x v="4"/>
    <d v="2025-07-01T00:00:00"/>
    <x v="1"/>
    <x v="3"/>
    <x v="1"/>
    <x v="1"/>
    <n v="3"/>
    <n v="12"/>
    <s v="Cash"/>
    <x v="1"/>
    <n v="36"/>
  </r>
  <r>
    <n v="1721"/>
    <x v="0"/>
    <d v="2025-07-09T00:00:00"/>
    <x v="1"/>
    <x v="6"/>
    <x v="0"/>
    <x v="1"/>
    <n v="1"/>
    <n v="12"/>
    <s v="Card"/>
    <x v="1"/>
    <n v="12"/>
  </r>
  <r>
    <n v="1275"/>
    <x v="5"/>
    <d v="2025-09-15T00:00:00"/>
    <x v="2"/>
    <x v="4"/>
    <x v="1"/>
    <x v="2"/>
    <n v="2"/>
    <n v="20"/>
    <s v="Card"/>
    <x v="3"/>
    <n v="40"/>
  </r>
  <r>
    <n v="59"/>
    <x v="7"/>
    <d v="2025-08-17T00:00:00"/>
    <x v="0"/>
    <x v="0"/>
    <x v="2"/>
    <x v="4"/>
    <n v="2"/>
    <n v="8"/>
    <s v="Cash"/>
    <x v="0"/>
    <n v="16"/>
  </r>
  <r>
    <n v="1786"/>
    <x v="2"/>
    <d v="2025-07-24T00:00:00"/>
    <x v="1"/>
    <x v="5"/>
    <x v="2"/>
    <x v="1"/>
    <n v="2"/>
    <n v="12"/>
    <s v="Card"/>
    <x v="3"/>
    <n v="24"/>
  </r>
  <r>
    <n v="537"/>
    <x v="2"/>
    <d v="2025-07-04T00:00:00"/>
    <x v="1"/>
    <x v="1"/>
    <x v="0"/>
    <x v="4"/>
    <n v="2"/>
    <n v="8"/>
    <s v="Mobile Wallet"/>
    <x v="1"/>
    <n v="16"/>
  </r>
  <r>
    <n v="739"/>
    <x v="1"/>
    <d v="2025-09-25T00:00:00"/>
    <x v="2"/>
    <x v="5"/>
    <x v="1"/>
    <x v="3"/>
    <n v="3"/>
    <n v="30"/>
    <s v="Card"/>
    <x v="1"/>
    <n v="90"/>
  </r>
  <r>
    <n v="271"/>
    <x v="0"/>
    <d v="2025-07-27T00:00:00"/>
    <x v="1"/>
    <x v="0"/>
    <x v="3"/>
    <x v="1"/>
    <n v="4"/>
    <n v="12"/>
    <s v="Card"/>
    <x v="0"/>
    <n v="48"/>
  </r>
  <r>
    <n v="547"/>
    <x v="1"/>
    <d v="2025-09-03T00:00:00"/>
    <x v="2"/>
    <x v="6"/>
    <x v="1"/>
    <x v="1"/>
    <n v="5"/>
    <n v="12"/>
    <s v="Mobile Wallet"/>
    <x v="3"/>
    <n v="60"/>
  </r>
  <r>
    <n v="365"/>
    <x v="5"/>
    <d v="2025-09-13T00:00:00"/>
    <x v="2"/>
    <x v="2"/>
    <x v="1"/>
    <x v="0"/>
    <n v="1"/>
    <n v="25"/>
    <s v="Mobile Wallet"/>
    <x v="1"/>
    <n v="25"/>
  </r>
  <r>
    <n v="1489"/>
    <x v="3"/>
    <d v="2025-09-20T00:00:00"/>
    <x v="2"/>
    <x v="2"/>
    <x v="2"/>
    <x v="1"/>
    <n v="5"/>
    <n v="12"/>
    <s v="Mobile Wallet"/>
    <x v="3"/>
    <n v="60"/>
  </r>
  <r>
    <n v="546"/>
    <x v="2"/>
    <d v="2025-07-05T00:00:00"/>
    <x v="1"/>
    <x v="2"/>
    <x v="3"/>
    <x v="1"/>
    <n v="2"/>
    <n v="12"/>
    <s v="Cash"/>
    <x v="3"/>
    <n v="24"/>
  </r>
  <r>
    <n v="509"/>
    <x v="2"/>
    <d v="2025-08-14T00:00:00"/>
    <x v="0"/>
    <x v="5"/>
    <x v="1"/>
    <x v="2"/>
    <n v="4"/>
    <n v="20"/>
    <s v="Mobile Wallet"/>
    <x v="3"/>
    <n v="80"/>
  </r>
  <r>
    <n v="570"/>
    <x v="5"/>
    <d v="2025-08-31T00:00:00"/>
    <x v="0"/>
    <x v="0"/>
    <x v="3"/>
    <x v="3"/>
    <n v="3"/>
    <n v="30"/>
    <s v="Card"/>
    <x v="2"/>
    <n v="90"/>
  </r>
  <r>
    <n v="1341"/>
    <x v="5"/>
    <d v="2025-07-12T00:00:00"/>
    <x v="1"/>
    <x v="2"/>
    <x v="0"/>
    <x v="2"/>
    <n v="5"/>
    <n v="20"/>
    <s v="Cash"/>
    <x v="3"/>
    <n v="100"/>
  </r>
  <r>
    <n v="298"/>
    <x v="5"/>
    <d v="2025-08-21T00:00:00"/>
    <x v="0"/>
    <x v="5"/>
    <x v="0"/>
    <x v="1"/>
    <n v="5"/>
    <n v="12"/>
    <s v="Card"/>
    <x v="1"/>
    <n v="60"/>
  </r>
  <r>
    <n v="268"/>
    <x v="2"/>
    <d v="2025-09-04T00:00:00"/>
    <x v="2"/>
    <x v="5"/>
    <x v="1"/>
    <x v="4"/>
    <n v="4"/>
    <n v="8"/>
    <s v="Cash"/>
    <x v="3"/>
    <n v="32"/>
  </r>
  <r>
    <n v="751"/>
    <x v="2"/>
    <d v="2025-08-26T00:00:00"/>
    <x v="0"/>
    <x v="3"/>
    <x v="1"/>
    <x v="1"/>
    <n v="4"/>
    <n v="12"/>
    <s v="Card"/>
    <x v="0"/>
    <n v="48"/>
  </r>
  <r>
    <n v="1586"/>
    <x v="4"/>
    <d v="2025-09-07T00:00:00"/>
    <x v="2"/>
    <x v="0"/>
    <x v="0"/>
    <x v="1"/>
    <n v="4"/>
    <n v="12"/>
    <s v="Mobile Wallet"/>
    <x v="3"/>
    <n v="48"/>
  </r>
  <r>
    <n v="723"/>
    <x v="6"/>
    <d v="2025-09-21T00:00:00"/>
    <x v="2"/>
    <x v="0"/>
    <x v="1"/>
    <x v="4"/>
    <n v="5"/>
    <n v="8"/>
    <s v="Cash"/>
    <x v="2"/>
    <n v="40"/>
  </r>
  <r>
    <n v="1136"/>
    <x v="7"/>
    <d v="2025-08-07T00:00:00"/>
    <x v="0"/>
    <x v="5"/>
    <x v="0"/>
    <x v="0"/>
    <n v="2"/>
    <n v="25"/>
    <s v="Card"/>
    <x v="0"/>
    <n v="50"/>
  </r>
  <r>
    <n v="1544"/>
    <x v="1"/>
    <d v="2025-09-25T00:00:00"/>
    <x v="2"/>
    <x v="5"/>
    <x v="2"/>
    <x v="1"/>
    <n v="3"/>
    <n v="12"/>
    <s v="Mobile Wallet"/>
    <x v="0"/>
    <n v="36"/>
  </r>
  <r>
    <n v="1819"/>
    <x v="4"/>
    <d v="2025-08-19T00:00:00"/>
    <x v="0"/>
    <x v="3"/>
    <x v="0"/>
    <x v="2"/>
    <n v="1"/>
    <n v="20"/>
    <s v="Card"/>
    <x v="2"/>
    <n v="20"/>
  </r>
  <r>
    <n v="401"/>
    <x v="2"/>
    <d v="2025-09-23T00:00:00"/>
    <x v="2"/>
    <x v="3"/>
    <x v="3"/>
    <x v="1"/>
    <n v="2"/>
    <n v="12"/>
    <s v="Mobile Wallet"/>
    <x v="2"/>
    <n v="24"/>
  </r>
  <r>
    <n v="1739"/>
    <x v="5"/>
    <d v="2025-08-18T00:00:00"/>
    <x v="0"/>
    <x v="4"/>
    <x v="0"/>
    <x v="4"/>
    <n v="3"/>
    <n v="8"/>
    <s v="Mobile Wallet"/>
    <x v="2"/>
    <n v="24"/>
  </r>
  <r>
    <n v="1276"/>
    <x v="2"/>
    <d v="2025-08-20T00:00:00"/>
    <x v="0"/>
    <x v="6"/>
    <x v="2"/>
    <x v="2"/>
    <n v="1"/>
    <n v="20"/>
    <s v="Mobile Wallet"/>
    <x v="1"/>
    <n v="20"/>
  </r>
  <r>
    <n v="1979"/>
    <x v="7"/>
    <d v="2025-09-13T00:00:00"/>
    <x v="2"/>
    <x v="2"/>
    <x v="3"/>
    <x v="1"/>
    <n v="4"/>
    <n v="12"/>
    <s v="Mobile Wallet"/>
    <x v="2"/>
    <n v="48"/>
  </r>
  <r>
    <n v="1104"/>
    <x v="3"/>
    <d v="2025-08-16T00:00:00"/>
    <x v="0"/>
    <x v="2"/>
    <x v="2"/>
    <x v="1"/>
    <n v="5"/>
    <n v="12"/>
    <s v="Cash"/>
    <x v="0"/>
    <n v="60"/>
  </r>
  <r>
    <n v="775"/>
    <x v="4"/>
    <d v="2025-07-26T00:00:00"/>
    <x v="1"/>
    <x v="2"/>
    <x v="1"/>
    <x v="0"/>
    <n v="3"/>
    <n v="25"/>
    <s v="Card"/>
    <x v="0"/>
    <n v="75"/>
  </r>
  <r>
    <n v="724"/>
    <x v="3"/>
    <d v="2025-07-13T00:00:00"/>
    <x v="1"/>
    <x v="0"/>
    <x v="0"/>
    <x v="1"/>
    <n v="2"/>
    <n v="12"/>
    <s v="Mobile Wallet"/>
    <x v="1"/>
    <n v="24"/>
  </r>
  <r>
    <n v="1591"/>
    <x v="6"/>
    <d v="2025-09-18T00:00:00"/>
    <x v="2"/>
    <x v="5"/>
    <x v="3"/>
    <x v="3"/>
    <n v="4"/>
    <n v="30"/>
    <s v="Card"/>
    <x v="0"/>
    <n v="120"/>
  </r>
  <r>
    <n v="1568"/>
    <x v="6"/>
    <d v="2025-09-10T00:00:00"/>
    <x v="2"/>
    <x v="6"/>
    <x v="0"/>
    <x v="4"/>
    <n v="4"/>
    <n v="8"/>
    <s v="Cash"/>
    <x v="0"/>
    <n v="32"/>
  </r>
  <r>
    <n v="217"/>
    <x v="6"/>
    <d v="2025-07-05T00:00:00"/>
    <x v="1"/>
    <x v="2"/>
    <x v="2"/>
    <x v="2"/>
    <n v="2"/>
    <n v="20"/>
    <s v="Cash"/>
    <x v="2"/>
    <n v="40"/>
  </r>
  <r>
    <n v="1697"/>
    <x v="3"/>
    <d v="2025-08-29T00:00:00"/>
    <x v="0"/>
    <x v="1"/>
    <x v="2"/>
    <x v="3"/>
    <n v="3"/>
    <n v="30"/>
    <s v="Cash"/>
    <x v="1"/>
    <n v="90"/>
  </r>
  <r>
    <n v="1472"/>
    <x v="4"/>
    <d v="2025-09-15T00:00:00"/>
    <x v="2"/>
    <x v="4"/>
    <x v="0"/>
    <x v="4"/>
    <n v="4"/>
    <n v="8"/>
    <s v="Cash"/>
    <x v="3"/>
    <n v="32"/>
  </r>
  <r>
    <n v="1977"/>
    <x v="5"/>
    <d v="2025-08-02T00:00:00"/>
    <x v="0"/>
    <x v="2"/>
    <x v="3"/>
    <x v="1"/>
    <n v="3"/>
    <n v="12"/>
    <s v="Cash"/>
    <x v="0"/>
    <n v="36"/>
  </r>
  <r>
    <n v="1370"/>
    <x v="4"/>
    <d v="2025-08-22T00:00:00"/>
    <x v="0"/>
    <x v="1"/>
    <x v="3"/>
    <x v="4"/>
    <n v="2"/>
    <n v="8"/>
    <s v="Card"/>
    <x v="1"/>
    <n v="16"/>
  </r>
  <r>
    <n v="741"/>
    <x v="5"/>
    <d v="2025-09-12T00:00:00"/>
    <x v="2"/>
    <x v="1"/>
    <x v="2"/>
    <x v="1"/>
    <n v="1"/>
    <n v="12"/>
    <s v="Mobile Wallet"/>
    <x v="0"/>
    <n v="12"/>
  </r>
  <r>
    <n v="202"/>
    <x v="2"/>
    <d v="2025-09-14T00:00:00"/>
    <x v="2"/>
    <x v="0"/>
    <x v="2"/>
    <x v="1"/>
    <n v="1"/>
    <n v="12"/>
    <s v="Cash"/>
    <x v="2"/>
    <n v="12"/>
  </r>
  <r>
    <n v="1189"/>
    <x v="7"/>
    <d v="2025-08-12T00:00:00"/>
    <x v="0"/>
    <x v="3"/>
    <x v="2"/>
    <x v="2"/>
    <n v="4"/>
    <n v="20"/>
    <s v="Mobile Wallet"/>
    <x v="2"/>
    <n v="80"/>
  </r>
  <r>
    <n v="18"/>
    <x v="2"/>
    <d v="2025-08-09T00:00:00"/>
    <x v="0"/>
    <x v="2"/>
    <x v="2"/>
    <x v="2"/>
    <n v="3"/>
    <n v="20"/>
    <s v="Card"/>
    <x v="2"/>
    <n v="60"/>
  </r>
  <r>
    <n v="1736"/>
    <x v="2"/>
    <d v="2025-07-21T00:00:00"/>
    <x v="1"/>
    <x v="4"/>
    <x v="2"/>
    <x v="1"/>
    <n v="5"/>
    <n v="12"/>
    <s v="Cash"/>
    <x v="3"/>
    <n v="60"/>
  </r>
  <r>
    <n v="1792"/>
    <x v="0"/>
    <d v="2025-09-14T00:00:00"/>
    <x v="2"/>
    <x v="0"/>
    <x v="2"/>
    <x v="1"/>
    <n v="1"/>
    <n v="12"/>
    <s v="Card"/>
    <x v="3"/>
    <n v="12"/>
  </r>
  <r>
    <n v="480"/>
    <x v="6"/>
    <d v="2025-08-09T00:00:00"/>
    <x v="0"/>
    <x v="2"/>
    <x v="3"/>
    <x v="4"/>
    <n v="3"/>
    <n v="8"/>
    <s v="Mobile Wallet"/>
    <x v="2"/>
    <n v="24"/>
  </r>
  <r>
    <n v="80"/>
    <x v="6"/>
    <d v="2025-08-16T00:00:00"/>
    <x v="0"/>
    <x v="2"/>
    <x v="1"/>
    <x v="4"/>
    <n v="2"/>
    <n v="8"/>
    <s v="Cash"/>
    <x v="0"/>
    <n v="16"/>
  </r>
  <r>
    <n v="1240"/>
    <x v="7"/>
    <d v="2025-07-05T00:00:00"/>
    <x v="1"/>
    <x v="2"/>
    <x v="0"/>
    <x v="0"/>
    <n v="2"/>
    <n v="25"/>
    <s v="Cash"/>
    <x v="2"/>
    <n v="50"/>
  </r>
  <r>
    <n v="1440"/>
    <x v="7"/>
    <d v="2025-07-21T00:00:00"/>
    <x v="1"/>
    <x v="4"/>
    <x v="3"/>
    <x v="3"/>
    <n v="5"/>
    <n v="30"/>
    <s v="Cash"/>
    <x v="1"/>
    <n v="150"/>
  </r>
  <r>
    <n v="717"/>
    <x v="7"/>
    <d v="2025-08-17T00:00:00"/>
    <x v="0"/>
    <x v="0"/>
    <x v="2"/>
    <x v="0"/>
    <n v="3"/>
    <n v="25"/>
    <s v="Mobile Wallet"/>
    <x v="1"/>
    <n v="75"/>
  </r>
  <r>
    <n v="728"/>
    <x v="7"/>
    <d v="2025-07-13T00:00:00"/>
    <x v="1"/>
    <x v="0"/>
    <x v="3"/>
    <x v="1"/>
    <n v="4"/>
    <n v="12"/>
    <s v="Cash"/>
    <x v="2"/>
    <n v="48"/>
  </r>
  <r>
    <n v="712"/>
    <x v="4"/>
    <d v="2025-07-20T00:00:00"/>
    <x v="1"/>
    <x v="0"/>
    <x v="0"/>
    <x v="0"/>
    <n v="2"/>
    <n v="25"/>
    <s v="Card"/>
    <x v="1"/>
    <n v="50"/>
  </r>
  <r>
    <n v="1933"/>
    <x v="3"/>
    <d v="2025-09-11T00:00:00"/>
    <x v="2"/>
    <x v="5"/>
    <x v="3"/>
    <x v="0"/>
    <n v="3"/>
    <n v="25"/>
    <s v="Mobile Wallet"/>
    <x v="2"/>
    <n v="75"/>
  </r>
  <r>
    <n v="886"/>
    <x v="1"/>
    <d v="2025-08-19T00:00:00"/>
    <x v="0"/>
    <x v="3"/>
    <x v="3"/>
    <x v="3"/>
    <n v="2"/>
    <n v="30"/>
    <s v="Mobile Wallet"/>
    <x v="2"/>
    <n v="60"/>
  </r>
  <r>
    <n v="753"/>
    <x v="4"/>
    <d v="2025-09-10T00:00:00"/>
    <x v="2"/>
    <x v="6"/>
    <x v="0"/>
    <x v="1"/>
    <n v="3"/>
    <n v="12"/>
    <s v="Mobile Wallet"/>
    <x v="0"/>
    <n v="36"/>
  </r>
  <r>
    <n v="1234"/>
    <x v="3"/>
    <d v="2025-07-06T00:00:00"/>
    <x v="1"/>
    <x v="0"/>
    <x v="1"/>
    <x v="1"/>
    <n v="3"/>
    <n v="12"/>
    <s v="Cash"/>
    <x v="2"/>
    <n v="36"/>
  </r>
  <r>
    <n v="1330"/>
    <x v="1"/>
    <d v="2025-09-24T00:00:00"/>
    <x v="2"/>
    <x v="6"/>
    <x v="1"/>
    <x v="4"/>
    <n v="5"/>
    <n v="8"/>
    <s v="Mobile Wallet"/>
    <x v="2"/>
    <n v="40"/>
  </r>
  <r>
    <n v="1297"/>
    <x v="7"/>
    <d v="2025-09-12T00:00:00"/>
    <x v="2"/>
    <x v="1"/>
    <x v="2"/>
    <x v="0"/>
    <n v="4"/>
    <n v="25"/>
    <s v="Mobile Wallet"/>
    <x v="0"/>
    <n v="100"/>
  </r>
  <r>
    <n v="1769"/>
    <x v="5"/>
    <d v="2025-07-02T00:00:00"/>
    <x v="1"/>
    <x v="6"/>
    <x v="0"/>
    <x v="1"/>
    <n v="2"/>
    <n v="12"/>
    <s v="Card"/>
    <x v="2"/>
    <n v="24"/>
  </r>
  <r>
    <n v="1340"/>
    <x v="0"/>
    <d v="2025-07-06T00:00:00"/>
    <x v="1"/>
    <x v="0"/>
    <x v="3"/>
    <x v="4"/>
    <n v="5"/>
    <n v="8"/>
    <s v="Cash"/>
    <x v="1"/>
    <n v="40"/>
  </r>
  <r>
    <n v="10"/>
    <x v="4"/>
    <d v="2025-07-10T00:00:00"/>
    <x v="1"/>
    <x v="5"/>
    <x v="3"/>
    <x v="1"/>
    <n v="2"/>
    <n v="12"/>
    <s v="Card"/>
    <x v="0"/>
    <n v="24"/>
  </r>
  <r>
    <n v="1540"/>
    <x v="1"/>
    <d v="2025-07-26T00:00:00"/>
    <x v="1"/>
    <x v="2"/>
    <x v="3"/>
    <x v="1"/>
    <n v="2"/>
    <n v="12"/>
    <s v="Card"/>
    <x v="1"/>
    <n v="24"/>
  </r>
  <r>
    <n v="122"/>
    <x v="1"/>
    <d v="2025-09-18T00:00:00"/>
    <x v="2"/>
    <x v="5"/>
    <x v="1"/>
    <x v="0"/>
    <n v="2"/>
    <n v="25"/>
    <s v="Card"/>
    <x v="1"/>
    <n v="50"/>
  </r>
  <r>
    <n v="1277"/>
    <x v="3"/>
    <d v="2025-07-29T00:00:00"/>
    <x v="1"/>
    <x v="3"/>
    <x v="3"/>
    <x v="2"/>
    <n v="2"/>
    <n v="20"/>
    <s v="Cash"/>
    <x v="0"/>
    <n v="40"/>
  </r>
  <r>
    <n v="1688"/>
    <x v="3"/>
    <d v="2025-08-16T00:00:00"/>
    <x v="0"/>
    <x v="2"/>
    <x v="2"/>
    <x v="1"/>
    <n v="1"/>
    <n v="12"/>
    <s v="Card"/>
    <x v="0"/>
    <n v="12"/>
  </r>
  <r>
    <n v="632"/>
    <x v="6"/>
    <d v="2025-08-05T00:00:00"/>
    <x v="0"/>
    <x v="3"/>
    <x v="0"/>
    <x v="4"/>
    <n v="2"/>
    <n v="8"/>
    <s v="Cash"/>
    <x v="1"/>
    <n v="16"/>
  </r>
  <r>
    <n v="1441"/>
    <x v="3"/>
    <d v="2025-08-04T00:00:00"/>
    <x v="0"/>
    <x v="4"/>
    <x v="0"/>
    <x v="1"/>
    <n v="2"/>
    <n v="12"/>
    <s v="Cash"/>
    <x v="3"/>
    <n v="24"/>
  </r>
  <r>
    <n v="1292"/>
    <x v="1"/>
    <d v="2025-09-13T00:00:00"/>
    <x v="2"/>
    <x v="2"/>
    <x v="1"/>
    <x v="2"/>
    <n v="4"/>
    <n v="20"/>
    <s v="Card"/>
    <x v="1"/>
    <n v="80"/>
  </r>
  <r>
    <n v="824"/>
    <x v="5"/>
    <d v="2025-08-31T00:00:00"/>
    <x v="0"/>
    <x v="0"/>
    <x v="1"/>
    <x v="1"/>
    <n v="2"/>
    <n v="12"/>
    <s v="Card"/>
    <x v="1"/>
    <n v="24"/>
  </r>
  <r>
    <n v="1847"/>
    <x v="2"/>
    <d v="2025-08-01T00:00:00"/>
    <x v="0"/>
    <x v="1"/>
    <x v="1"/>
    <x v="3"/>
    <n v="1"/>
    <n v="30"/>
    <s v="Cash"/>
    <x v="3"/>
    <n v="30"/>
  </r>
  <r>
    <n v="1876"/>
    <x v="2"/>
    <d v="2025-09-27T00:00:00"/>
    <x v="2"/>
    <x v="2"/>
    <x v="0"/>
    <x v="1"/>
    <n v="1"/>
    <n v="12"/>
    <s v="Card"/>
    <x v="1"/>
    <n v="12"/>
  </r>
  <r>
    <n v="1107"/>
    <x v="1"/>
    <d v="2025-07-28T00:00:00"/>
    <x v="1"/>
    <x v="4"/>
    <x v="2"/>
    <x v="4"/>
    <n v="1"/>
    <n v="8"/>
    <s v="Cash"/>
    <x v="1"/>
    <n v="8"/>
  </r>
  <r>
    <n v="1975"/>
    <x v="4"/>
    <d v="2025-09-07T00:00:00"/>
    <x v="2"/>
    <x v="0"/>
    <x v="2"/>
    <x v="1"/>
    <n v="3"/>
    <n v="12"/>
    <s v="Card"/>
    <x v="2"/>
    <n v="36"/>
  </r>
  <r>
    <n v="249"/>
    <x v="3"/>
    <d v="2025-07-12T00:00:00"/>
    <x v="1"/>
    <x v="2"/>
    <x v="1"/>
    <x v="0"/>
    <n v="5"/>
    <n v="25"/>
    <s v="Cash"/>
    <x v="2"/>
    <n v="125"/>
  </r>
  <r>
    <n v="472"/>
    <x v="2"/>
    <d v="2025-09-14T00:00:00"/>
    <x v="2"/>
    <x v="0"/>
    <x v="2"/>
    <x v="3"/>
    <n v="2"/>
    <n v="30"/>
    <s v="Card"/>
    <x v="0"/>
    <n v="60"/>
  </r>
  <r>
    <n v="341"/>
    <x v="7"/>
    <d v="2025-08-23T00:00:00"/>
    <x v="0"/>
    <x v="2"/>
    <x v="2"/>
    <x v="4"/>
    <n v="2"/>
    <n v="8"/>
    <s v="Mobile Wallet"/>
    <x v="3"/>
    <n v="16"/>
  </r>
  <r>
    <n v="491"/>
    <x v="2"/>
    <d v="2025-09-02T00:00:00"/>
    <x v="2"/>
    <x v="3"/>
    <x v="0"/>
    <x v="1"/>
    <n v="4"/>
    <n v="12"/>
    <s v="Card"/>
    <x v="2"/>
    <n v="48"/>
  </r>
  <r>
    <n v="563"/>
    <x v="5"/>
    <d v="2025-08-13T00:00:00"/>
    <x v="0"/>
    <x v="6"/>
    <x v="1"/>
    <x v="1"/>
    <n v="3"/>
    <n v="12"/>
    <s v="Cash"/>
    <x v="1"/>
    <n v="36"/>
  </r>
  <r>
    <n v="1032"/>
    <x v="2"/>
    <d v="2025-08-08T00:00:00"/>
    <x v="0"/>
    <x v="1"/>
    <x v="1"/>
    <x v="1"/>
    <n v="1"/>
    <n v="12"/>
    <s v="Card"/>
    <x v="0"/>
    <n v="12"/>
  </r>
  <r>
    <n v="1959"/>
    <x v="1"/>
    <d v="2025-09-06T00:00:00"/>
    <x v="2"/>
    <x v="2"/>
    <x v="3"/>
    <x v="1"/>
    <n v="4"/>
    <n v="12"/>
    <s v="Cash"/>
    <x v="0"/>
    <n v="48"/>
  </r>
  <r>
    <n v="953"/>
    <x v="1"/>
    <d v="2025-09-17T00:00:00"/>
    <x v="2"/>
    <x v="6"/>
    <x v="2"/>
    <x v="4"/>
    <n v="4"/>
    <n v="8"/>
    <s v="Cash"/>
    <x v="1"/>
    <n v="32"/>
  </r>
  <r>
    <n v="892"/>
    <x v="5"/>
    <d v="2025-08-04T00:00:00"/>
    <x v="0"/>
    <x v="4"/>
    <x v="0"/>
    <x v="4"/>
    <n v="5"/>
    <n v="8"/>
    <s v="Mobile Wallet"/>
    <x v="0"/>
    <n v="40"/>
  </r>
  <r>
    <n v="823"/>
    <x v="0"/>
    <d v="2025-07-26T00:00:00"/>
    <x v="1"/>
    <x v="2"/>
    <x v="3"/>
    <x v="0"/>
    <n v="3"/>
    <n v="25"/>
    <s v="Mobile Wallet"/>
    <x v="3"/>
    <n v="75"/>
  </r>
  <r>
    <n v="915"/>
    <x v="6"/>
    <d v="2025-09-17T00:00:00"/>
    <x v="2"/>
    <x v="6"/>
    <x v="3"/>
    <x v="1"/>
    <n v="4"/>
    <n v="12"/>
    <s v="Card"/>
    <x v="2"/>
    <n v="48"/>
  </r>
  <r>
    <n v="360"/>
    <x v="7"/>
    <d v="2025-09-14T00:00:00"/>
    <x v="2"/>
    <x v="0"/>
    <x v="3"/>
    <x v="1"/>
    <n v="3"/>
    <n v="12"/>
    <s v="Cash"/>
    <x v="3"/>
    <n v="36"/>
  </r>
  <r>
    <n v="282"/>
    <x v="6"/>
    <d v="2025-07-27T00:00:00"/>
    <x v="1"/>
    <x v="0"/>
    <x v="0"/>
    <x v="1"/>
    <n v="2"/>
    <n v="12"/>
    <s v="Mobile Wallet"/>
    <x v="3"/>
    <n v="24"/>
  </r>
  <r>
    <n v="580"/>
    <x v="4"/>
    <d v="2025-07-15T00:00:00"/>
    <x v="1"/>
    <x v="3"/>
    <x v="2"/>
    <x v="0"/>
    <n v="3"/>
    <n v="25"/>
    <s v="Mobile Wallet"/>
    <x v="2"/>
    <n v="75"/>
  </r>
  <r>
    <n v="833"/>
    <x v="7"/>
    <d v="2025-07-16T00:00:00"/>
    <x v="1"/>
    <x v="6"/>
    <x v="3"/>
    <x v="1"/>
    <n v="3"/>
    <n v="12"/>
    <s v="Cash"/>
    <x v="1"/>
    <n v="36"/>
  </r>
  <r>
    <n v="1600"/>
    <x v="1"/>
    <d v="2025-08-21T00:00:00"/>
    <x v="0"/>
    <x v="5"/>
    <x v="3"/>
    <x v="4"/>
    <n v="2"/>
    <n v="8"/>
    <s v="Mobile Wallet"/>
    <x v="3"/>
    <n v="16"/>
  </r>
  <r>
    <n v="1974"/>
    <x v="2"/>
    <d v="2025-08-04T00:00:00"/>
    <x v="0"/>
    <x v="4"/>
    <x v="0"/>
    <x v="4"/>
    <n v="2"/>
    <n v="8"/>
    <s v="Mobile Wallet"/>
    <x v="2"/>
    <n v="16"/>
  </r>
  <r>
    <n v="1342"/>
    <x v="2"/>
    <d v="2025-07-06T00:00:00"/>
    <x v="1"/>
    <x v="0"/>
    <x v="2"/>
    <x v="0"/>
    <n v="1"/>
    <n v="25"/>
    <s v="Card"/>
    <x v="2"/>
    <n v="25"/>
  </r>
  <r>
    <n v="1915"/>
    <x v="2"/>
    <d v="2025-07-26T00:00:00"/>
    <x v="1"/>
    <x v="2"/>
    <x v="3"/>
    <x v="3"/>
    <n v="2"/>
    <n v="30"/>
    <s v="Mobile Wallet"/>
    <x v="3"/>
    <n v="60"/>
  </r>
  <r>
    <n v="863"/>
    <x v="4"/>
    <d v="2025-07-18T00:00:00"/>
    <x v="1"/>
    <x v="1"/>
    <x v="0"/>
    <x v="3"/>
    <n v="2"/>
    <n v="30"/>
    <s v="Mobile Wallet"/>
    <x v="3"/>
    <n v="60"/>
  </r>
  <r>
    <n v="695"/>
    <x v="4"/>
    <d v="2025-09-25T00:00:00"/>
    <x v="2"/>
    <x v="5"/>
    <x v="1"/>
    <x v="3"/>
    <n v="1"/>
    <n v="30"/>
    <s v="Card"/>
    <x v="1"/>
    <n v="30"/>
  </r>
  <r>
    <n v="54"/>
    <x v="6"/>
    <d v="2025-09-02T00:00:00"/>
    <x v="2"/>
    <x v="3"/>
    <x v="1"/>
    <x v="3"/>
    <n v="3"/>
    <n v="30"/>
    <s v="Card"/>
    <x v="3"/>
    <n v="90"/>
  </r>
  <r>
    <n v="1246"/>
    <x v="2"/>
    <d v="2025-08-24T00:00:00"/>
    <x v="0"/>
    <x v="0"/>
    <x v="2"/>
    <x v="1"/>
    <n v="3"/>
    <n v="12"/>
    <s v="Cash"/>
    <x v="0"/>
    <n v="36"/>
  </r>
  <r>
    <n v="1715"/>
    <x v="0"/>
    <d v="2025-07-27T00:00:00"/>
    <x v="1"/>
    <x v="0"/>
    <x v="3"/>
    <x v="3"/>
    <n v="4"/>
    <n v="30"/>
    <s v="Mobile Wallet"/>
    <x v="2"/>
    <n v="120"/>
  </r>
  <r>
    <n v="1321"/>
    <x v="2"/>
    <d v="2025-08-16T00:00:00"/>
    <x v="0"/>
    <x v="2"/>
    <x v="1"/>
    <x v="0"/>
    <n v="2"/>
    <n v="25"/>
    <s v="Mobile Wallet"/>
    <x v="2"/>
    <n v="50"/>
  </r>
  <r>
    <n v="881"/>
    <x v="1"/>
    <d v="2025-08-08T00:00:00"/>
    <x v="0"/>
    <x v="1"/>
    <x v="2"/>
    <x v="1"/>
    <n v="2"/>
    <n v="12"/>
    <s v="Cash"/>
    <x v="2"/>
    <n v="24"/>
  </r>
  <r>
    <n v="1680"/>
    <x v="4"/>
    <d v="2025-08-10T00:00:00"/>
    <x v="0"/>
    <x v="0"/>
    <x v="3"/>
    <x v="1"/>
    <n v="2"/>
    <n v="12"/>
    <s v="Card"/>
    <x v="0"/>
    <n v="24"/>
  </r>
  <r>
    <n v="1497"/>
    <x v="2"/>
    <d v="2025-09-29T00:00:00"/>
    <x v="2"/>
    <x v="4"/>
    <x v="2"/>
    <x v="2"/>
    <n v="5"/>
    <n v="20"/>
    <s v="Cash"/>
    <x v="3"/>
    <n v="100"/>
  </r>
  <r>
    <n v="1250"/>
    <x v="6"/>
    <d v="2025-08-09T00:00:00"/>
    <x v="0"/>
    <x v="2"/>
    <x v="3"/>
    <x v="0"/>
    <n v="3"/>
    <n v="25"/>
    <s v="Card"/>
    <x v="2"/>
    <n v="75"/>
  </r>
  <r>
    <n v="1635"/>
    <x v="1"/>
    <d v="2025-07-12T00:00:00"/>
    <x v="1"/>
    <x v="2"/>
    <x v="1"/>
    <x v="1"/>
    <n v="4"/>
    <n v="12"/>
    <s v="Cash"/>
    <x v="3"/>
    <n v="48"/>
  </r>
  <r>
    <n v="181"/>
    <x v="1"/>
    <d v="2025-09-14T00:00:00"/>
    <x v="2"/>
    <x v="0"/>
    <x v="1"/>
    <x v="1"/>
    <n v="1"/>
    <n v="12"/>
    <s v="Cash"/>
    <x v="2"/>
    <n v="12"/>
  </r>
  <r>
    <n v="1083"/>
    <x v="1"/>
    <d v="2025-07-26T00:00:00"/>
    <x v="1"/>
    <x v="2"/>
    <x v="1"/>
    <x v="1"/>
    <n v="2"/>
    <n v="12"/>
    <s v="Mobile Wallet"/>
    <x v="0"/>
    <n v="24"/>
  </r>
  <r>
    <n v="784"/>
    <x v="6"/>
    <d v="2025-07-29T00:00:00"/>
    <x v="1"/>
    <x v="3"/>
    <x v="2"/>
    <x v="4"/>
    <n v="3"/>
    <n v="8"/>
    <s v="Card"/>
    <x v="3"/>
    <n v="24"/>
  </r>
  <r>
    <n v="1390"/>
    <x v="3"/>
    <d v="2025-08-05T00:00:00"/>
    <x v="0"/>
    <x v="3"/>
    <x v="2"/>
    <x v="4"/>
    <n v="1"/>
    <n v="8"/>
    <s v="Card"/>
    <x v="3"/>
    <n v="8"/>
  </r>
  <r>
    <n v="171"/>
    <x v="2"/>
    <d v="2025-09-28T00:00:00"/>
    <x v="2"/>
    <x v="0"/>
    <x v="0"/>
    <x v="4"/>
    <n v="3"/>
    <n v="8"/>
    <s v="Mobile Wallet"/>
    <x v="0"/>
    <n v="24"/>
  </r>
  <r>
    <n v="582"/>
    <x v="3"/>
    <d v="2025-07-12T00:00:00"/>
    <x v="1"/>
    <x v="2"/>
    <x v="0"/>
    <x v="2"/>
    <n v="3"/>
    <n v="20"/>
    <s v="Cash"/>
    <x v="0"/>
    <n v="60"/>
  </r>
  <r>
    <n v="1058"/>
    <x v="5"/>
    <d v="2025-07-05T00:00:00"/>
    <x v="1"/>
    <x v="2"/>
    <x v="1"/>
    <x v="1"/>
    <n v="3"/>
    <n v="12"/>
    <s v="Cash"/>
    <x v="3"/>
    <n v="36"/>
  </r>
  <r>
    <n v="1123"/>
    <x v="7"/>
    <d v="2025-08-30T00:00:00"/>
    <x v="0"/>
    <x v="2"/>
    <x v="2"/>
    <x v="1"/>
    <n v="3"/>
    <n v="12"/>
    <s v="Cash"/>
    <x v="3"/>
    <n v="36"/>
  </r>
  <r>
    <n v="692"/>
    <x v="0"/>
    <d v="2025-09-06T00:00:00"/>
    <x v="2"/>
    <x v="2"/>
    <x v="3"/>
    <x v="0"/>
    <n v="5"/>
    <n v="25"/>
    <s v="Cash"/>
    <x v="0"/>
    <n v="125"/>
  </r>
  <r>
    <n v="691"/>
    <x v="4"/>
    <d v="2025-09-06T00:00:00"/>
    <x v="2"/>
    <x v="2"/>
    <x v="1"/>
    <x v="0"/>
    <n v="4"/>
    <n v="25"/>
    <s v="Card"/>
    <x v="0"/>
    <n v="100"/>
  </r>
  <r>
    <n v="1400"/>
    <x v="1"/>
    <d v="2025-08-20T00:00:00"/>
    <x v="0"/>
    <x v="6"/>
    <x v="1"/>
    <x v="0"/>
    <n v="4"/>
    <n v="25"/>
    <s v="Mobile Wallet"/>
    <x v="0"/>
    <n v="100"/>
  </r>
  <r>
    <n v="1616"/>
    <x v="7"/>
    <d v="2025-07-25T00:00:00"/>
    <x v="1"/>
    <x v="1"/>
    <x v="0"/>
    <x v="1"/>
    <n v="5"/>
    <n v="12"/>
    <s v="Card"/>
    <x v="1"/>
    <n v="60"/>
  </r>
  <r>
    <n v="872"/>
    <x v="2"/>
    <d v="2025-08-24T00:00:00"/>
    <x v="0"/>
    <x v="0"/>
    <x v="2"/>
    <x v="3"/>
    <n v="1"/>
    <n v="30"/>
    <s v="Card"/>
    <x v="3"/>
    <n v="30"/>
  </r>
  <r>
    <n v="132"/>
    <x v="1"/>
    <d v="2025-08-02T00:00:00"/>
    <x v="0"/>
    <x v="2"/>
    <x v="3"/>
    <x v="1"/>
    <n v="2"/>
    <n v="12"/>
    <s v="Cash"/>
    <x v="1"/>
    <n v="24"/>
  </r>
  <r>
    <n v="1021"/>
    <x v="5"/>
    <d v="2025-09-06T00:00:00"/>
    <x v="2"/>
    <x v="2"/>
    <x v="2"/>
    <x v="1"/>
    <n v="2"/>
    <n v="12"/>
    <s v="Card"/>
    <x v="2"/>
    <n v="24"/>
  </r>
  <r>
    <n v="819"/>
    <x v="6"/>
    <d v="2025-08-17T00:00:00"/>
    <x v="0"/>
    <x v="0"/>
    <x v="0"/>
    <x v="1"/>
    <n v="3"/>
    <n v="12"/>
    <s v="Mobile Wallet"/>
    <x v="3"/>
    <n v="36"/>
  </r>
  <r>
    <n v="187"/>
    <x v="4"/>
    <d v="2025-09-14T00:00:00"/>
    <x v="2"/>
    <x v="0"/>
    <x v="3"/>
    <x v="2"/>
    <n v="3"/>
    <n v="20"/>
    <s v="Cash"/>
    <x v="2"/>
    <n v="60"/>
  </r>
  <r>
    <n v="1113"/>
    <x v="2"/>
    <d v="2025-07-05T00:00:00"/>
    <x v="1"/>
    <x v="2"/>
    <x v="2"/>
    <x v="4"/>
    <n v="2"/>
    <n v="8"/>
    <s v="Mobile Wallet"/>
    <x v="0"/>
    <n v="16"/>
  </r>
  <r>
    <n v="1391"/>
    <x v="4"/>
    <d v="2025-07-14T00:00:00"/>
    <x v="1"/>
    <x v="4"/>
    <x v="1"/>
    <x v="1"/>
    <n v="4"/>
    <n v="12"/>
    <s v="Mobile Wallet"/>
    <x v="2"/>
    <n v="48"/>
  </r>
  <r>
    <n v="831"/>
    <x v="1"/>
    <d v="2025-07-01T00:00:00"/>
    <x v="1"/>
    <x v="3"/>
    <x v="1"/>
    <x v="1"/>
    <n v="3"/>
    <n v="12"/>
    <s v="Cash"/>
    <x v="3"/>
    <n v="36"/>
  </r>
  <r>
    <n v="1211"/>
    <x v="3"/>
    <d v="2025-07-02T00:00:00"/>
    <x v="1"/>
    <x v="6"/>
    <x v="3"/>
    <x v="1"/>
    <n v="4"/>
    <n v="12"/>
    <s v="Card"/>
    <x v="3"/>
    <n v="48"/>
  </r>
  <r>
    <n v="1812"/>
    <x v="3"/>
    <d v="2025-09-27T00:00:00"/>
    <x v="2"/>
    <x v="2"/>
    <x v="3"/>
    <x v="1"/>
    <n v="4"/>
    <n v="12"/>
    <s v="Cash"/>
    <x v="0"/>
    <n v="48"/>
  </r>
  <r>
    <n v="191"/>
    <x v="5"/>
    <d v="2025-07-03T00:00:00"/>
    <x v="1"/>
    <x v="5"/>
    <x v="2"/>
    <x v="1"/>
    <n v="1"/>
    <n v="12"/>
    <s v="Cash"/>
    <x v="0"/>
    <n v="12"/>
  </r>
  <r>
    <n v="454"/>
    <x v="0"/>
    <d v="2025-08-24T00:00:00"/>
    <x v="0"/>
    <x v="0"/>
    <x v="0"/>
    <x v="1"/>
    <n v="4"/>
    <n v="12"/>
    <s v="Cash"/>
    <x v="1"/>
    <n v="48"/>
  </r>
  <r>
    <n v="1402"/>
    <x v="7"/>
    <d v="2025-08-31T00:00:00"/>
    <x v="0"/>
    <x v="0"/>
    <x v="1"/>
    <x v="1"/>
    <n v="5"/>
    <n v="12"/>
    <s v="Mobile Wallet"/>
    <x v="3"/>
    <n v="60"/>
  </r>
  <r>
    <n v="901"/>
    <x v="1"/>
    <d v="2025-08-31T00:00:00"/>
    <x v="0"/>
    <x v="0"/>
    <x v="2"/>
    <x v="1"/>
    <n v="1"/>
    <n v="12"/>
    <s v="Mobile Wallet"/>
    <x v="2"/>
    <n v="12"/>
  </r>
  <r>
    <n v="1137"/>
    <x v="5"/>
    <d v="2025-09-25T00:00:00"/>
    <x v="2"/>
    <x v="5"/>
    <x v="1"/>
    <x v="4"/>
    <n v="1"/>
    <n v="8"/>
    <s v="Card"/>
    <x v="3"/>
    <n v="8"/>
  </r>
  <r>
    <n v="318"/>
    <x v="3"/>
    <d v="2025-07-06T00:00:00"/>
    <x v="1"/>
    <x v="0"/>
    <x v="3"/>
    <x v="1"/>
    <n v="2"/>
    <n v="12"/>
    <s v="Card"/>
    <x v="3"/>
    <n v="24"/>
  </r>
  <r>
    <n v="646"/>
    <x v="1"/>
    <d v="2025-09-21T00:00:00"/>
    <x v="2"/>
    <x v="0"/>
    <x v="0"/>
    <x v="1"/>
    <n v="1"/>
    <n v="12"/>
    <s v="Mobile Wallet"/>
    <x v="1"/>
    <n v="12"/>
  </r>
  <r>
    <n v="1929"/>
    <x v="2"/>
    <d v="2025-09-24T00:00:00"/>
    <x v="2"/>
    <x v="6"/>
    <x v="3"/>
    <x v="4"/>
    <n v="4"/>
    <n v="8"/>
    <s v="Mobile Wallet"/>
    <x v="1"/>
    <n v="32"/>
  </r>
  <r>
    <n v="307"/>
    <x v="6"/>
    <d v="2025-07-08T00:00:00"/>
    <x v="1"/>
    <x v="3"/>
    <x v="2"/>
    <x v="1"/>
    <n v="3"/>
    <n v="12"/>
    <s v="Mobile Wallet"/>
    <x v="1"/>
    <n v="36"/>
  </r>
  <r>
    <n v="1002"/>
    <x v="5"/>
    <d v="2025-07-04T00:00:00"/>
    <x v="1"/>
    <x v="1"/>
    <x v="2"/>
    <x v="4"/>
    <n v="1"/>
    <n v="8"/>
    <s v="Card"/>
    <x v="3"/>
    <n v="8"/>
  </r>
  <r>
    <n v="1232"/>
    <x v="2"/>
    <d v="2025-07-27T00:00:00"/>
    <x v="1"/>
    <x v="0"/>
    <x v="2"/>
    <x v="0"/>
    <n v="2"/>
    <n v="25"/>
    <s v="Mobile Wallet"/>
    <x v="0"/>
    <n v="50"/>
  </r>
  <r>
    <n v="138"/>
    <x v="3"/>
    <d v="2025-09-06T00:00:00"/>
    <x v="2"/>
    <x v="2"/>
    <x v="1"/>
    <x v="4"/>
    <n v="4"/>
    <n v="8"/>
    <s v="Mobile Wallet"/>
    <x v="1"/>
    <n v="32"/>
  </r>
  <r>
    <n v="1435"/>
    <x v="6"/>
    <d v="2025-07-27T00:00:00"/>
    <x v="1"/>
    <x v="0"/>
    <x v="1"/>
    <x v="4"/>
    <n v="3"/>
    <n v="8"/>
    <s v="Card"/>
    <x v="2"/>
    <n v="24"/>
  </r>
  <r>
    <n v="93"/>
    <x v="4"/>
    <d v="2025-07-29T00:00:00"/>
    <x v="1"/>
    <x v="3"/>
    <x v="2"/>
    <x v="1"/>
    <n v="4"/>
    <n v="12"/>
    <s v="Cash"/>
    <x v="2"/>
    <n v="48"/>
  </r>
  <r>
    <n v="265"/>
    <x v="7"/>
    <d v="2025-07-03T00:00:00"/>
    <x v="1"/>
    <x v="5"/>
    <x v="2"/>
    <x v="0"/>
    <n v="5"/>
    <n v="25"/>
    <s v="Card"/>
    <x v="3"/>
    <n v="125"/>
  </r>
  <r>
    <n v="253"/>
    <x v="6"/>
    <d v="2025-07-10T00:00:00"/>
    <x v="1"/>
    <x v="5"/>
    <x v="0"/>
    <x v="4"/>
    <n v="4"/>
    <n v="8"/>
    <s v="Card"/>
    <x v="3"/>
    <n v="32"/>
  </r>
  <r>
    <n v="443"/>
    <x v="3"/>
    <d v="2025-08-02T00:00:00"/>
    <x v="0"/>
    <x v="2"/>
    <x v="1"/>
    <x v="4"/>
    <n v="1"/>
    <n v="8"/>
    <s v="Cash"/>
    <x v="1"/>
    <n v="8"/>
  </r>
  <r>
    <n v="1722"/>
    <x v="7"/>
    <d v="2025-09-20T00:00:00"/>
    <x v="2"/>
    <x v="2"/>
    <x v="0"/>
    <x v="2"/>
    <n v="4"/>
    <n v="20"/>
    <s v="Card"/>
    <x v="3"/>
    <n v="80"/>
  </r>
  <r>
    <n v="342"/>
    <x v="6"/>
    <d v="2025-08-21T00:00:00"/>
    <x v="0"/>
    <x v="5"/>
    <x v="0"/>
    <x v="1"/>
    <n v="1"/>
    <n v="12"/>
    <s v="Mobile Wallet"/>
    <x v="3"/>
    <n v="12"/>
  </r>
  <r>
    <n v="1024"/>
    <x v="4"/>
    <d v="2025-07-13T00:00:00"/>
    <x v="1"/>
    <x v="0"/>
    <x v="1"/>
    <x v="1"/>
    <n v="3"/>
    <n v="12"/>
    <s v="Card"/>
    <x v="0"/>
    <n v="36"/>
  </r>
  <r>
    <n v="1928"/>
    <x v="7"/>
    <d v="2025-09-16T00:00:00"/>
    <x v="2"/>
    <x v="3"/>
    <x v="0"/>
    <x v="4"/>
    <n v="2"/>
    <n v="8"/>
    <s v="Mobile Wallet"/>
    <x v="2"/>
    <n v="16"/>
  </r>
  <r>
    <n v="446"/>
    <x v="7"/>
    <d v="2025-08-20T00:00:00"/>
    <x v="0"/>
    <x v="6"/>
    <x v="3"/>
    <x v="1"/>
    <n v="2"/>
    <n v="12"/>
    <s v="Card"/>
    <x v="1"/>
    <n v="24"/>
  </r>
  <r>
    <n v="1541"/>
    <x v="5"/>
    <d v="2025-08-07T00:00:00"/>
    <x v="0"/>
    <x v="5"/>
    <x v="2"/>
    <x v="1"/>
    <n v="1"/>
    <n v="12"/>
    <s v="Mobile Wallet"/>
    <x v="1"/>
    <n v="12"/>
  </r>
  <r>
    <n v="486"/>
    <x v="0"/>
    <d v="2025-08-05T00:00:00"/>
    <x v="0"/>
    <x v="3"/>
    <x v="0"/>
    <x v="3"/>
    <n v="3"/>
    <n v="30"/>
    <s v="Card"/>
    <x v="0"/>
    <n v="90"/>
  </r>
  <r>
    <n v="258"/>
    <x v="0"/>
    <d v="2025-08-27T00:00:00"/>
    <x v="0"/>
    <x v="6"/>
    <x v="2"/>
    <x v="1"/>
    <n v="3"/>
    <n v="12"/>
    <s v="Card"/>
    <x v="3"/>
    <n v="36"/>
  </r>
  <r>
    <n v="204"/>
    <x v="3"/>
    <d v="2025-07-12T00:00:00"/>
    <x v="1"/>
    <x v="2"/>
    <x v="0"/>
    <x v="1"/>
    <n v="1"/>
    <n v="12"/>
    <s v="Mobile Wallet"/>
    <x v="0"/>
    <n v="12"/>
  </r>
  <r>
    <n v="393"/>
    <x v="2"/>
    <d v="2025-07-19T00:00:00"/>
    <x v="1"/>
    <x v="2"/>
    <x v="1"/>
    <x v="1"/>
    <n v="4"/>
    <n v="12"/>
    <s v="Card"/>
    <x v="1"/>
    <n v="48"/>
  </r>
  <r>
    <n v="1703"/>
    <x v="5"/>
    <d v="2025-07-18T00:00:00"/>
    <x v="1"/>
    <x v="1"/>
    <x v="1"/>
    <x v="1"/>
    <n v="5"/>
    <n v="12"/>
    <s v="Mobile Wallet"/>
    <x v="0"/>
    <n v="60"/>
  </r>
  <r>
    <n v="1331"/>
    <x v="0"/>
    <d v="2025-09-06T00:00:00"/>
    <x v="2"/>
    <x v="2"/>
    <x v="3"/>
    <x v="0"/>
    <n v="4"/>
    <n v="25"/>
    <s v="Card"/>
    <x v="3"/>
    <n v="100"/>
  </r>
  <r>
    <n v="1085"/>
    <x v="0"/>
    <d v="2025-07-26T00:00:00"/>
    <x v="1"/>
    <x v="2"/>
    <x v="2"/>
    <x v="4"/>
    <n v="4"/>
    <n v="8"/>
    <s v="Mobile Wallet"/>
    <x v="3"/>
    <n v="32"/>
  </r>
  <r>
    <n v="889"/>
    <x v="6"/>
    <d v="2025-07-07T00:00:00"/>
    <x v="1"/>
    <x v="4"/>
    <x v="3"/>
    <x v="2"/>
    <n v="2"/>
    <n v="20"/>
    <s v="Card"/>
    <x v="2"/>
    <n v="40"/>
  </r>
  <r>
    <n v="730"/>
    <x v="6"/>
    <d v="2025-07-05T00:00:00"/>
    <x v="1"/>
    <x v="2"/>
    <x v="3"/>
    <x v="1"/>
    <n v="2"/>
    <n v="12"/>
    <s v="Cash"/>
    <x v="0"/>
    <n v="24"/>
  </r>
  <r>
    <n v="635"/>
    <x v="4"/>
    <d v="2025-07-13T00:00:00"/>
    <x v="1"/>
    <x v="0"/>
    <x v="2"/>
    <x v="4"/>
    <n v="2"/>
    <n v="8"/>
    <s v="Cash"/>
    <x v="3"/>
    <n v="16"/>
  </r>
  <r>
    <n v="1976"/>
    <x v="3"/>
    <d v="2025-09-23T00:00:00"/>
    <x v="2"/>
    <x v="3"/>
    <x v="0"/>
    <x v="3"/>
    <n v="1"/>
    <n v="30"/>
    <s v="Mobile Wallet"/>
    <x v="3"/>
    <n v="30"/>
  </r>
  <r>
    <n v="1438"/>
    <x v="1"/>
    <d v="2025-08-25T00:00:00"/>
    <x v="0"/>
    <x v="4"/>
    <x v="0"/>
    <x v="0"/>
    <n v="5"/>
    <n v="25"/>
    <s v="Card"/>
    <x v="0"/>
    <n v="125"/>
  </r>
  <r>
    <n v="992"/>
    <x v="6"/>
    <d v="2025-08-07T00:00:00"/>
    <x v="0"/>
    <x v="5"/>
    <x v="2"/>
    <x v="2"/>
    <n v="3"/>
    <n v="20"/>
    <s v="Card"/>
    <x v="2"/>
    <n v="60"/>
  </r>
  <r>
    <n v="324"/>
    <x v="4"/>
    <d v="2025-07-26T00:00:00"/>
    <x v="1"/>
    <x v="2"/>
    <x v="1"/>
    <x v="1"/>
    <n v="3"/>
    <n v="12"/>
    <s v="Cash"/>
    <x v="1"/>
    <n v="36"/>
  </r>
  <r>
    <n v="105"/>
    <x v="4"/>
    <d v="2025-08-10T00:00:00"/>
    <x v="0"/>
    <x v="0"/>
    <x v="1"/>
    <x v="4"/>
    <n v="5"/>
    <n v="8"/>
    <s v="Mobile Wallet"/>
    <x v="0"/>
    <n v="40"/>
  </r>
  <r>
    <n v="1063"/>
    <x v="5"/>
    <d v="2025-08-09T00:00:00"/>
    <x v="0"/>
    <x v="2"/>
    <x v="1"/>
    <x v="0"/>
    <n v="1"/>
    <n v="25"/>
    <s v="Cash"/>
    <x v="2"/>
    <n v="25"/>
  </r>
  <r>
    <n v="651"/>
    <x v="5"/>
    <d v="2025-08-18T00:00:00"/>
    <x v="0"/>
    <x v="4"/>
    <x v="1"/>
    <x v="1"/>
    <n v="5"/>
    <n v="12"/>
    <s v="Card"/>
    <x v="0"/>
    <n v="60"/>
  </r>
  <r>
    <n v="597"/>
    <x v="1"/>
    <d v="2025-08-15T00:00:00"/>
    <x v="0"/>
    <x v="1"/>
    <x v="0"/>
    <x v="1"/>
    <n v="3"/>
    <n v="12"/>
    <s v="Cash"/>
    <x v="0"/>
    <n v="36"/>
  </r>
  <r>
    <n v="1397"/>
    <x v="7"/>
    <d v="2025-09-02T00:00:00"/>
    <x v="2"/>
    <x v="3"/>
    <x v="1"/>
    <x v="2"/>
    <n v="2"/>
    <n v="20"/>
    <s v="Mobile Wallet"/>
    <x v="2"/>
    <n v="40"/>
  </r>
  <r>
    <n v="1431"/>
    <x v="3"/>
    <d v="2025-07-03T00:00:00"/>
    <x v="1"/>
    <x v="5"/>
    <x v="0"/>
    <x v="0"/>
    <n v="1"/>
    <n v="25"/>
    <s v="Mobile Wallet"/>
    <x v="3"/>
    <n v="25"/>
  </r>
  <r>
    <n v="1298"/>
    <x v="3"/>
    <d v="2025-09-16T00:00:00"/>
    <x v="2"/>
    <x v="3"/>
    <x v="1"/>
    <x v="1"/>
    <n v="1"/>
    <n v="12"/>
    <s v="Card"/>
    <x v="2"/>
    <n v="12"/>
  </r>
  <r>
    <n v="112"/>
    <x v="5"/>
    <d v="2025-08-16T00:00:00"/>
    <x v="0"/>
    <x v="2"/>
    <x v="3"/>
    <x v="1"/>
    <n v="2"/>
    <n v="12"/>
    <s v="Cash"/>
    <x v="0"/>
    <n v="24"/>
  </r>
  <r>
    <n v="409"/>
    <x v="6"/>
    <d v="2025-08-09T00:00:00"/>
    <x v="0"/>
    <x v="2"/>
    <x v="0"/>
    <x v="3"/>
    <n v="1"/>
    <n v="30"/>
    <s v="Mobile Wallet"/>
    <x v="3"/>
    <n v="30"/>
  </r>
  <r>
    <n v="403"/>
    <x v="7"/>
    <d v="2025-07-15T00:00:00"/>
    <x v="1"/>
    <x v="3"/>
    <x v="0"/>
    <x v="1"/>
    <n v="5"/>
    <n v="12"/>
    <s v="Mobile Wallet"/>
    <x v="0"/>
    <n v="60"/>
  </r>
  <r>
    <n v="1946"/>
    <x v="2"/>
    <d v="2025-09-04T00:00:00"/>
    <x v="2"/>
    <x v="5"/>
    <x v="2"/>
    <x v="1"/>
    <n v="5"/>
    <n v="12"/>
    <s v="Mobile Wallet"/>
    <x v="3"/>
    <n v="60"/>
  </r>
  <r>
    <n v="1609"/>
    <x v="0"/>
    <d v="2025-07-06T00:00:00"/>
    <x v="1"/>
    <x v="0"/>
    <x v="0"/>
    <x v="3"/>
    <n v="4"/>
    <n v="30"/>
    <s v="Mobile Wallet"/>
    <x v="0"/>
    <n v="120"/>
  </r>
  <r>
    <n v="167"/>
    <x v="2"/>
    <d v="2025-08-16T00:00:00"/>
    <x v="0"/>
    <x v="2"/>
    <x v="1"/>
    <x v="0"/>
    <n v="2"/>
    <n v="25"/>
    <s v="Card"/>
    <x v="1"/>
    <n v="50"/>
  </r>
  <r>
    <n v="66"/>
    <x v="4"/>
    <d v="2025-08-24T00:00:00"/>
    <x v="0"/>
    <x v="0"/>
    <x v="1"/>
    <x v="4"/>
    <n v="1"/>
    <n v="8"/>
    <s v="Cash"/>
    <x v="1"/>
    <n v="8"/>
  </r>
  <r>
    <n v="19"/>
    <x v="2"/>
    <d v="2025-08-30T00:00:00"/>
    <x v="0"/>
    <x v="2"/>
    <x v="3"/>
    <x v="1"/>
    <n v="5"/>
    <n v="12"/>
    <s v="Cash"/>
    <x v="1"/>
    <n v="60"/>
  </r>
  <r>
    <n v="1654"/>
    <x v="5"/>
    <d v="2025-09-14T00:00:00"/>
    <x v="2"/>
    <x v="0"/>
    <x v="0"/>
    <x v="1"/>
    <n v="3"/>
    <n v="12"/>
    <s v="Mobile Wallet"/>
    <x v="3"/>
    <n v="36"/>
  </r>
  <r>
    <n v="278"/>
    <x v="0"/>
    <d v="2025-07-11T00:00:00"/>
    <x v="1"/>
    <x v="1"/>
    <x v="2"/>
    <x v="0"/>
    <n v="3"/>
    <n v="25"/>
    <s v="Mobile Wallet"/>
    <x v="1"/>
    <n v="75"/>
  </r>
  <r>
    <n v="465"/>
    <x v="6"/>
    <d v="2025-07-26T00:00:00"/>
    <x v="1"/>
    <x v="2"/>
    <x v="3"/>
    <x v="0"/>
    <n v="2"/>
    <n v="25"/>
    <s v="Mobile Wallet"/>
    <x v="2"/>
    <n v="50"/>
  </r>
  <r>
    <n v="1957"/>
    <x v="0"/>
    <d v="2025-07-06T00:00:00"/>
    <x v="1"/>
    <x v="0"/>
    <x v="0"/>
    <x v="3"/>
    <n v="2"/>
    <n v="30"/>
    <s v="Card"/>
    <x v="2"/>
    <n v="60"/>
  </r>
  <r>
    <n v="427"/>
    <x v="3"/>
    <d v="2025-07-13T00:00:00"/>
    <x v="1"/>
    <x v="0"/>
    <x v="0"/>
    <x v="1"/>
    <n v="2"/>
    <n v="12"/>
    <s v="Mobile Wallet"/>
    <x v="0"/>
    <n v="24"/>
  </r>
  <r>
    <n v="950"/>
    <x v="1"/>
    <d v="2025-09-23T00:00:00"/>
    <x v="2"/>
    <x v="3"/>
    <x v="1"/>
    <x v="3"/>
    <n v="1"/>
    <n v="30"/>
    <s v="Mobile Wallet"/>
    <x v="0"/>
    <n v="30"/>
  </r>
  <r>
    <n v="1707"/>
    <x v="7"/>
    <d v="2025-08-13T00:00:00"/>
    <x v="0"/>
    <x v="6"/>
    <x v="3"/>
    <x v="4"/>
    <n v="1"/>
    <n v="8"/>
    <s v="Card"/>
    <x v="1"/>
    <n v="8"/>
  </r>
  <r>
    <n v="1686"/>
    <x v="3"/>
    <d v="2025-09-29T00:00:00"/>
    <x v="2"/>
    <x v="4"/>
    <x v="2"/>
    <x v="0"/>
    <n v="4"/>
    <n v="25"/>
    <s v="Mobile Wallet"/>
    <x v="1"/>
    <n v="100"/>
  </r>
  <r>
    <n v="1550"/>
    <x v="2"/>
    <d v="2025-08-20T00:00:00"/>
    <x v="0"/>
    <x v="6"/>
    <x v="1"/>
    <x v="0"/>
    <n v="3"/>
    <n v="25"/>
    <s v="Cash"/>
    <x v="2"/>
    <n v="75"/>
  </r>
  <r>
    <n v="818"/>
    <x v="7"/>
    <d v="2025-09-21T00:00:00"/>
    <x v="2"/>
    <x v="0"/>
    <x v="0"/>
    <x v="1"/>
    <n v="1"/>
    <n v="12"/>
    <s v="Mobile Wallet"/>
    <x v="1"/>
    <n v="12"/>
  </r>
  <r>
    <n v="1269"/>
    <x v="1"/>
    <d v="2025-07-28T00:00:00"/>
    <x v="1"/>
    <x v="4"/>
    <x v="1"/>
    <x v="0"/>
    <n v="2"/>
    <n v="25"/>
    <s v="Card"/>
    <x v="0"/>
    <n v="50"/>
  </r>
  <r>
    <n v="858"/>
    <x v="7"/>
    <d v="2025-07-15T00:00:00"/>
    <x v="1"/>
    <x v="3"/>
    <x v="3"/>
    <x v="1"/>
    <n v="1"/>
    <n v="12"/>
    <s v="Card"/>
    <x v="1"/>
    <n v="12"/>
  </r>
  <r>
    <n v="834"/>
    <x v="6"/>
    <d v="2025-07-11T00:00:00"/>
    <x v="1"/>
    <x v="1"/>
    <x v="3"/>
    <x v="1"/>
    <n v="5"/>
    <n v="12"/>
    <s v="Card"/>
    <x v="0"/>
    <n v="60"/>
  </r>
  <r>
    <n v="228"/>
    <x v="0"/>
    <d v="2025-09-29T00:00:00"/>
    <x v="2"/>
    <x v="4"/>
    <x v="3"/>
    <x v="0"/>
    <n v="4"/>
    <n v="25"/>
    <s v="Cash"/>
    <x v="3"/>
    <n v="100"/>
  </r>
  <r>
    <n v="1018"/>
    <x v="7"/>
    <d v="2025-09-16T00:00:00"/>
    <x v="2"/>
    <x v="3"/>
    <x v="0"/>
    <x v="1"/>
    <n v="4"/>
    <n v="12"/>
    <s v="Mobile Wallet"/>
    <x v="0"/>
    <n v="48"/>
  </r>
  <r>
    <n v="313"/>
    <x v="6"/>
    <d v="2025-08-22T00:00:00"/>
    <x v="0"/>
    <x v="1"/>
    <x v="0"/>
    <x v="1"/>
    <n v="5"/>
    <n v="12"/>
    <s v="Card"/>
    <x v="2"/>
    <n v="60"/>
  </r>
  <r>
    <n v="1998"/>
    <x v="3"/>
    <d v="2025-07-16T00:00:00"/>
    <x v="1"/>
    <x v="6"/>
    <x v="2"/>
    <x v="1"/>
    <n v="2"/>
    <n v="12"/>
    <s v="Mobile Wallet"/>
    <x v="3"/>
    <n v="24"/>
  </r>
  <r>
    <n v="455"/>
    <x v="1"/>
    <d v="2025-09-08T00:00:00"/>
    <x v="2"/>
    <x v="4"/>
    <x v="3"/>
    <x v="0"/>
    <n v="3"/>
    <n v="25"/>
    <s v="Cash"/>
    <x v="1"/>
    <n v="75"/>
  </r>
  <r>
    <n v="1887"/>
    <x v="4"/>
    <d v="2025-07-08T00:00:00"/>
    <x v="1"/>
    <x v="3"/>
    <x v="2"/>
    <x v="3"/>
    <n v="2"/>
    <n v="30"/>
    <s v="Cash"/>
    <x v="0"/>
    <n v="60"/>
  </r>
  <r>
    <n v="747"/>
    <x v="7"/>
    <d v="2025-09-24T00:00:00"/>
    <x v="2"/>
    <x v="6"/>
    <x v="3"/>
    <x v="0"/>
    <n v="2"/>
    <n v="25"/>
    <s v="Mobile Wallet"/>
    <x v="0"/>
    <n v="50"/>
  </r>
  <r>
    <n v="1608"/>
    <x v="3"/>
    <d v="2025-08-30T00:00:00"/>
    <x v="0"/>
    <x v="2"/>
    <x v="1"/>
    <x v="1"/>
    <n v="3"/>
    <n v="12"/>
    <s v="Mobile Wallet"/>
    <x v="2"/>
    <n v="36"/>
  </r>
  <r>
    <n v="1369"/>
    <x v="3"/>
    <d v="2025-07-08T00:00:00"/>
    <x v="1"/>
    <x v="3"/>
    <x v="3"/>
    <x v="1"/>
    <n v="5"/>
    <n v="12"/>
    <s v="Mobile Wallet"/>
    <x v="3"/>
    <n v="60"/>
  </r>
  <r>
    <n v="1422"/>
    <x v="3"/>
    <d v="2025-08-13T00:00:00"/>
    <x v="0"/>
    <x v="6"/>
    <x v="0"/>
    <x v="0"/>
    <n v="5"/>
    <n v="25"/>
    <s v="Mobile Wallet"/>
    <x v="3"/>
    <n v="125"/>
  </r>
  <r>
    <n v="332"/>
    <x v="3"/>
    <d v="2025-07-05T00:00:00"/>
    <x v="1"/>
    <x v="2"/>
    <x v="2"/>
    <x v="1"/>
    <n v="3"/>
    <n v="12"/>
    <s v="Card"/>
    <x v="3"/>
    <n v="36"/>
  </r>
  <r>
    <n v="986"/>
    <x v="4"/>
    <d v="2025-09-16T00:00:00"/>
    <x v="2"/>
    <x v="3"/>
    <x v="2"/>
    <x v="3"/>
    <n v="1"/>
    <n v="30"/>
    <s v="Mobile Wallet"/>
    <x v="1"/>
    <n v="30"/>
  </r>
  <r>
    <n v="820"/>
    <x v="3"/>
    <d v="2025-08-29T00:00:00"/>
    <x v="0"/>
    <x v="1"/>
    <x v="2"/>
    <x v="1"/>
    <n v="4"/>
    <n v="12"/>
    <s v="Mobile Wallet"/>
    <x v="0"/>
    <n v="48"/>
  </r>
  <r>
    <n v="1763"/>
    <x v="7"/>
    <d v="2025-07-11T00:00:00"/>
    <x v="1"/>
    <x v="1"/>
    <x v="0"/>
    <x v="0"/>
    <n v="4"/>
    <n v="25"/>
    <s v="Mobile Wallet"/>
    <x v="1"/>
    <n v="100"/>
  </r>
  <r>
    <n v="254"/>
    <x v="1"/>
    <d v="2025-07-06T00:00:00"/>
    <x v="1"/>
    <x v="0"/>
    <x v="2"/>
    <x v="2"/>
    <n v="4"/>
    <n v="20"/>
    <s v="Mobile Wallet"/>
    <x v="3"/>
    <n v="80"/>
  </r>
  <r>
    <n v="1698"/>
    <x v="5"/>
    <d v="2025-08-25T00:00:00"/>
    <x v="0"/>
    <x v="4"/>
    <x v="3"/>
    <x v="4"/>
    <n v="1"/>
    <n v="8"/>
    <s v="Cash"/>
    <x v="0"/>
    <n v="8"/>
  </r>
  <r>
    <n v="1678"/>
    <x v="7"/>
    <d v="2025-08-10T00:00:00"/>
    <x v="0"/>
    <x v="0"/>
    <x v="2"/>
    <x v="1"/>
    <n v="1"/>
    <n v="12"/>
    <s v="Cash"/>
    <x v="3"/>
    <n v="12"/>
  </r>
  <r>
    <n v="771"/>
    <x v="1"/>
    <d v="2025-07-20T00:00:00"/>
    <x v="1"/>
    <x v="0"/>
    <x v="0"/>
    <x v="1"/>
    <n v="4"/>
    <n v="12"/>
    <s v="Cash"/>
    <x v="3"/>
    <n v="48"/>
  </r>
  <r>
    <n v="989"/>
    <x v="4"/>
    <d v="2025-09-01T00:00:00"/>
    <x v="2"/>
    <x v="4"/>
    <x v="0"/>
    <x v="4"/>
    <n v="1"/>
    <n v="8"/>
    <s v="Mobile Wallet"/>
    <x v="0"/>
    <n v="8"/>
  </r>
  <r>
    <n v="344"/>
    <x v="4"/>
    <d v="2025-08-08T00:00:00"/>
    <x v="0"/>
    <x v="1"/>
    <x v="3"/>
    <x v="1"/>
    <n v="2"/>
    <n v="12"/>
    <s v="Card"/>
    <x v="3"/>
    <n v="24"/>
  </r>
  <r>
    <n v="331"/>
    <x v="3"/>
    <d v="2025-09-28T00:00:00"/>
    <x v="2"/>
    <x v="0"/>
    <x v="1"/>
    <x v="1"/>
    <n v="1"/>
    <n v="12"/>
    <s v="Card"/>
    <x v="3"/>
    <n v="12"/>
  </r>
  <r>
    <n v="1878"/>
    <x v="4"/>
    <d v="2025-09-25T00:00:00"/>
    <x v="2"/>
    <x v="5"/>
    <x v="0"/>
    <x v="2"/>
    <n v="3"/>
    <n v="20"/>
    <s v="Card"/>
    <x v="2"/>
    <n v="60"/>
  </r>
  <r>
    <n v="1286"/>
    <x v="0"/>
    <d v="2025-09-13T00:00:00"/>
    <x v="2"/>
    <x v="2"/>
    <x v="1"/>
    <x v="1"/>
    <n v="2"/>
    <n v="12"/>
    <s v="Mobile Wallet"/>
    <x v="1"/>
    <n v="24"/>
  </r>
  <r>
    <n v="1765"/>
    <x v="1"/>
    <d v="2025-08-20T00:00:00"/>
    <x v="0"/>
    <x v="6"/>
    <x v="0"/>
    <x v="1"/>
    <n v="4"/>
    <n v="12"/>
    <s v="Mobile Wallet"/>
    <x v="0"/>
    <n v="48"/>
  </r>
  <r>
    <n v="1902"/>
    <x v="1"/>
    <d v="2025-09-13T00:00:00"/>
    <x v="2"/>
    <x v="2"/>
    <x v="0"/>
    <x v="1"/>
    <n v="3"/>
    <n v="12"/>
    <s v="Card"/>
    <x v="3"/>
    <n v="36"/>
  </r>
  <r>
    <n v="1101"/>
    <x v="7"/>
    <d v="2025-09-09T00:00:00"/>
    <x v="2"/>
    <x v="3"/>
    <x v="0"/>
    <x v="1"/>
    <n v="3"/>
    <n v="12"/>
    <s v="Cash"/>
    <x v="2"/>
    <n v="36"/>
  </r>
  <r>
    <n v="758"/>
    <x v="7"/>
    <d v="2025-09-01T00:00:00"/>
    <x v="2"/>
    <x v="4"/>
    <x v="1"/>
    <x v="2"/>
    <n v="4"/>
    <n v="20"/>
    <s v="Cash"/>
    <x v="2"/>
    <n v="80"/>
  </r>
  <r>
    <n v="1092"/>
    <x v="5"/>
    <d v="2025-08-30T00:00:00"/>
    <x v="0"/>
    <x v="2"/>
    <x v="2"/>
    <x v="3"/>
    <n v="2"/>
    <n v="30"/>
    <s v="Mobile Wallet"/>
    <x v="0"/>
    <n v="60"/>
  </r>
  <r>
    <n v="1828"/>
    <x v="2"/>
    <d v="2025-08-08T00:00:00"/>
    <x v="0"/>
    <x v="1"/>
    <x v="0"/>
    <x v="1"/>
    <n v="5"/>
    <n v="12"/>
    <s v="Mobile Wallet"/>
    <x v="2"/>
    <n v="60"/>
  </r>
  <r>
    <n v="74"/>
    <x v="4"/>
    <d v="2025-09-03T00:00:00"/>
    <x v="2"/>
    <x v="6"/>
    <x v="2"/>
    <x v="2"/>
    <n v="1"/>
    <n v="20"/>
    <s v="Card"/>
    <x v="0"/>
    <n v="20"/>
  </r>
  <r>
    <n v="1350"/>
    <x v="1"/>
    <d v="2025-09-06T00:00:00"/>
    <x v="2"/>
    <x v="2"/>
    <x v="0"/>
    <x v="1"/>
    <n v="2"/>
    <n v="12"/>
    <s v="Mobile Wallet"/>
    <x v="3"/>
    <n v="24"/>
  </r>
  <r>
    <n v="1839"/>
    <x v="2"/>
    <d v="2025-08-15T00:00:00"/>
    <x v="0"/>
    <x v="1"/>
    <x v="3"/>
    <x v="3"/>
    <n v="5"/>
    <n v="30"/>
    <s v="Cash"/>
    <x v="2"/>
    <n v="150"/>
  </r>
  <r>
    <n v="97"/>
    <x v="4"/>
    <d v="2025-09-13T00:00:00"/>
    <x v="2"/>
    <x v="2"/>
    <x v="2"/>
    <x v="0"/>
    <n v="1"/>
    <n v="25"/>
    <s v="Cash"/>
    <x v="0"/>
    <n v="25"/>
  </r>
  <r>
    <n v="1584"/>
    <x v="2"/>
    <d v="2025-08-09T00:00:00"/>
    <x v="0"/>
    <x v="2"/>
    <x v="1"/>
    <x v="2"/>
    <n v="2"/>
    <n v="20"/>
    <s v="Cash"/>
    <x v="1"/>
    <n v="40"/>
  </r>
  <r>
    <n v="1992"/>
    <x v="7"/>
    <d v="2025-09-08T00:00:00"/>
    <x v="2"/>
    <x v="4"/>
    <x v="3"/>
    <x v="1"/>
    <n v="1"/>
    <n v="12"/>
    <s v="Card"/>
    <x v="2"/>
    <n v="12"/>
  </r>
  <r>
    <n v="969"/>
    <x v="0"/>
    <d v="2025-08-23T00:00:00"/>
    <x v="0"/>
    <x v="2"/>
    <x v="0"/>
    <x v="3"/>
    <n v="1"/>
    <n v="30"/>
    <s v="Card"/>
    <x v="2"/>
    <n v="30"/>
  </r>
  <r>
    <n v="292"/>
    <x v="7"/>
    <d v="2025-07-09T00:00:00"/>
    <x v="1"/>
    <x v="6"/>
    <x v="1"/>
    <x v="1"/>
    <n v="4"/>
    <n v="12"/>
    <s v="Mobile Wallet"/>
    <x v="0"/>
    <n v="48"/>
  </r>
  <r>
    <n v="1650"/>
    <x v="4"/>
    <d v="2025-08-22T00:00:00"/>
    <x v="0"/>
    <x v="1"/>
    <x v="3"/>
    <x v="3"/>
    <n v="5"/>
    <n v="30"/>
    <s v="Card"/>
    <x v="3"/>
    <n v="150"/>
  </r>
  <r>
    <n v="1289"/>
    <x v="6"/>
    <d v="2025-07-22T00:00:00"/>
    <x v="1"/>
    <x v="3"/>
    <x v="2"/>
    <x v="3"/>
    <n v="2"/>
    <n v="30"/>
    <s v="Mobile Wallet"/>
    <x v="2"/>
    <n v="60"/>
  </r>
  <r>
    <n v="529"/>
    <x v="4"/>
    <d v="2025-07-27T00:00:00"/>
    <x v="1"/>
    <x v="0"/>
    <x v="1"/>
    <x v="1"/>
    <n v="1"/>
    <n v="12"/>
    <s v="Cash"/>
    <x v="0"/>
    <n v="12"/>
  </r>
  <r>
    <n v="1531"/>
    <x v="0"/>
    <d v="2025-08-24T00:00:00"/>
    <x v="0"/>
    <x v="0"/>
    <x v="1"/>
    <x v="1"/>
    <n v="2"/>
    <n v="12"/>
    <s v="Cash"/>
    <x v="3"/>
    <n v="24"/>
  </r>
  <r>
    <n v="1117"/>
    <x v="5"/>
    <d v="2025-07-24T00:00:00"/>
    <x v="1"/>
    <x v="5"/>
    <x v="3"/>
    <x v="4"/>
    <n v="4"/>
    <n v="8"/>
    <s v="Cash"/>
    <x v="3"/>
    <n v="32"/>
  </r>
  <r>
    <n v="42"/>
    <x v="5"/>
    <d v="2025-07-19T00:00:00"/>
    <x v="1"/>
    <x v="2"/>
    <x v="0"/>
    <x v="0"/>
    <n v="2"/>
    <n v="25"/>
    <s v="Cash"/>
    <x v="0"/>
    <n v="50"/>
  </r>
  <r>
    <n v="783"/>
    <x v="2"/>
    <d v="2025-08-03T00:00:00"/>
    <x v="0"/>
    <x v="0"/>
    <x v="0"/>
    <x v="3"/>
    <n v="5"/>
    <n v="30"/>
    <s v="Card"/>
    <x v="2"/>
    <n v="150"/>
  </r>
  <r>
    <n v="847"/>
    <x v="4"/>
    <d v="2025-08-19T00:00:00"/>
    <x v="0"/>
    <x v="3"/>
    <x v="2"/>
    <x v="4"/>
    <n v="3"/>
    <n v="8"/>
    <s v="Card"/>
    <x v="3"/>
    <n v="24"/>
  </r>
  <r>
    <n v="698"/>
    <x v="4"/>
    <d v="2025-07-20T00:00:00"/>
    <x v="1"/>
    <x v="0"/>
    <x v="1"/>
    <x v="1"/>
    <n v="2"/>
    <n v="12"/>
    <s v="Mobile Wallet"/>
    <x v="1"/>
    <n v="24"/>
  </r>
  <r>
    <n v="1577"/>
    <x v="5"/>
    <d v="2025-07-16T00:00:00"/>
    <x v="1"/>
    <x v="6"/>
    <x v="1"/>
    <x v="1"/>
    <n v="5"/>
    <n v="12"/>
    <s v="Mobile Wallet"/>
    <x v="2"/>
    <n v="60"/>
  </r>
  <r>
    <n v="1111"/>
    <x v="3"/>
    <d v="2025-09-13T00:00:00"/>
    <x v="2"/>
    <x v="2"/>
    <x v="3"/>
    <x v="0"/>
    <n v="5"/>
    <n v="25"/>
    <s v="Card"/>
    <x v="1"/>
    <n v="125"/>
  </r>
  <r>
    <n v="319"/>
    <x v="5"/>
    <d v="2025-08-13T00:00:00"/>
    <x v="0"/>
    <x v="6"/>
    <x v="0"/>
    <x v="1"/>
    <n v="1"/>
    <n v="12"/>
    <s v="Cash"/>
    <x v="2"/>
    <n v="12"/>
  </r>
  <r>
    <n v="1661"/>
    <x v="7"/>
    <d v="2025-08-01T00:00:00"/>
    <x v="0"/>
    <x v="1"/>
    <x v="1"/>
    <x v="0"/>
    <n v="3"/>
    <n v="25"/>
    <s v="Card"/>
    <x v="0"/>
    <n v="75"/>
  </r>
  <r>
    <n v="1602"/>
    <x v="5"/>
    <d v="2025-09-21T00:00:00"/>
    <x v="2"/>
    <x v="0"/>
    <x v="1"/>
    <x v="0"/>
    <n v="1"/>
    <n v="25"/>
    <s v="Card"/>
    <x v="2"/>
    <n v="25"/>
  </r>
  <r>
    <n v="794"/>
    <x v="6"/>
    <d v="2025-09-03T00:00:00"/>
    <x v="2"/>
    <x v="6"/>
    <x v="3"/>
    <x v="1"/>
    <n v="2"/>
    <n v="12"/>
    <s v="Card"/>
    <x v="3"/>
    <n v="24"/>
  </r>
  <r>
    <n v="929"/>
    <x v="0"/>
    <d v="2025-09-07T00:00:00"/>
    <x v="2"/>
    <x v="0"/>
    <x v="2"/>
    <x v="4"/>
    <n v="2"/>
    <n v="8"/>
    <s v="Card"/>
    <x v="2"/>
    <n v="16"/>
  </r>
  <r>
    <n v="1099"/>
    <x v="0"/>
    <d v="2025-09-30T00:00:00"/>
    <x v="2"/>
    <x v="3"/>
    <x v="2"/>
    <x v="1"/>
    <n v="2"/>
    <n v="12"/>
    <s v="Card"/>
    <x v="0"/>
    <n v="24"/>
  </r>
  <r>
    <n v="1378"/>
    <x v="1"/>
    <d v="2025-08-12T00:00:00"/>
    <x v="0"/>
    <x v="3"/>
    <x v="1"/>
    <x v="1"/>
    <n v="4"/>
    <n v="12"/>
    <s v="Mobile Wallet"/>
    <x v="1"/>
    <n v="48"/>
  </r>
  <r>
    <n v="1749"/>
    <x v="5"/>
    <d v="2025-09-27T00:00:00"/>
    <x v="2"/>
    <x v="2"/>
    <x v="3"/>
    <x v="1"/>
    <n v="2"/>
    <n v="12"/>
    <s v="Card"/>
    <x v="1"/>
    <n v="24"/>
  </r>
  <r>
    <n v="1364"/>
    <x v="0"/>
    <d v="2025-08-21T00:00:00"/>
    <x v="0"/>
    <x v="5"/>
    <x v="2"/>
    <x v="1"/>
    <n v="1"/>
    <n v="12"/>
    <s v="Cash"/>
    <x v="1"/>
    <n v="12"/>
  </r>
  <r>
    <n v="145"/>
    <x v="2"/>
    <d v="2025-09-25T00:00:00"/>
    <x v="2"/>
    <x v="5"/>
    <x v="3"/>
    <x v="1"/>
    <n v="4"/>
    <n v="12"/>
    <s v="Cash"/>
    <x v="3"/>
    <n v="48"/>
  </r>
  <r>
    <n v="528"/>
    <x v="4"/>
    <d v="2025-07-06T00:00:00"/>
    <x v="1"/>
    <x v="0"/>
    <x v="3"/>
    <x v="3"/>
    <n v="3"/>
    <n v="30"/>
    <s v="Card"/>
    <x v="3"/>
    <n v="90"/>
  </r>
  <r>
    <n v="49"/>
    <x v="0"/>
    <d v="2025-09-21T00:00:00"/>
    <x v="2"/>
    <x v="0"/>
    <x v="0"/>
    <x v="0"/>
    <n v="2"/>
    <n v="25"/>
    <s v="Mobile Wallet"/>
    <x v="1"/>
    <n v="50"/>
  </r>
  <r>
    <n v="1467"/>
    <x v="4"/>
    <d v="2025-09-13T00:00:00"/>
    <x v="2"/>
    <x v="2"/>
    <x v="0"/>
    <x v="1"/>
    <n v="4"/>
    <n v="12"/>
    <s v="Mobile Wallet"/>
    <x v="2"/>
    <n v="48"/>
  </r>
  <r>
    <n v="578"/>
    <x v="0"/>
    <d v="2025-08-22T00:00:00"/>
    <x v="0"/>
    <x v="1"/>
    <x v="3"/>
    <x v="0"/>
    <n v="5"/>
    <n v="25"/>
    <s v="Mobile Wallet"/>
    <x v="2"/>
    <n v="125"/>
  </r>
  <r>
    <n v="1927"/>
    <x v="1"/>
    <d v="2025-08-23T00:00:00"/>
    <x v="0"/>
    <x v="2"/>
    <x v="0"/>
    <x v="0"/>
    <n v="3"/>
    <n v="25"/>
    <s v="Cash"/>
    <x v="0"/>
    <n v="75"/>
  </r>
  <r>
    <n v="997"/>
    <x v="3"/>
    <d v="2025-09-07T00:00:00"/>
    <x v="2"/>
    <x v="0"/>
    <x v="0"/>
    <x v="1"/>
    <n v="5"/>
    <n v="12"/>
    <s v="Cash"/>
    <x v="1"/>
    <n v="60"/>
  </r>
  <r>
    <n v="1869"/>
    <x v="1"/>
    <d v="2025-09-15T00:00:00"/>
    <x v="2"/>
    <x v="4"/>
    <x v="2"/>
    <x v="4"/>
    <n v="1"/>
    <n v="8"/>
    <s v="Mobile Wallet"/>
    <x v="0"/>
    <n v="8"/>
  </r>
  <r>
    <n v="763"/>
    <x v="1"/>
    <d v="2025-09-26T00:00:00"/>
    <x v="2"/>
    <x v="1"/>
    <x v="0"/>
    <x v="0"/>
    <n v="3"/>
    <n v="25"/>
    <s v="Card"/>
    <x v="3"/>
    <n v="75"/>
  </r>
  <r>
    <n v="175"/>
    <x v="2"/>
    <d v="2025-09-03T00:00:00"/>
    <x v="2"/>
    <x v="6"/>
    <x v="3"/>
    <x v="1"/>
    <n v="3"/>
    <n v="12"/>
    <s v="Mobile Wallet"/>
    <x v="2"/>
    <n v="36"/>
  </r>
  <r>
    <n v="1662"/>
    <x v="7"/>
    <d v="2025-08-09T00:00:00"/>
    <x v="0"/>
    <x v="2"/>
    <x v="2"/>
    <x v="0"/>
    <n v="1"/>
    <n v="25"/>
    <s v="Mobile Wallet"/>
    <x v="0"/>
    <n v="25"/>
  </r>
  <r>
    <n v="516"/>
    <x v="7"/>
    <d v="2025-08-11T00:00:00"/>
    <x v="0"/>
    <x v="4"/>
    <x v="1"/>
    <x v="3"/>
    <n v="3"/>
    <n v="30"/>
    <s v="Mobile Wallet"/>
    <x v="2"/>
    <n v="90"/>
  </r>
  <r>
    <n v="1204"/>
    <x v="4"/>
    <d v="2025-09-11T00:00:00"/>
    <x v="2"/>
    <x v="5"/>
    <x v="3"/>
    <x v="2"/>
    <n v="2"/>
    <n v="20"/>
    <s v="Mobile Wallet"/>
    <x v="1"/>
    <n v="40"/>
  </r>
  <r>
    <n v="1348"/>
    <x v="5"/>
    <d v="2025-07-08T00:00:00"/>
    <x v="1"/>
    <x v="3"/>
    <x v="0"/>
    <x v="1"/>
    <n v="4"/>
    <n v="12"/>
    <s v="Mobile Wallet"/>
    <x v="3"/>
    <n v="48"/>
  </r>
  <r>
    <n v="1500"/>
    <x v="5"/>
    <d v="2025-07-11T00:00:00"/>
    <x v="1"/>
    <x v="1"/>
    <x v="1"/>
    <x v="4"/>
    <n v="3"/>
    <n v="8"/>
    <s v="Mobile Wallet"/>
    <x v="0"/>
    <n v="24"/>
  </r>
  <r>
    <n v="86"/>
    <x v="7"/>
    <d v="2025-08-31T00:00:00"/>
    <x v="0"/>
    <x v="0"/>
    <x v="3"/>
    <x v="1"/>
    <n v="2"/>
    <n v="12"/>
    <s v="Card"/>
    <x v="2"/>
    <n v="24"/>
  </r>
  <r>
    <n v="1883"/>
    <x v="3"/>
    <d v="2025-07-10T00:00:00"/>
    <x v="1"/>
    <x v="5"/>
    <x v="3"/>
    <x v="3"/>
    <n v="5"/>
    <n v="30"/>
    <s v="Mobile Wallet"/>
    <x v="1"/>
    <n v="150"/>
  </r>
  <r>
    <n v="1826"/>
    <x v="1"/>
    <d v="2025-07-16T00:00:00"/>
    <x v="1"/>
    <x v="6"/>
    <x v="2"/>
    <x v="1"/>
    <n v="5"/>
    <n v="12"/>
    <s v="Cash"/>
    <x v="0"/>
    <n v="60"/>
  </r>
  <r>
    <n v="1160"/>
    <x v="6"/>
    <d v="2025-08-06T00:00:00"/>
    <x v="0"/>
    <x v="6"/>
    <x v="0"/>
    <x v="1"/>
    <n v="1"/>
    <n v="12"/>
    <s v="Mobile Wallet"/>
    <x v="0"/>
    <n v="12"/>
  </r>
  <r>
    <n v="1827"/>
    <x v="0"/>
    <d v="2025-07-03T00:00:00"/>
    <x v="1"/>
    <x v="5"/>
    <x v="1"/>
    <x v="1"/>
    <n v="3"/>
    <n v="12"/>
    <s v="Mobile Wallet"/>
    <x v="2"/>
    <n v="36"/>
  </r>
  <r>
    <n v="1983"/>
    <x v="6"/>
    <d v="2025-09-16T00:00:00"/>
    <x v="2"/>
    <x v="3"/>
    <x v="2"/>
    <x v="1"/>
    <n v="4"/>
    <n v="12"/>
    <s v="Card"/>
    <x v="1"/>
    <n v="48"/>
  </r>
  <r>
    <n v="1628"/>
    <x v="3"/>
    <d v="2025-08-03T00:00:00"/>
    <x v="0"/>
    <x v="0"/>
    <x v="0"/>
    <x v="2"/>
    <n v="2"/>
    <n v="20"/>
    <s v="Cash"/>
    <x v="0"/>
    <n v="40"/>
  </r>
  <r>
    <n v="1343"/>
    <x v="5"/>
    <d v="2025-09-17T00:00:00"/>
    <x v="2"/>
    <x v="6"/>
    <x v="1"/>
    <x v="0"/>
    <n v="1"/>
    <n v="25"/>
    <s v="Cash"/>
    <x v="3"/>
    <n v="25"/>
  </r>
  <r>
    <n v="1036"/>
    <x v="4"/>
    <d v="2025-08-10T00:00:00"/>
    <x v="0"/>
    <x v="0"/>
    <x v="0"/>
    <x v="1"/>
    <n v="2"/>
    <n v="12"/>
    <s v="Mobile Wallet"/>
    <x v="0"/>
    <n v="24"/>
  </r>
  <r>
    <n v="1056"/>
    <x v="1"/>
    <d v="2025-08-26T00:00:00"/>
    <x v="0"/>
    <x v="3"/>
    <x v="3"/>
    <x v="3"/>
    <n v="5"/>
    <n v="30"/>
    <s v="Cash"/>
    <x v="2"/>
    <n v="150"/>
  </r>
  <r>
    <n v="1593"/>
    <x v="6"/>
    <d v="2025-08-24T00:00:00"/>
    <x v="0"/>
    <x v="0"/>
    <x v="0"/>
    <x v="0"/>
    <n v="4"/>
    <n v="25"/>
    <s v="Mobile Wallet"/>
    <x v="1"/>
    <n v="100"/>
  </r>
  <r>
    <n v="1049"/>
    <x v="1"/>
    <d v="2025-08-24T00:00:00"/>
    <x v="0"/>
    <x v="0"/>
    <x v="3"/>
    <x v="1"/>
    <n v="3"/>
    <n v="12"/>
    <s v="Cash"/>
    <x v="2"/>
    <n v="36"/>
  </r>
  <r>
    <n v="595"/>
    <x v="6"/>
    <d v="2025-07-06T00:00:00"/>
    <x v="1"/>
    <x v="0"/>
    <x v="3"/>
    <x v="1"/>
    <n v="1"/>
    <n v="12"/>
    <s v="Cash"/>
    <x v="1"/>
    <n v="12"/>
  </r>
  <r>
    <n v="761"/>
    <x v="6"/>
    <d v="2025-09-07T00:00:00"/>
    <x v="2"/>
    <x v="0"/>
    <x v="2"/>
    <x v="1"/>
    <n v="3"/>
    <n v="12"/>
    <s v="Mobile Wallet"/>
    <x v="0"/>
    <n v="36"/>
  </r>
  <r>
    <n v="1790"/>
    <x v="0"/>
    <d v="2025-08-14T00:00:00"/>
    <x v="0"/>
    <x v="5"/>
    <x v="3"/>
    <x v="3"/>
    <n v="1"/>
    <n v="30"/>
    <s v="Cash"/>
    <x v="3"/>
    <n v="30"/>
  </r>
  <r>
    <n v="891"/>
    <x v="5"/>
    <d v="2025-08-13T00:00:00"/>
    <x v="0"/>
    <x v="6"/>
    <x v="2"/>
    <x v="1"/>
    <n v="1"/>
    <n v="12"/>
    <s v="Cash"/>
    <x v="1"/>
    <n v="12"/>
  </r>
  <r>
    <n v="1612"/>
    <x v="0"/>
    <d v="2025-09-20T00:00:00"/>
    <x v="2"/>
    <x v="2"/>
    <x v="0"/>
    <x v="1"/>
    <n v="1"/>
    <n v="12"/>
    <s v="Cash"/>
    <x v="1"/>
    <n v="12"/>
  </r>
  <r>
    <n v="1771"/>
    <x v="7"/>
    <d v="2025-08-26T00:00:00"/>
    <x v="0"/>
    <x v="3"/>
    <x v="2"/>
    <x v="0"/>
    <n v="4"/>
    <n v="25"/>
    <s v="Card"/>
    <x v="0"/>
    <n v="100"/>
  </r>
  <r>
    <n v="1729"/>
    <x v="4"/>
    <d v="2025-09-09T00:00:00"/>
    <x v="2"/>
    <x v="3"/>
    <x v="0"/>
    <x v="1"/>
    <n v="3"/>
    <n v="12"/>
    <s v="Card"/>
    <x v="2"/>
    <n v="36"/>
  </r>
  <r>
    <n v="1059"/>
    <x v="0"/>
    <d v="2025-07-21T00:00:00"/>
    <x v="1"/>
    <x v="4"/>
    <x v="0"/>
    <x v="1"/>
    <n v="3"/>
    <n v="12"/>
    <s v="Card"/>
    <x v="0"/>
    <n v="36"/>
  </r>
  <r>
    <n v="607"/>
    <x v="5"/>
    <d v="2025-09-24T00:00:00"/>
    <x v="2"/>
    <x v="6"/>
    <x v="1"/>
    <x v="1"/>
    <n v="4"/>
    <n v="12"/>
    <s v="Cash"/>
    <x v="3"/>
    <n v="48"/>
  </r>
  <r>
    <n v="229"/>
    <x v="3"/>
    <d v="2025-09-21T00:00:00"/>
    <x v="2"/>
    <x v="0"/>
    <x v="3"/>
    <x v="1"/>
    <n v="5"/>
    <n v="12"/>
    <s v="Mobile Wallet"/>
    <x v="0"/>
    <n v="60"/>
  </r>
  <r>
    <n v="62"/>
    <x v="5"/>
    <d v="2025-08-15T00:00:00"/>
    <x v="0"/>
    <x v="1"/>
    <x v="2"/>
    <x v="0"/>
    <n v="4"/>
    <n v="25"/>
    <s v="Card"/>
    <x v="1"/>
    <n v="100"/>
  </r>
  <r>
    <n v="1569"/>
    <x v="7"/>
    <d v="2025-07-12T00:00:00"/>
    <x v="1"/>
    <x v="2"/>
    <x v="2"/>
    <x v="4"/>
    <n v="5"/>
    <n v="8"/>
    <s v="Card"/>
    <x v="0"/>
    <n v="40"/>
  </r>
  <r>
    <n v="508"/>
    <x v="7"/>
    <d v="2025-08-18T00:00:00"/>
    <x v="0"/>
    <x v="4"/>
    <x v="2"/>
    <x v="1"/>
    <n v="1"/>
    <n v="12"/>
    <s v="Card"/>
    <x v="0"/>
    <n v="12"/>
  </r>
  <r>
    <n v="1523"/>
    <x v="3"/>
    <d v="2025-07-28T00:00:00"/>
    <x v="1"/>
    <x v="4"/>
    <x v="1"/>
    <x v="1"/>
    <n v="1"/>
    <n v="12"/>
    <s v="Cash"/>
    <x v="0"/>
    <n v="12"/>
  </r>
  <r>
    <n v="26"/>
    <x v="0"/>
    <d v="2025-08-24T00:00:00"/>
    <x v="0"/>
    <x v="0"/>
    <x v="2"/>
    <x v="1"/>
    <n v="3"/>
    <n v="12"/>
    <s v="Mobile Wallet"/>
    <x v="3"/>
    <n v="36"/>
  </r>
  <r>
    <n v="1138"/>
    <x v="4"/>
    <d v="2025-09-07T00:00:00"/>
    <x v="2"/>
    <x v="0"/>
    <x v="2"/>
    <x v="4"/>
    <n v="1"/>
    <n v="8"/>
    <s v="Mobile Wallet"/>
    <x v="1"/>
    <n v="8"/>
  </r>
  <r>
    <n v="1895"/>
    <x v="3"/>
    <d v="2025-08-13T00:00:00"/>
    <x v="0"/>
    <x v="6"/>
    <x v="1"/>
    <x v="4"/>
    <n v="1"/>
    <n v="8"/>
    <s v="Mobile Wallet"/>
    <x v="3"/>
    <n v="8"/>
  </r>
  <r>
    <n v="1216"/>
    <x v="3"/>
    <d v="2025-09-07T00:00:00"/>
    <x v="2"/>
    <x v="0"/>
    <x v="1"/>
    <x v="1"/>
    <n v="2"/>
    <n v="12"/>
    <s v="Card"/>
    <x v="2"/>
    <n v="24"/>
  </r>
  <r>
    <n v="449"/>
    <x v="5"/>
    <d v="2025-09-08T00:00:00"/>
    <x v="2"/>
    <x v="4"/>
    <x v="1"/>
    <x v="1"/>
    <n v="1"/>
    <n v="12"/>
    <s v="Card"/>
    <x v="1"/>
    <n v="12"/>
  </r>
  <r>
    <n v="1681"/>
    <x v="6"/>
    <d v="2025-08-10T00:00:00"/>
    <x v="0"/>
    <x v="0"/>
    <x v="3"/>
    <x v="4"/>
    <n v="3"/>
    <n v="8"/>
    <s v="Card"/>
    <x v="1"/>
    <n v="24"/>
  </r>
  <r>
    <n v="1287"/>
    <x v="4"/>
    <d v="2025-07-30T00:00:00"/>
    <x v="1"/>
    <x v="6"/>
    <x v="2"/>
    <x v="1"/>
    <n v="5"/>
    <n v="12"/>
    <s v="Mobile Wallet"/>
    <x v="3"/>
    <n v="60"/>
  </r>
  <r>
    <n v="12"/>
    <x v="5"/>
    <d v="2025-09-26T00:00:00"/>
    <x v="2"/>
    <x v="1"/>
    <x v="3"/>
    <x v="1"/>
    <n v="5"/>
    <n v="12"/>
    <s v="Cash"/>
    <x v="0"/>
    <n v="60"/>
  </r>
  <r>
    <n v="1806"/>
    <x v="7"/>
    <d v="2025-09-18T00:00:00"/>
    <x v="2"/>
    <x v="5"/>
    <x v="2"/>
    <x v="3"/>
    <n v="3"/>
    <n v="30"/>
    <s v="Cash"/>
    <x v="3"/>
    <n v="90"/>
  </r>
  <r>
    <n v="1546"/>
    <x v="6"/>
    <d v="2025-08-28T00:00:00"/>
    <x v="0"/>
    <x v="5"/>
    <x v="3"/>
    <x v="1"/>
    <n v="4"/>
    <n v="12"/>
    <s v="Mobile Wallet"/>
    <x v="0"/>
    <n v="48"/>
  </r>
  <r>
    <n v="879"/>
    <x v="1"/>
    <d v="2025-09-28T00:00:00"/>
    <x v="2"/>
    <x v="0"/>
    <x v="0"/>
    <x v="0"/>
    <n v="5"/>
    <n v="25"/>
    <s v="Mobile Wallet"/>
    <x v="2"/>
    <n v="125"/>
  </r>
  <r>
    <n v="856"/>
    <x v="1"/>
    <d v="2025-07-12T00:00:00"/>
    <x v="1"/>
    <x v="2"/>
    <x v="3"/>
    <x v="0"/>
    <n v="1"/>
    <n v="25"/>
    <s v="Card"/>
    <x v="0"/>
    <n v="25"/>
  </r>
  <r>
    <n v="82"/>
    <x v="6"/>
    <d v="2025-08-23T00:00:00"/>
    <x v="0"/>
    <x v="2"/>
    <x v="1"/>
    <x v="1"/>
    <n v="2"/>
    <n v="12"/>
    <s v="Cash"/>
    <x v="1"/>
    <n v="24"/>
  </r>
  <r>
    <n v="899"/>
    <x v="5"/>
    <d v="2025-08-17T00:00:00"/>
    <x v="0"/>
    <x v="0"/>
    <x v="2"/>
    <x v="1"/>
    <n v="5"/>
    <n v="12"/>
    <s v="Card"/>
    <x v="0"/>
    <n v="60"/>
  </r>
  <r>
    <n v="1918"/>
    <x v="0"/>
    <d v="2025-08-18T00:00:00"/>
    <x v="0"/>
    <x v="4"/>
    <x v="1"/>
    <x v="1"/>
    <n v="5"/>
    <n v="12"/>
    <s v="Mobile Wallet"/>
    <x v="1"/>
    <n v="60"/>
  </r>
  <r>
    <n v="533"/>
    <x v="3"/>
    <d v="2025-08-05T00:00:00"/>
    <x v="0"/>
    <x v="3"/>
    <x v="1"/>
    <x v="1"/>
    <n v="4"/>
    <n v="12"/>
    <s v="Cash"/>
    <x v="2"/>
    <n v="48"/>
  </r>
  <r>
    <n v="959"/>
    <x v="4"/>
    <d v="2025-08-23T00:00:00"/>
    <x v="0"/>
    <x v="2"/>
    <x v="0"/>
    <x v="1"/>
    <n v="1"/>
    <n v="12"/>
    <s v="Card"/>
    <x v="1"/>
    <n v="12"/>
  </r>
  <r>
    <n v="473"/>
    <x v="7"/>
    <d v="2025-07-05T00:00:00"/>
    <x v="1"/>
    <x v="2"/>
    <x v="0"/>
    <x v="3"/>
    <n v="4"/>
    <n v="30"/>
    <s v="Card"/>
    <x v="0"/>
    <n v="120"/>
  </r>
  <r>
    <n v="1245"/>
    <x v="5"/>
    <d v="2025-08-21T00:00:00"/>
    <x v="0"/>
    <x v="5"/>
    <x v="1"/>
    <x v="4"/>
    <n v="3"/>
    <n v="8"/>
    <s v="Mobile Wallet"/>
    <x v="0"/>
    <n v="24"/>
  </r>
  <r>
    <n v="1514"/>
    <x v="3"/>
    <d v="2025-08-09T00:00:00"/>
    <x v="0"/>
    <x v="2"/>
    <x v="1"/>
    <x v="2"/>
    <n v="5"/>
    <n v="20"/>
    <s v="Card"/>
    <x v="0"/>
    <n v="100"/>
  </r>
  <r>
    <n v="243"/>
    <x v="6"/>
    <d v="2025-08-21T00:00:00"/>
    <x v="0"/>
    <x v="5"/>
    <x v="3"/>
    <x v="0"/>
    <n v="4"/>
    <n v="25"/>
    <s v="Mobile Wallet"/>
    <x v="3"/>
    <n v="100"/>
  </r>
  <r>
    <n v="466"/>
    <x v="5"/>
    <d v="2025-08-17T00:00:00"/>
    <x v="0"/>
    <x v="0"/>
    <x v="0"/>
    <x v="1"/>
    <n v="3"/>
    <n v="12"/>
    <s v="Cash"/>
    <x v="2"/>
    <n v="36"/>
  </r>
  <r>
    <n v="838"/>
    <x v="1"/>
    <d v="2025-09-10T00:00:00"/>
    <x v="2"/>
    <x v="6"/>
    <x v="3"/>
    <x v="1"/>
    <n v="4"/>
    <n v="12"/>
    <s v="Mobile Wallet"/>
    <x v="1"/>
    <n v="48"/>
  </r>
  <r>
    <n v="1095"/>
    <x v="4"/>
    <d v="2025-08-24T00:00:00"/>
    <x v="0"/>
    <x v="0"/>
    <x v="3"/>
    <x v="1"/>
    <n v="2"/>
    <n v="12"/>
    <s v="Mobile Wallet"/>
    <x v="1"/>
    <n v="24"/>
  </r>
  <r>
    <n v="1480"/>
    <x v="2"/>
    <d v="2025-07-13T00:00:00"/>
    <x v="1"/>
    <x v="0"/>
    <x v="2"/>
    <x v="1"/>
    <n v="2"/>
    <n v="12"/>
    <s v="Cash"/>
    <x v="3"/>
    <n v="24"/>
  </r>
  <r>
    <n v="125"/>
    <x v="1"/>
    <d v="2025-09-19T00:00:00"/>
    <x v="2"/>
    <x v="1"/>
    <x v="2"/>
    <x v="3"/>
    <n v="4"/>
    <n v="30"/>
    <s v="Card"/>
    <x v="0"/>
    <n v="120"/>
  </r>
  <r>
    <n v="1843"/>
    <x v="2"/>
    <d v="2025-07-01T00:00:00"/>
    <x v="1"/>
    <x v="3"/>
    <x v="3"/>
    <x v="1"/>
    <n v="1"/>
    <n v="12"/>
    <s v="Mobile Wallet"/>
    <x v="2"/>
    <n v="12"/>
  </r>
  <r>
    <n v="852"/>
    <x v="4"/>
    <d v="2025-09-02T00:00:00"/>
    <x v="2"/>
    <x v="3"/>
    <x v="0"/>
    <x v="1"/>
    <n v="1"/>
    <n v="12"/>
    <s v="Card"/>
    <x v="0"/>
    <n v="12"/>
  </r>
  <r>
    <n v="869"/>
    <x v="5"/>
    <d v="2025-07-13T00:00:00"/>
    <x v="1"/>
    <x v="0"/>
    <x v="1"/>
    <x v="1"/>
    <n v="2"/>
    <n v="12"/>
    <s v="Mobile Wallet"/>
    <x v="2"/>
    <n v="24"/>
  </r>
  <r>
    <n v="162"/>
    <x v="3"/>
    <d v="2025-07-26T00:00:00"/>
    <x v="1"/>
    <x v="2"/>
    <x v="3"/>
    <x v="0"/>
    <n v="1"/>
    <n v="25"/>
    <s v="Mobile Wallet"/>
    <x v="2"/>
    <n v="25"/>
  </r>
  <r>
    <n v="308"/>
    <x v="4"/>
    <d v="2025-08-20T00:00:00"/>
    <x v="0"/>
    <x v="6"/>
    <x v="1"/>
    <x v="0"/>
    <n v="1"/>
    <n v="25"/>
    <s v="Card"/>
    <x v="1"/>
    <n v="25"/>
  </r>
  <r>
    <n v="1385"/>
    <x v="3"/>
    <d v="2025-09-15T00:00:00"/>
    <x v="2"/>
    <x v="4"/>
    <x v="3"/>
    <x v="1"/>
    <n v="2"/>
    <n v="12"/>
    <s v="Mobile Wallet"/>
    <x v="1"/>
    <n v="24"/>
  </r>
  <r>
    <n v="1937"/>
    <x v="7"/>
    <d v="2025-09-13T00:00:00"/>
    <x v="2"/>
    <x v="2"/>
    <x v="2"/>
    <x v="1"/>
    <n v="5"/>
    <n v="12"/>
    <s v="Cash"/>
    <x v="0"/>
    <n v="60"/>
  </r>
  <r>
    <n v="1917"/>
    <x v="6"/>
    <d v="2025-07-05T00:00:00"/>
    <x v="1"/>
    <x v="2"/>
    <x v="1"/>
    <x v="4"/>
    <n v="2"/>
    <n v="8"/>
    <s v="Cash"/>
    <x v="0"/>
    <n v="16"/>
  </r>
  <r>
    <n v="148"/>
    <x v="7"/>
    <d v="2025-09-27T00:00:00"/>
    <x v="2"/>
    <x v="2"/>
    <x v="3"/>
    <x v="1"/>
    <n v="4"/>
    <n v="12"/>
    <s v="Card"/>
    <x v="0"/>
    <n v="48"/>
  </r>
  <r>
    <n v="1967"/>
    <x v="3"/>
    <d v="2025-09-21T00:00:00"/>
    <x v="2"/>
    <x v="0"/>
    <x v="3"/>
    <x v="1"/>
    <n v="3"/>
    <n v="12"/>
    <s v="Card"/>
    <x v="0"/>
    <n v="36"/>
  </r>
  <r>
    <n v="1667"/>
    <x v="2"/>
    <d v="2025-08-02T00:00:00"/>
    <x v="0"/>
    <x v="2"/>
    <x v="0"/>
    <x v="2"/>
    <n v="4"/>
    <n v="20"/>
    <s v="Card"/>
    <x v="3"/>
    <n v="80"/>
  </r>
  <r>
    <n v="791"/>
    <x v="0"/>
    <d v="2025-07-08T00:00:00"/>
    <x v="1"/>
    <x v="3"/>
    <x v="2"/>
    <x v="4"/>
    <n v="1"/>
    <n v="8"/>
    <s v="Mobile Wallet"/>
    <x v="0"/>
    <n v="8"/>
  </r>
  <r>
    <n v="714"/>
    <x v="6"/>
    <d v="2025-09-12T00:00:00"/>
    <x v="2"/>
    <x v="1"/>
    <x v="1"/>
    <x v="1"/>
    <n v="2"/>
    <n v="12"/>
    <s v="Card"/>
    <x v="1"/>
    <n v="24"/>
  </r>
  <r>
    <n v="1258"/>
    <x v="7"/>
    <d v="2025-09-11T00:00:00"/>
    <x v="2"/>
    <x v="5"/>
    <x v="2"/>
    <x v="1"/>
    <n v="5"/>
    <n v="12"/>
    <s v="Mobile Wallet"/>
    <x v="3"/>
    <n v="60"/>
  </r>
  <r>
    <n v="1045"/>
    <x v="0"/>
    <d v="2025-08-12T00:00:00"/>
    <x v="0"/>
    <x v="3"/>
    <x v="2"/>
    <x v="4"/>
    <n v="2"/>
    <n v="8"/>
    <s v="Card"/>
    <x v="1"/>
    <n v="16"/>
  </r>
  <r>
    <n v="492"/>
    <x v="1"/>
    <d v="2025-07-06T00:00:00"/>
    <x v="1"/>
    <x v="0"/>
    <x v="3"/>
    <x v="1"/>
    <n v="5"/>
    <n v="12"/>
    <s v="Cash"/>
    <x v="0"/>
    <n v="60"/>
  </r>
  <r>
    <n v="1674"/>
    <x v="3"/>
    <d v="2025-07-21T00:00:00"/>
    <x v="1"/>
    <x v="4"/>
    <x v="2"/>
    <x v="1"/>
    <n v="5"/>
    <n v="12"/>
    <s v="Card"/>
    <x v="1"/>
    <n v="60"/>
  </r>
  <r>
    <n v="1526"/>
    <x v="7"/>
    <d v="2025-08-16T00:00:00"/>
    <x v="0"/>
    <x v="2"/>
    <x v="3"/>
    <x v="1"/>
    <n v="4"/>
    <n v="12"/>
    <s v="Mobile Wallet"/>
    <x v="3"/>
    <n v="48"/>
  </r>
  <r>
    <n v="543"/>
    <x v="7"/>
    <d v="2025-08-10T00:00:00"/>
    <x v="0"/>
    <x v="0"/>
    <x v="3"/>
    <x v="2"/>
    <n v="2"/>
    <n v="20"/>
    <s v="Mobile Wallet"/>
    <x v="1"/>
    <n v="40"/>
  </r>
  <r>
    <n v="1943"/>
    <x v="0"/>
    <d v="2025-07-05T00:00:00"/>
    <x v="1"/>
    <x v="2"/>
    <x v="2"/>
    <x v="1"/>
    <n v="3"/>
    <n v="12"/>
    <s v="Card"/>
    <x v="3"/>
    <n v="36"/>
  </r>
  <r>
    <n v="1224"/>
    <x v="5"/>
    <d v="2025-07-16T00:00:00"/>
    <x v="1"/>
    <x v="6"/>
    <x v="0"/>
    <x v="1"/>
    <n v="1"/>
    <n v="12"/>
    <s v="Card"/>
    <x v="3"/>
    <n v="12"/>
  </r>
  <r>
    <n v="1996"/>
    <x v="3"/>
    <d v="2025-07-19T00:00:00"/>
    <x v="1"/>
    <x v="2"/>
    <x v="1"/>
    <x v="1"/>
    <n v="5"/>
    <n v="12"/>
    <s v="Mobile Wallet"/>
    <x v="0"/>
    <n v="60"/>
  </r>
  <r>
    <n v="128"/>
    <x v="3"/>
    <d v="2025-07-23T00:00:00"/>
    <x v="1"/>
    <x v="6"/>
    <x v="0"/>
    <x v="1"/>
    <n v="2"/>
    <n v="12"/>
    <s v="Cash"/>
    <x v="2"/>
    <n v="24"/>
  </r>
  <r>
    <n v="1014"/>
    <x v="7"/>
    <d v="2025-07-12T00:00:00"/>
    <x v="1"/>
    <x v="2"/>
    <x v="0"/>
    <x v="1"/>
    <n v="3"/>
    <n v="12"/>
    <s v="Mobile Wallet"/>
    <x v="3"/>
    <n v="36"/>
  </r>
  <r>
    <n v="1260"/>
    <x v="7"/>
    <d v="2025-09-30T00:00:00"/>
    <x v="2"/>
    <x v="3"/>
    <x v="0"/>
    <x v="2"/>
    <n v="1"/>
    <n v="20"/>
    <s v="Card"/>
    <x v="3"/>
    <n v="20"/>
  </r>
  <r>
    <n v="675"/>
    <x v="6"/>
    <d v="2025-08-21T00:00:00"/>
    <x v="0"/>
    <x v="5"/>
    <x v="0"/>
    <x v="2"/>
    <n v="4"/>
    <n v="20"/>
    <s v="Mobile Wallet"/>
    <x v="3"/>
    <n v="80"/>
  </r>
  <r>
    <n v="740"/>
    <x v="6"/>
    <d v="2025-08-19T00:00:00"/>
    <x v="0"/>
    <x v="3"/>
    <x v="2"/>
    <x v="1"/>
    <n v="5"/>
    <n v="12"/>
    <s v="Cash"/>
    <x v="1"/>
    <n v="60"/>
  </r>
  <r>
    <n v="1677"/>
    <x v="5"/>
    <d v="2025-07-20T00:00:00"/>
    <x v="1"/>
    <x v="0"/>
    <x v="1"/>
    <x v="1"/>
    <n v="1"/>
    <n v="12"/>
    <s v="Cash"/>
    <x v="2"/>
    <n v="12"/>
  </r>
  <r>
    <n v="1265"/>
    <x v="0"/>
    <d v="2025-07-19T00:00:00"/>
    <x v="1"/>
    <x v="2"/>
    <x v="1"/>
    <x v="4"/>
    <n v="5"/>
    <n v="8"/>
    <s v="Card"/>
    <x v="3"/>
    <n v="40"/>
  </r>
  <r>
    <n v="772"/>
    <x v="1"/>
    <d v="2025-07-30T00:00:00"/>
    <x v="1"/>
    <x v="6"/>
    <x v="3"/>
    <x v="1"/>
    <n v="3"/>
    <n v="12"/>
    <s v="Mobile Wallet"/>
    <x v="3"/>
    <n v="36"/>
  </r>
  <r>
    <n v="590"/>
    <x v="1"/>
    <d v="2025-09-11T00:00:00"/>
    <x v="2"/>
    <x v="5"/>
    <x v="0"/>
    <x v="4"/>
    <n v="5"/>
    <n v="8"/>
    <s v="Card"/>
    <x v="3"/>
    <n v="40"/>
  </r>
  <r>
    <n v="505"/>
    <x v="5"/>
    <d v="2025-08-15T00:00:00"/>
    <x v="0"/>
    <x v="1"/>
    <x v="2"/>
    <x v="1"/>
    <n v="2"/>
    <n v="12"/>
    <s v="Card"/>
    <x v="1"/>
    <n v="24"/>
  </r>
  <r>
    <n v="642"/>
    <x v="0"/>
    <d v="2025-08-23T00:00:00"/>
    <x v="0"/>
    <x v="2"/>
    <x v="1"/>
    <x v="1"/>
    <n v="2"/>
    <n v="12"/>
    <s v="Cash"/>
    <x v="0"/>
    <n v="24"/>
  </r>
  <r>
    <n v="923"/>
    <x v="3"/>
    <d v="2025-09-14T00:00:00"/>
    <x v="2"/>
    <x v="0"/>
    <x v="3"/>
    <x v="2"/>
    <n v="2"/>
    <n v="20"/>
    <s v="Mobile Wallet"/>
    <x v="0"/>
    <n v="40"/>
  </r>
  <r>
    <n v="1112"/>
    <x v="3"/>
    <d v="2025-09-08T00:00:00"/>
    <x v="2"/>
    <x v="4"/>
    <x v="0"/>
    <x v="1"/>
    <n v="1"/>
    <n v="12"/>
    <s v="Card"/>
    <x v="1"/>
    <n v="12"/>
  </r>
  <r>
    <n v="514"/>
    <x v="0"/>
    <d v="2025-07-06T00:00:00"/>
    <x v="1"/>
    <x v="0"/>
    <x v="1"/>
    <x v="0"/>
    <n v="3"/>
    <n v="25"/>
    <s v="Mobile Wallet"/>
    <x v="3"/>
    <n v="75"/>
  </r>
  <r>
    <n v="1005"/>
    <x v="3"/>
    <d v="2025-09-30T00:00:00"/>
    <x v="2"/>
    <x v="3"/>
    <x v="3"/>
    <x v="0"/>
    <n v="5"/>
    <n v="25"/>
    <s v="Cash"/>
    <x v="3"/>
    <n v="125"/>
  </r>
  <r>
    <n v="276"/>
    <x v="6"/>
    <d v="2025-09-25T00:00:00"/>
    <x v="2"/>
    <x v="5"/>
    <x v="3"/>
    <x v="0"/>
    <n v="3"/>
    <n v="25"/>
    <s v="Card"/>
    <x v="1"/>
    <n v="75"/>
  </r>
  <r>
    <n v="816"/>
    <x v="1"/>
    <d v="2025-09-13T00:00:00"/>
    <x v="2"/>
    <x v="2"/>
    <x v="1"/>
    <x v="4"/>
    <n v="5"/>
    <n v="8"/>
    <s v="Cash"/>
    <x v="2"/>
    <n v="40"/>
  </r>
  <r>
    <n v="1923"/>
    <x v="6"/>
    <d v="2025-07-09T00:00:00"/>
    <x v="1"/>
    <x v="6"/>
    <x v="2"/>
    <x v="4"/>
    <n v="3"/>
    <n v="8"/>
    <s v="Mobile Wallet"/>
    <x v="1"/>
    <n v="24"/>
  </r>
  <r>
    <n v="279"/>
    <x v="3"/>
    <d v="2025-08-09T00:00:00"/>
    <x v="0"/>
    <x v="2"/>
    <x v="3"/>
    <x v="0"/>
    <n v="3"/>
    <n v="25"/>
    <s v="Card"/>
    <x v="2"/>
    <n v="75"/>
  </r>
  <r>
    <n v="1824"/>
    <x v="6"/>
    <d v="2025-08-11T00:00:00"/>
    <x v="0"/>
    <x v="4"/>
    <x v="0"/>
    <x v="1"/>
    <n v="1"/>
    <n v="12"/>
    <s v="Cash"/>
    <x v="0"/>
    <n v="12"/>
  </r>
  <r>
    <n v="1178"/>
    <x v="2"/>
    <d v="2025-07-19T00:00:00"/>
    <x v="1"/>
    <x v="2"/>
    <x v="3"/>
    <x v="2"/>
    <n v="4"/>
    <n v="20"/>
    <s v="Card"/>
    <x v="1"/>
    <n v="80"/>
  </r>
  <r>
    <n v="273"/>
    <x v="2"/>
    <d v="2025-09-16T00:00:00"/>
    <x v="2"/>
    <x v="3"/>
    <x v="3"/>
    <x v="1"/>
    <n v="2"/>
    <n v="12"/>
    <s v="Cash"/>
    <x v="2"/>
    <n v="24"/>
  </r>
  <r>
    <n v="1855"/>
    <x v="2"/>
    <d v="2025-07-20T00:00:00"/>
    <x v="1"/>
    <x v="0"/>
    <x v="1"/>
    <x v="4"/>
    <n v="4"/>
    <n v="8"/>
    <s v="Mobile Wallet"/>
    <x v="1"/>
    <n v="32"/>
  </r>
  <r>
    <n v="1675"/>
    <x v="3"/>
    <d v="2025-08-15T00:00:00"/>
    <x v="0"/>
    <x v="1"/>
    <x v="0"/>
    <x v="0"/>
    <n v="5"/>
    <n v="25"/>
    <s v="Card"/>
    <x v="2"/>
    <n v="125"/>
  </r>
  <r>
    <n v="1490"/>
    <x v="3"/>
    <d v="2025-08-16T00:00:00"/>
    <x v="0"/>
    <x v="2"/>
    <x v="2"/>
    <x v="1"/>
    <n v="1"/>
    <n v="12"/>
    <s v="Mobile Wallet"/>
    <x v="3"/>
    <n v="12"/>
  </r>
  <r>
    <n v="1880"/>
    <x v="3"/>
    <d v="2025-07-13T00:00:00"/>
    <x v="1"/>
    <x v="0"/>
    <x v="0"/>
    <x v="1"/>
    <n v="5"/>
    <n v="12"/>
    <s v="Cash"/>
    <x v="3"/>
    <n v="60"/>
  </r>
  <r>
    <n v="665"/>
    <x v="3"/>
    <d v="2025-09-15T00:00:00"/>
    <x v="2"/>
    <x v="4"/>
    <x v="2"/>
    <x v="0"/>
    <n v="3"/>
    <n v="25"/>
    <s v="Cash"/>
    <x v="1"/>
    <n v="75"/>
  </r>
  <r>
    <n v="212"/>
    <x v="5"/>
    <d v="2025-09-06T00:00:00"/>
    <x v="2"/>
    <x v="2"/>
    <x v="0"/>
    <x v="2"/>
    <n v="4"/>
    <n v="20"/>
    <s v="Card"/>
    <x v="1"/>
    <n v="80"/>
  </r>
  <r>
    <n v="498"/>
    <x v="6"/>
    <d v="2025-09-24T00:00:00"/>
    <x v="2"/>
    <x v="6"/>
    <x v="2"/>
    <x v="2"/>
    <n v="5"/>
    <n v="20"/>
    <s v="Cash"/>
    <x v="3"/>
    <n v="100"/>
  </r>
  <r>
    <n v="1273"/>
    <x v="7"/>
    <d v="2025-09-24T00:00:00"/>
    <x v="2"/>
    <x v="6"/>
    <x v="1"/>
    <x v="4"/>
    <n v="4"/>
    <n v="8"/>
    <s v="Cash"/>
    <x v="2"/>
    <n v="32"/>
  </r>
  <r>
    <n v="855"/>
    <x v="5"/>
    <d v="2025-08-17T00:00:00"/>
    <x v="0"/>
    <x v="0"/>
    <x v="2"/>
    <x v="1"/>
    <n v="4"/>
    <n v="12"/>
    <s v="Card"/>
    <x v="2"/>
    <n v="48"/>
  </r>
  <r>
    <n v="1220"/>
    <x v="7"/>
    <d v="2025-09-14T00:00:00"/>
    <x v="2"/>
    <x v="0"/>
    <x v="1"/>
    <x v="4"/>
    <n v="2"/>
    <n v="8"/>
    <s v="Mobile Wallet"/>
    <x v="1"/>
    <n v="16"/>
  </r>
  <r>
    <n v="1459"/>
    <x v="0"/>
    <d v="2025-09-09T00:00:00"/>
    <x v="2"/>
    <x v="3"/>
    <x v="0"/>
    <x v="4"/>
    <n v="3"/>
    <n v="8"/>
    <s v="Cash"/>
    <x v="2"/>
    <n v="24"/>
  </r>
  <r>
    <n v="1360"/>
    <x v="5"/>
    <d v="2025-09-13T00:00:00"/>
    <x v="2"/>
    <x v="2"/>
    <x v="0"/>
    <x v="4"/>
    <n v="2"/>
    <n v="8"/>
    <s v="Card"/>
    <x v="0"/>
    <n v="16"/>
  </r>
  <r>
    <n v="482"/>
    <x v="0"/>
    <d v="2025-08-14T00:00:00"/>
    <x v="0"/>
    <x v="5"/>
    <x v="3"/>
    <x v="2"/>
    <n v="4"/>
    <n v="20"/>
    <s v="Card"/>
    <x v="3"/>
    <n v="80"/>
  </r>
  <r>
    <n v="194"/>
    <x v="5"/>
    <d v="2025-07-11T00:00:00"/>
    <x v="1"/>
    <x v="1"/>
    <x v="3"/>
    <x v="0"/>
    <n v="1"/>
    <n v="25"/>
    <s v="Mobile Wallet"/>
    <x v="0"/>
    <n v="25"/>
  </r>
  <r>
    <n v="1714"/>
    <x v="1"/>
    <d v="2025-07-26T00:00:00"/>
    <x v="1"/>
    <x v="2"/>
    <x v="2"/>
    <x v="0"/>
    <n v="3"/>
    <n v="25"/>
    <s v="Mobile Wallet"/>
    <x v="2"/>
    <n v="75"/>
  </r>
  <r>
    <n v="1538"/>
    <x v="0"/>
    <d v="2025-08-13T00:00:00"/>
    <x v="0"/>
    <x v="6"/>
    <x v="3"/>
    <x v="1"/>
    <n v="3"/>
    <n v="12"/>
    <s v="Card"/>
    <x v="3"/>
    <n v="36"/>
  </r>
  <r>
    <n v="779"/>
    <x v="2"/>
    <d v="2025-08-03T00:00:00"/>
    <x v="0"/>
    <x v="0"/>
    <x v="0"/>
    <x v="1"/>
    <n v="3"/>
    <n v="12"/>
    <s v="Mobile Wallet"/>
    <x v="1"/>
    <n v="36"/>
  </r>
  <r>
    <n v="716"/>
    <x v="2"/>
    <d v="2025-07-27T00:00:00"/>
    <x v="1"/>
    <x v="0"/>
    <x v="0"/>
    <x v="1"/>
    <n v="1"/>
    <n v="12"/>
    <s v="Cash"/>
    <x v="0"/>
    <n v="12"/>
  </r>
  <r>
    <n v="661"/>
    <x v="2"/>
    <d v="2025-08-02T00:00:00"/>
    <x v="0"/>
    <x v="2"/>
    <x v="2"/>
    <x v="1"/>
    <n v="2"/>
    <n v="12"/>
    <s v="Card"/>
    <x v="0"/>
    <n v="24"/>
  </r>
  <r>
    <n v="1494"/>
    <x v="4"/>
    <d v="2025-09-22T00:00:00"/>
    <x v="2"/>
    <x v="4"/>
    <x v="2"/>
    <x v="2"/>
    <n v="2"/>
    <n v="20"/>
    <s v="Cash"/>
    <x v="1"/>
    <n v="40"/>
  </r>
  <r>
    <n v="926"/>
    <x v="7"/>
    <d v="2025-07-09T00:00:00"/>
    <x v="1"/>
    <x v="6"/>
    <x v="2"/>
    <x v="3"/>
    <n v="4"/>
    <n v="30"/>
    <s v="Card"/>
    <x v="0"/>
    <n v="120"/>
  </r>
  <r>
    <n v="553"/>
    <x v="1"/>
    <d v="2025-09-13T00:00:00"/>
    <x v="2"/>
    <x v="2"/>
    <x v="3"/>
    <x v="2"/>
    <n v="3"/>
    <n v="20"/>
    <s v="Card"/>
    <x v="0"/>
    <n v="60"/>
  </r>
  <r>
    <n v="1119"/>
    <x v="1"/>
    <d v="2025-09-04T00:00:00"/>
    <x v="2"/>
    <x v="5"/>
    <x v="1"/>
    <x v="1"/>
    <n v="1"/>
    <n v="12"/>
    <s v="Card"/>
    <x v="0"/>
    <n v="12"/>
  </r>
  <r>
    <n v="797"/>
    <x v="1"/>
    <d v="2025-08-07T00:00:00"/>
    <x v="0"/>
    <x v="5"/>
    <x v="0"/>
    <x v="1"/>
    <n v="4"/>
    <n v="12"/>
    <s v="Card"/>
    <x v="0"/>
    <n v="48"/>
  </r>
  <r>
    <n v="1288"/>
    <x v="0"/>
    <d v="2025-07-25T00:00:00"/>
    <x v="1"/>
    <x v="1"/>
    <x v="2"/>
    <x v="2"/>
    <n v="2"/>
    <n v="20"/>
    <s v="Card"/>
    <x v="2"/>
    <n v="40"/>
  </r>
  <r>
    <n v="1858"/>
    <x v="3"/>
    <d v="2025-09-19T00:00:00"/>
    <x v="2"/>
    <x v="1"/>
    <x v="0"/>
    <x v="0"/>
    <n v="2"/>
    <n v="25"/>
    <s v="Cash"/>
    <x v="2"/>
    <n v="50"/>
  </r>
  <r>
    <n v="61"/>
    <x v="7"/>
    <d v="2025-09-25T00:00:00"/>
    <x v="2"/>
    <x v="5"/>
    <x v="3"/>
    <x v="1"/>
    <n v="2"/>
    <n v="12"/>
    <s v="Card"/>
    <x v="0"/>
    <n v="24"/>
  </r>
  <r>
    <n v="1699"/>
    <x v="3"/>
    <d v="2025-09-04T00:00:00"/>
    <x v="2"/>
    <x v="5"/>
    <x v="1"/>
    <x v="3"/>
    <n v="4"/>
    <n v="30"/>
    <s v="Card"/>
    <x v="1"/>
    <n v="120"/>
  </r>
  <r>
    <n v="1215"/>
    <x v="4"/>
    <d v="2025-07-10T00:00:00"/>
    <x v="1"/>
    <x v="5"/>
    <x v="3"/>
    <x v="1"/>
    <n v="4"/>
    <n v="12"/>
    <s v="Mobile Wallet"/>
    <x v="3"/>
    <n v="48"/>
  </r>
  <r>
    <n v="269"/>
    <x v="5"/>
    <d v="2025-09-20T00:00:00"/>
    <x v="2"/>
    <x v="2"/>
    <x v="3"/>
    <x v="1"/>
    <n v="3"/>
    <n v="12"/>
    <s v="Card"/>
    <x v="0"/>
    <n v="36"/>
  </r>
  <r>
    <n v="1418"/>
    <x v="5"/>
    <d v="2025-09-27T00:00:00"/>
    <x v="2"/>
    <x v="2"/>
    <x v="2"/>
    <x v="4"/>
    <n v="3"/>
    <n v="8"/>
    <s v="Cash"/>
    <x v="2"/>
    <n v="24"/>
  </r>
  <r>
    <n v="320"/>
    <x v="0"/>
    <d v="2025-09-28T00:00:00"/>
    <x v="2"/>
    <x v="0"/>
    <x v="0"/>
    <x v="1"/>
    <n v="5"/>
    <n v="12"/>
    <s v="Card"/>
    <x v="2"/>
    <n v="60"/>
  </r>
  <r>
    <n v="1952"/>
    <x v="7"/>
    <d v="2025-08-03T00:00:00"/>
    <x v="0"/>
    <x v="0"/>
    <x v="0"/>
    <x v="2"/>
    <n v="2"/>
    <n v="20"/>
    <s v="Card"/>
    <x v="2"/>
    <n v="40"/>
  </r>
  <r>
    <n v="544"/>
    <x v="4"/>
    <d v="2025-07-13T00:00:00"/>
    <x v="1"/>
    <x v="0"/>
    <x v="1"/>
    <x v="0"/>
    <n v="2"/>
    <n v="25"/>
    <s v="Mobile Wallet"/>
    <x v="3"/>
    <n v="50"/>
  </r>
  <r>
    <n v="8"/>
    <x v="1"/>
    <d v="2025-07-17T00:00:00"/>
    <x v="1"/>
    <x v="5"/>
    <x v="0"/>
    <x v="4"/>
    <n v="1"/>
    <n v="8"/>
    <s v="Card"/>
    <x v="1"/>
    <n v="8"/>
  </r>
  <r>
    <n v="411"/>
    <x v="7"/>
    <d v="2025-07-18T00:00:00"/>
    <x v="1"/>
    <x v="1"/>
    <x v="0"/>
    <x v="4"/>
    <n v="1"/>
    <n v="8"/>
    <s v="Mobile Wallet"/>
    <x v="0"/>
    <n v="8"/>
  </r>
  <r>
    <n v="91"/>
    <x v="2"/>
    <d v="2025-09-13T00:00:00"/>
    <x v="2"/>
    <x v="2"/>
    <x v="2"/>
    <x v="4"/>
    <n v="5"/>
    <n v="8"/>
    <s v="Mobile Wallet"/>
    <x v="0"/>
    <n v="40"/>
  </r>
  <r>
    <n v="995"/>
    <x v="6"/>
    <d v="2025-08-03T00:00:00"/>
    <x v="0"/>
    <x v="0"/>
    <x v="2"/>
    <x v="1"/>
    <n v="1"/>
    <n v="12"/>
    <s v="Mobile Wallet"/>
    <x v="1"/>
    <n v="12"/>
  </r>
  <r>
    <n v="221"/>
    <x v="7"/>
    <d v="2025-07-19T00:00:00"/>
    <x v="1"/>
    <x v="2"/>
    <x v="1"/>
    <x v="4"/>
    <n v="1"/>
    <n v="8"/>
    <s v="Cash"/>
    <x v="3"/>
    <n v="8"/>
  </r>
  <r>
    <n v="197"/>
    <x v="4"/>
    <d v="2025-09-22T00:00:00"/>
    <x v="2"/>
    <x v="4"/>
    <x v="0"/>
    <x v="1"/>
    <n v="5"/>
    <n v="12"/>
    <s v="Cash"/>
    <x v="2"/>
    <n v="60"/>
  </r>
  <r>
    <n v="1939"/>
    <x v="4"/>
    <d v="2025-07-19T00:00:00"/>
    <x v="1"/>
    <x v="2"/>
    <x v="3"/>
    <x v="1"/>
    <n v="5"/>
    <n v="12"/>
    <s v="Mobile Wallet"/>
    <x v="2"/>
    <n v="60"/>
  </r>
  <r>
    <n v="1462"/>
    <x v="1"/>
    <d v="2025-07-16T00:00:00"/>
    <x v="1"/>
    <x v="6"/>
    <x v="3"/>
    <x v="1"/>
    <n v="5"/>
    <n v="12"/>
    <s v="Cash"/>
    <x v="1"/>
    <n v="60"/>
  </r>
  <r>
    <n v="1908"/>
    <x v="3"/>
    <d v="2025-07-24T00:00:00"/>
    <x v="1"/>
    <x v="5"/>
    <x v="0"/>
    <x v="1"/>
    <n v="4"/>
    <n v="12"/>
    <s v="Card"/>
    <x v="2"/>
    <n v="48"/>
  </r>
  <r>
    <n v="589"/>
    <x v="6"/>
    <d v="2025-08-03T00:00:00"/>
    <x v="0"/>
    <x v="0"/>
    <x v="2"/>
    <x v="1"/>
    <n v="4"/>
    <n v="12"/>
    <s v="Card"/>
    <x v="2"/>
    <n v="48"/>
  </r>
  <r>
    <n v="362"/>
    <x v="3"/>
    <d v="2025-08-25T00:00:00"/>
    <x v="0"/>
    <x v="4"/>
    <x v="2"/>
    <x v="1"/>
    <n v="4"/>
    <n v="12"/>
    <s v="Cash"/>
    <x v="3"/>
    <n v="48"/>
  </r>
  <r>
    <n v="297"/>
    <x v="0"/>
    <d v="2025-07-29T00:00:00"/>
    <x v="1"/>
    <x v="3"/>
    <x v="3"/>
    <x v="1"/>
    <n v="5"/>
    <n v="12"/>
    <s v="Cash"/>
    <x v="0"/>
    <n v="60"/>
  </r>
  <r>
    <n v="1525"/>
    <x v="1"/>
    <d v="2025-07-19T00:00:00"/>
    <x v="1"/>
    <x v="2"/>
    <x v="0"/>
    <x v="1"/>
    <n v="2"/>
    <n v="12"/>
    <s v="Mobile Wallet"/>
    <x v="1"/>
    <n v="24"/>
  </r>
  <r>
    <n v="1982"/>
    <x v="6"/>
    <d v="2025-08-23T00:00:00"/>
    <x v="0"/>
    <x v="2"/>
    <x v="3"/>
    <x v="2"/>
    <n v="3"/>
    <n v="20"/>
    <s v="Mobile Wallet"/>
    <x v="0"/>
    <n v="60"/>
  </r>
  <r>
    <n v="1405"/>
    <x v="4"/>
    <d v="2025-07-27T00:00:00"/>
    <x v="1"/>
    <x v="0"/>
    <x v="3"/>
    <x v="4"/>
    <n v="1"/>
    <n v="8"/>
    <s v="Mobile Wallet"/>
    <x v="2"/>
    <n v="8"/>
  </r>
  <r>
    <n v="1799"/>
    <x v="5"/>
    <d v="2025-07-06T00:00:00"/>
    <x v="1"/>
    <x v="0"/>
    <x v="3"/>
    <x v="1"/>
    <n v="2"/>
    <n v="12"/>
    <s v="Card"/>
    <x v="0"/>
    <n v="24"/>
  </r>
  <r>
    <n v="299"/>
    <x v="1"/>
    <d v="2025-07-28T00:00:00"/>
    <x v="1"/>
    <x v="4"/>
    <x v="0"/>
    <x v="1"/>
    <n v="5"/>
    <n v="12"/>
    <s v="Card"/>
    <x v="1"/>
    <n v="60"/>
  </r>
  <r>
    <n v="1146"/>
    <x v="0"/>
    <d v="2025-07-09T00:00:00"/>
    <x v="1"/>
    <x v="6"/>
    <x v="1"/>
    <x v="1"/>
    <n v="4"/>
    <n v="12"/>
    <s v="Card"/>
    <x v="2"/>
    <n v="48"/>
  </r>
  <r>
    <n v="1787"/>
    <x v="6"/>
    <d v="2025-09-07T00:00:00"/>
    <x v="2"/>
    <x v="0"/>
    <x v="0"/>
    <x v="0"/>
    <n v="2"/>
    <n v="25"/>
    <s v="Cash"/>
    <x v="2"/>
    <n v="50"/>
  </r>
  <r>
    <n v="259"/>
    <x v="2"/>
    <d v="2025-08-22T00:00:00"/>
    <x v="0"/>
    <x v="1"/>
    <x v="1"/>
    <x v="1"/>
    <n v="4"/>
    <n v="12"/>
    <s v="Card"/>
    <x v="2"/>
    <n v="48"/>
  </r>
  <r>
    <n v="1694"/>
    <x v="5"/>
    <d v="2025-09-10T00:00:00"/>
    <x v="2"/>
    <x v="6"/>
    <x v="1"/>
    <x v="1"/>
    <n v="5"/>
    <n v="12"/>
    <s v="Cash"/>
    <x v="0"/>
    <n v="60"/>
  </r>
  <r>
    <n v="1139"/>
    <x v="6"/>
    <d v="2025-07-16T00:00:00"/>
    <x v="1"/>
    <x v="6"/>
    <x v="3"/>
    <x v="0"/>
    <n v="1"/>
    <n v="25"/>
    <s v="Cash"/>
    <x v="0"/>
    <n v="25"/>
  </r>
  <r>
    <n v="734"/>
    <x v="2"/>
    <d v="2025-09-28T00:00:00"/>
    <x v="2"/>
    <x v="0"/>
    <x v="1"/>
    <x v="3"/>
    <n v="2"/>
    <n v="30"/>
    <s v="Mobile Wallet"/>
    <x v="1"/>
    <n v="60"/>
  </r>
  <r>
    <n v="987"/>
    <x v="6"/>
    <d v="2025-08-18T00:00:00"/>
    <x v="0"/>
    <x v="4"/>
    <x v="2"/>
    <x v="1"/>
    <n v="3"/>
    <n v="12"/>
    <s v="Mobile Wallet"/>
    <x v="2"/>
    <n v="36"/>
  </r>
  <r>
    <n v="1317"/>
    <x v="4"/>
    <d v="2025-09-14T00:00:00"/>
    <x v="2"/>
    <x v="0"/>
    <x v="1"/>
    <x v="1"/>
    <n v="5"/>
    <n v="12"/>
    <s v="Card"/>
    <x v="2"/>
    <n v="60"/>
  </r>
  <r>
    <n v="1690"/>
    <x v="6"/>
    <d v="2025-08-17T00:00:00"/>
    <x v="0"/>
    <x v="0"/>
    <x v="1"/>
    <x v="1"/>
    <n v="2"/>
    <n v="12"/>
    <s v="Card"/>
    <x v="0"/>
    <n v="24"/>
  </r>
  <r>
    <n v="1235"/>
    <x v="4"/>
    <d v="2025-08-21T00:00:00"/>
    <x v="0"/>
    <x v="5"/>
    <x v="2"/>
    <x v="1"/>
    <n v="2"/>
    <n v="12"/>
    <s v="Card"/>
    <x v="3"/>
    <n v="24"/>
  </r>
  <r>
    <n v="410"/>
    <x v="0"/>
    <d v="2025-09-28T00:00:00"/>
    <x v="2"/>
    <x v="0"/>
    <x v="1"/>
    <x v="1"/>
    <n v="2"/>
    <n v="12"/>
    <s v="Mobile Wallet"/>
    <x v="1"/>
    <n v="24"/>
  </r>
  <r>
    <n v="1565"/>
    <x v="7"/>
    <d v="2025-08-10T00:00:00"/>
    <x v="0"/>
    <x v="0"/>
    <x v="3"/>
    <x v="1"/>
    <n v="2"/>
    <n v="12"/>
    <s v="Card"/>
    <x v="3"/>
    <n v="24"/>
  </r>
  <r>
    <n v="670"/>
    <x v="5"/>
    <d v="2025-08-10T00:00:00"/>
    <x v="0"/>
    <x v="0"/>
    <x v="0"/>
    <x v="1"/>
    <n v="1"/>
    <n v="12"/>
    <s v="Card"/>
    <x v="3"/>
    <n v="12"/>
  </r>
  <r>
    <n v="510"/>
    <x v="4"/>
    <d v="2025-08-10T00:00:00"/>
    <x v="0"/>
    <x v="0"/>
    <x v="1"/>
    <x v="2"/>
    <n v="2"/>
    <n v="20"/>
    <s v="Card"/>
    <x v="1"/>
    <n v="40"/>
  </r>
  <r>
    <n v="55"/>
    <x v="5"/>
    <d v="2025-08-02T00:00:00"/>
    <x v="0"/>
    <x v="2"/>
    <x v="0"/>
    <x v="2"/>
    <n v="5"/>
    <n v="20"/>
    <s v="Mobile Wallet"/>
    <x v="1"/>
    <n v="100"/>
  </r>
  <r>
    <n v="133"/>
    <x v="3"/>
    <d v="2025-08-09T00:00:00"/>
    <x v="0"/>
    <x v="2"/>
    <x v="2"/>
    <x v="0"/>
    <n v="4"/>
    <n v="25"/>
    <s v="Cash"/>
    <x v="3"/>
    <n v="100"/>
  </r>
  <r>
    <n v="1836"/>
    <x v="4"/>
    <d v="2025-08-17T00:00:00"/>
    <x v="0"/>
    <x v="0"/>
    <x v="2"/>
    <x v="1"/>
    <n v="3"/>
    <n v="12"/>
    <s v="Mobile Wallet"/>
    <x v="1"/>
    <n v="36"/>
  </r>
  <r>
    <n v="1629"/>
    <x v="5"/>
    <d v="2025-07-07T00:00:00"/>
    <x v="1"/>
    <x v="4"/>
    <x v="1"/>
    <x v="4"/>
    <n v="1"/>
    <n v="8"/>
    <s v="Cash"/>
    <x v="2"/>
    <n v="8"/>
  </r>
  <r>
    <n v="1664"/>
    <x v="7"/>
    <d v="2025-08-16T00:00:00"/>
    <x v="0"/>
    <x v="2"/>
    <x v="3"/>
    <x v="1"/>
    <n v="1"/>
    <n v="12"/>
    <s v="Cash"/>
    <x v="2"/>
    <n v="12"/>
  </r>
  <r>
    <n v="836"/>
    <x v="6"/>
    <d v="2025-08-02T00:00:00"/>
    <x v="0"/>
    <x v="2"/>
    <x v="0"/>
    <x v="3"/>
    <n v="4"/>
    <n v="30"/>
    <s v="Card"/>
    <x v="0"/>
    <n v="120"/>
  </r>
  <r>
    <n v="1447"/>
    <x v="2"/>
    <d v="2025-09-18T00:00:00"/>
    <x v="2"/>
    <x v="5"/>
    <x v="0"/>
    <x v="2"/>
    <n v="1"/>
    <n v="20"/>
    <s v="Cash"/>
    <x v="0"/>
    <n v="20"/>
  </r>
  <r>
    <n v="756"/>
    <x v="0"/>
    <d v="2025-08-17T00:00:00"/>
    <x v="0"/>
    <x v="0"/>
    <x v="0"/>
    <x v="1"/>
    <n v="2"/>
    <n v="12"/>
    <s v="Card"/>
    <x v="0"/>
    <n v="24"/>
  </r>
  <r>
    <n v="1560"/>
    <x v="7"/>
    <d v="2025-07-12T00:00:00"/>
    <x v="1"/>
    <x v="2"/>
    <x v="2"/>
    <x v="1"/>
    <n v="4"/>
    <n v="12"/>
    <s v="Card"/>
    <x v="2"/>
    <n v="48"/>
  </r>
  <r>
    <n v="1757"/>
    <x v="3"/>
    <d v="2025-08-09T00:00:00"/>
    <x v="0"/>
    <x v="2"/>
    <x v="0"/>
    <x v="1"/>
    <n v="3"/>
    <n v="12"/>
    <s v="Cash"/>
    <x v="2"/>
    <n v="36"/>
  </r>
  <r>
    <n v="1508"/>
    <x v="4"/>
    <d v="2025-09-28T00:00:00"/>
    <x v="2"/>
    <x v="0"/>
    <x v="3"/>
    <x v="1"/>
    <n v="2"/>
    <n v="12"/>
    <s v="Card"/>
    <x v="2"/>
    <n v="24"/>
  </r>
  <r>
    <n v="711"/>
    <x v="5"/>
    <d v="2025-08-02T00:00:00"/>
    <x v="0"/>
    <x v="2"/>
    <x v="2"/>
    <x v="4"/>
    <n v="4"/>
    <n v="8"/>
    <s v="Card"/>
    <x v="2"/>
    <n v="32"/>
  </r>
  <r>
    <n v="190"/>
    <x v="0"/>
    <d v="2025-08-03T00:00:00"/>
    <x v="0"/>
    <x v="0"/>
    <x v="0"/>
    <x v="4"/>
    <n v="3"/>
    <n v="8"/>
    <s v="Card"/>
    <x v="2"/>
    <n v="24"/>
  </r>
  <r>
    <n v="762"/>
    <x v="4"/>
    <d v="2025-09-14T00:00:00"/>
    <x v="2"/>
    <x v="0"/>
    <x v="3"/>
    <x v="1"/>
    <n v="4"/>
    <n v="12"/>
    <s v="Cash"/>
    <x v="0"/>
    <n v="48"/>
  </r>
  <r>
    <n v="683"/>
    <x v="5"/>
    <d v="2025-09-13T00:00:00"/>
    <x v="2"/>
    <x v="2"/>
    <x v="1"/>
    <x v="1"/>
    <n v="1"/>
    <n v="12"/>
    <s v="Cash"/>
    <x v="2"/>
    <n v="12"/>
  </r>
  <r>
    <n v="478"/>
    <x v="2"/>
    <d v="2025-09-14T00:00:00"/>
    <x v="2"/>
    <x v="0"/>
    <x v="1"/>
    <x v="4"/>
    <n v="5"/>
    <n v="8"/>
    <s v="Card"/>
    <x v="3"/>
    <n v="40"/>
  </r>
  <r>
    <n v="839"/>
    <x v="6"/>
    <d v="2025-07-14T00:00:00"/>
    <x v="1"/>
    <x v="4"/>
    <x v="3"/>
    <x v="4"/>
    <n v="5"/>
    <n v="8"/>
    <s v="Card"/>
    <x v="2"/>
    <n v="40"/>
  </r>
  <r>
    <n v="1884"/>
    <x v="1"/>
    <d v="2025-08-23T00:00:00"/>
    <x v="0"/>
    <x v="2"/>
    <x v="1"/>
    <x v="1"/>
    <n v="2"/>
    <n v="12"/>
    <s v="Cash"/>
    <x v="3"/>
    <n v="24"/>
  </r>
  <r>
    <n v="95"/>
    <x v="0"/>
    <d v="2025-08-24T00:00:00"/>
    <x v="0"/>
    <x v="0"/>
    <x v="0"/>
    <x v="1"/>
    <n v="2"/>
    <n v="12"/>
    <s v="Mobile Wallet"/>
    <x v="3"/>
    <n v="24"/>
  </r>
  <r>
    <n v="450"/>
    <x v="0"/>
    <d v="2025-09-16T00:00:00"/>
    <x v="2"/>
    <x v="3"/>
    <x v="3"/>
    <x v="1"/>
    <n v="1"/>
    <n v="12"/>
    <s v="Cash"/>
    <x v="2"/>
    <n v="12"/>
  </r>
  <r>
    <n v="208"/>
    <x v="6"/>
    <d v="2025-08-08T00:00:00"/>
    <x v="0"/>
    <x v="1"/>
    <x v="1"/>
    <x v="2"/>
    <n v="4"/>
    <n v="20"/>
    <s v="Cash"/>
    <x v="3"/>
    <n v="80"/>
  </r>
  <r>
    <n v="255"/>
    <x v="3"/>
    <d v="2025-07-20T00:00:00"/>
    <x v="1"/>
    <x v="0"/>
    <x v="1"/>
    <x v="2"/>
    <n v="5"/>
    <n v="20"/>
    <s v="Mobile Wallet"/>
    <x v="1"/>
    <n v="100"/>
  </r>
  <r>
    <n v="1972"/>
    <x v="1"/>
    <d v="2025-09-15T00:00:00"/>
    <x v="2"/>
    <x v="4"/>
    <x v="2"/>
    <x v="0"/>
    <n v="4"/>
    <n v="25"/>
    <s v="Cash"/>
    <x v="0"/>
    <n v="100"/>
  </r>
  <r>
    <n v="643"/>
    <x v="2"/>
    <d v="2025-07-27T00:00:00"/>
    <x v="1"/>
    <x v="0"/>
    <x v="3"/>
    <x v="4"/>
    <n v="3"/>
    <n v="8"/>
    <s v="Mobile Wallet"/>
    <x v="1"/>
    <n v="24"/>
  </r>
  <r>
    <n v="550"/>
    <x v="5"/>
    <d v="2025-08-21T00:00:00"/>
    <x v="0"/>
    <x v="5"/>
    <x v="0"/>
    <x v="1"/>
    <n v="5"/>
    <n v="12"/>
    <s v="Mobile Wallet"/>
    <x v="0"/>
    <n v="60"/>
  </r>
  <r>
    <n v="367"/>
    <x v="0"/>
    <d v="2025-07-06T00:00:00"/>
    <x v="1"/>
    <x v="0"/>
    <x v="2"/>
    <x v="1"/>
    <n v="3"/>
    <n v="12"/>
    <s v="Card"/>
    <x v="1"/>
    <n v="36"/>
  </r>
  <r>
    <n v="1487"/>
    <x v="5"/>
    <d v="2025-08-24T00:00:00"/>
    <x v="0"/>
    <x v="0"/>
    <x v="2"/>
    <x v="1"/>
    <n v="2"/>
    <n v="12"/>
    <s v="Cash"/>
    <x v="3"/>
    <n v="24"/>
  </r>
  <r>
    <n v="666"/>
    <x v="1"/>
    <d v="2025-08-16T00:00:00"/>
    <x v="0"/>
    <x v="2"/>
    <x v="3"/>
    <x v="1"/>
    <n v="3"/>
    <n v="12"/>
    <s v="Cash"/>
    <x v="1"/>
    <n v="36"/>
  </r>
  <r>
    <n v="903"/>
    <x v="0"/>
    <d v="2025-07-01T00:00:00"/>
    <x v="1"/>
    <x v="3"/>
    <x v="3"/>
    <x v="1"/>
    <n v="1"/>
    <n v="12"/>
    <s v="Card"/>
    <x v="0"/>
    <n v="12"/>
  </r>
  <r>
    <n v="659"/>
    <x v="6"/>
    <d v="2025-07-13T00:00:00"/>
    <x v="1"/>
    <x v="0"/>
    <x v="0"/>
    <x v="1"/>
    <n v="4"/>
    <n v="12"/>
    <s v="Mobile Wallet"/>
    <x v="3"/>
    <n v="48"/>
  </r>
  <r>
    <n v="676"/>
    <x v="1"/>
    <d v="2025-09-09T00:00:00"/>
    <x v="2"/>
    <x v="3"/>
    <x v="3"/>
    <x v="1"/>
    <n v="2"/>
    <n v="12"/>
    <s v="Card"/>
    <x v="1"/>
    <n v="24"/>
  </r>
  <r>
    <n v="1794"/>
    <x v="5"/>
    <d v="2025-08-09T00:00:00"/>
    <x v="0"/>
    <x v="2"/>
    <x v="0"/>
    <x v="4"/>
    <n v="4"/>
    <n v="8"/>
    <s v="Card"/>
    <x v="0"/>
    <n v="32"/>
  </r>
  <r>
    <n v="1693"/>
    <x v="6"/>
    <d v="2025-09-21T00:00:00"/>
    <x v="2"/>
    <x v="0"/>
    <x v="3"/>
    <x v="4"/>
    <n v="1"/>
    <n v="8"/>
    <s v="Cash"/>
    <x v="3"/>
    <n v="8"/>
  </r>
  <r>
    <n v="1427"/>
    <x v="5"/>
    <d v="2025-08-26T00:00:00"/>
    <x v="0"/>
    <x v="3"/>
    <x v="2"/>
    <x v="0"/>
    <n v="2"/>
    <n v="25"/>
    <s v="Cash"/>
    <x v="2"/>
    <n v="50"/>
  </r>
  <r>
    <n v="1335"/>
    <x v="6"/>
    <d v="2025-09-21T00:00:00"/>
    <x v="2"/>
    <x v="0"/>
    <x v="0"/>
    <x v="2"/>
    <n v="1"/>
    <n v="20"/>
    <s v="Mobile Wallet"/>
    <x v="0"/>
    <n v="20"/>
  </r>
  <r>
    <n v="970"/>
    <x v="7"/>
    <d v="2025-07-20T00:00:00"/>
    <x v="1"/>
    <x v="0"/>
    <x v="3"/>
    <x v="1"/>
    <n v="3"/>
    <n v="12"/>
    <s v="Cash"/>
    <x v="3"/>
    <n v="36"/>
  </r>
  <r>
    <n v="494"/>
    <x v="0"/>
    <d v="2025-07-07T00:00:00"/>
    <x v="1"/>
    <x v="4"/>
    <x v="1"/>
    <x v="1"/>
    <n v="1"/>
    <n v="12"/>
    <s v="Mobile Wallet"/>
    <x v="2"/>
    <n v="12"/>
  </r>
  <r>
    <n v="172"/>
    <x v="1"/>
    <d v="2025-09-21T00:00:00"/>
    <x v="2"/>
    <x v="0"/>
    <x v="2"/>
    <x v="1"/>
    <n v="5"/>
    <n v="12"/>
    <s v="Cash"/>
    <x v="2"/>
    <n v="60"/>
  </r>
  <r>
    <n v="158"/>
    <x v="4"/>
    <d v="2025-09-22T00:00:00"/>
    <x v="2"/>
    <x v="4"/>
    <x v="0"/>
    <x v="1"/>
    <n v="5"/>
    <n v="12"/>
    <s v="Mobile Wallet"/>
    <x v="1"/>
    <n v="60"/>
  </r>
  <r>
    <n v="685"/>
    <x v="3"/>
    <d v="2025-09-08T00:00:00"/>
    <x v="2"/>
    <x v="4"/>
    <x v="2"/>
    <x v="1"/>
    <n v="2"/>
    <n v="12"/>
    <s v="Cash"/>
    <x v="2"/>
    <n v="24"/>
  </r>
  <r>
    <n v="1772"/>
    <x v="7"/>
    <d v="2025-09-28T00:00:00"/>
    <x v="2"/>
    <x v="0"/>
    <x v="2"/>
    <x v="3"/>
    <n v="5"/>
    <n v="30"/>
    <s v="Mobile Wallet"/>
    <x v="3"/>
    <n v="150"/>
  </r>
  <r>
    <n v="1464"/>
    <x v="7"/>
    <d v="2025-08-30T00:00:00"/>
    <x v="0"/>
    <x v="2"/>
    <x v="1"/>
    <x v="0"/>
    <n v="5"/>
    <n v="25"/>
    <s v="Mobile Wallet"/>
    <x v="0"/>
    <n v="125"/>
  </r>
  <r>
    <n v="497"/>
    <x v="7"/>
    <d v="2025-09-21T00:00:00"/>
    <x v="2"/>
    <x v="0"/>
    <x v="1"/>
    <x v="0"/>
    <n v="1"/>
    <n v="25"/>
    <s v="Card"/>
    <x v="1"/>
    <n v="25"/>
  </r>
  <r>
    <n v="913"/>
    <x v="1"/>
    <d v="2025-09-14T00:00:00"/>
    <x v="2"/>
    <x v="0"/>
    <x v="2"/>
    <x v="4"/>
    <n v="1"/>
    <n v="8"/>
    <s v="Cash"/>
    <x v="3"/>
    <n v="8"/>
  </r>
  <r>
    <n v="1457"/>
    <x v="0"/>
    <d v="2025-08-25T00:00:00"/>
    <x v="0"/>
    <x v="4"/>
    <x v="3"/>
    <x v="0"/>
    <n v="5"/>
    <n v="25"/>
    <s v="Cash"/>
    <x v="0"/>
    <n v="125"/>
  </r>
  <r>
    <n v="1129"/>
    <x v="0"/>
    <d v="2025-09-13T00:00:00"/>
    <x v="2"/>
    <x v="2"/>
    <x v="0"/>
    <x v="3"/>
    <n v="5"/>
    <n v="30"/>
    <s v="Cash"/>
    <x v="0"/>
    <n v="150"/>
  </r>
  <r>
    <n v="1718"/>
    <x v="7"/>
    <d v="2025-08-14T00:00:00"/>
    <x v="0"/>
    <x v="5"/>
    <x v="2"/>
    <x v="1"/>
    <n v="3"/>
    <n v="12"/>
    <s v="Cash"/>
    <x v="0"/>
    <n v="36"/>
  </r>
  <r>
    <n v="266"/>
    <x v="4"/>
    <d v="2025-07-27T00:00:00"/>
    <x v="1"/>
    <x v="0"/>
    <x v="3"/>
    <x v="0"/>
    <n v="4"/>
    <n v="25"/>
    <s v="Cash"/>
    <x v="0"/>
    <n v="100"/>
  </r>
  <r>
    <n v="240"/>
    <x v="2"/>
    <d v="2025-07-19T00:00:00"/>
    <x v="1"/>
    <x v="2"/>
    <x v="3"/>
    <x v="1"/>
    <n v="5"/>
    <n v="12"/>
    <s v="Mobile Wallet"/>
    <x v="0"/>
    <n v="60"/>
  </r>
  <r>
    <n v="151"/>
    <x v="7"/>
    <d v="2025-08-11T00:00:00"/>
    <x v="0"/>
    <x v="4"/>
    <x v="3"/>
    <x v="1"/>
    <n v="2"/>
    <n v="12"/>
    <s v="Cash"/>
    <x v="1"/>
    <n v="24"/>
  </r>
  <r>
    <n v="1304"/>
    <x v="0"/>
    <d v="2025-07-31T00:00:00"/>
    <x v="1"/>
    <x v="5"/>
    <x v="0"/>
    <x v="1"/>
    <n v="1"/>
    <n v="12"/>
    <s v="Card"/>
    <x v="0"/>
    <n v="12"/>
  </r>
  <r>
    <n v="464"/>
    <x v="3"/>
    <d v="2025-09-13T00:00:00"/>
    <x v="2"/>
    <x v="2"/>
    <x v="2"/>
    <x v="0"/>
    <n v="3"/>
    <n v="25"/>
    <s v="Card"/>
    <x v="0"/>
    <n v="75"/>
  </r>
  <r>
    <n v="1743"/>
    <x v="4"/>
    <d v="2025-07-05T00:00:00"/>
    <x v="1"/>
    <x v="2"/>
    <x v="0"/>
    <x v="4"/>
    <n v="3"/>
    <n v="8"/>
    <s v="Mobile Wallet"/>
    <x v="0"/>
    <n v="24"/>
  </r>
  <r>
    <n v="966"/>
    <x v="3"/>
    <d v="2025-08-23T00:00:00"/>
    <x v="0"/>
    <x v="2"/>
    <x v="0"/>
    <x v="4"/>
    <n v="3"/>
    <n v="8"/>
    <s v="Card"/>
    <x v="0"/>
    <n v="24"/>
  </r>
  <r>
    <n v="445"/>
    <x v="6"/>
    <d v="2025-08-21T00:00:00"/>
    <x v="0"/>
    <x v="5"/>
    <x v="1"/>
    <x v="1"/>
    <n v="5"/>
    <n v="12"/>
    <s v="Card"/>
    <x v="0"/>
    <n v="60"/>
  </r>
  <r>
    <n v="29"/>
    <x v="2"/>
    <d v="2025-08-08T00:00:00"/>
    <x v="0"/>
    <x v="1"/>
    <x v="2"/>
    <x v="1"/>
    <n v="4"/>
    <n v="12"/>
    <s v="Mobile Wallet"/>
    <x v="1"/>
    <n v="48"/>
  </r>
  <r>
    <n v="205"/>
    <x v="6"/>
    <d v="2025-09-09T00:00:00"/>
    <x v="2"/>
    <x v="3"/>
    <x v="3"/>
    <x v="4"/>
    <n v="2"/>
    <n v="8"/>
    <s v="Card"/>
    <x v="2"/>
    <n v="16"/>
  </r>
  <r>
    <n v="127"/>
    <x v="4"/>
    <d v="2025-09-06T00:00:00"/>
    <x v="2"/>
    <x v="2"/>
    <x v="3"/>
    <x v="0"/>
    <n v="4"/>
    <n v="25"/>
    <s v="Mobile Wallet"/>
    <x v="2"/>
    <n v="100"/>
  </r>
  <r>
    <n v="531"/>
    <x v="3"/>
    <d v="2025-07-26T00:00:00"/>
    <x v="1"/>
    <x v="2"/>
    <x v="2"/>
    <x v="4"/>
    <n v="4"/>
    <n v="8"/>
    <s v="Card"/>
    <x v="2"/>
    <n v="32"/>
  </r>
  <r>
    <n v="439"/>
    <x v="5"/>
    <d v="2025-07-26T00:00:00"/>
    <x v="1"/>
    <x v="2"/>
    <x v="0"/>
    <x v="0"/>
    <n v="4"/>
    <n v="25"/>
    <s v="Cash"/>
    <x v="1"/>
    <n v="100"/>
  </r>
  <r>
    <n v="673"/>
    <x v="0"/>
    <d v="2025-08-20T00:00:00"/>
    <x v="0"/>
    <x v="6"/>
    <x v="2"/>
    <x v="4"/>
    <n v="1"/>
    <n v="8"/>
    <s v="Cash"/>
    <x v="3"/>
    <n v="8"/>
  </r>
  <r>
    <n v="902"/>
    <x v="6"/>
    <d v="2025-09-19T00:00:00"/>
    <x v="2"/>
    <x v="1"/>
    <x v="2"/>
    <x v="4"/>
    <n v="2"/>
    <n v="8"/>
    <s v="Cash"/>
    <x v="1"/>
    <n v="16"/>
  </r>
  <r>
    <n v="1615"/>
    <x v="0"/>
    <d v="2025-09-25T00:00:00"/>
    <x v="2"/>
    <x v="5"/>
    <x v="1"/>
    <x v="1"/>
    <n v="5"/>
    <n v="12"/>
    <s v="Mobile Wallet"/>
    <x v="1"/>
    <n v="60"/>
  </r>
  <r>
    <n v="1912"/>
    <x v="0"/>
    <d v="2025-07-05T00:00:00"/>
    <x v="1"/>
    <x v="2"/>
    <x v="2"/>
    <x v="1"/>
    <n v="1"/>
    <n v="12"/>
    <s v="Card"/>
    <x v="3"/>
    <n v="12"/>
  </r>
  <r>
    <n v="1020"/>
    <x v="1"/>
    <d v="2025-08-04T00:00:00"/>
    <x v="0"/>
    <x v="4"/>
    <x v="0"/>
    <x v="4"/>
    <n v="4"/>
    <n v="8"/>
    <s v="Cash"/>
    <x v="1"/>
    <n v="32"/>
  </r>
  <r>
    <n v="1645"/>
    <x v="3"/>
    <d v="2025-08-02T00:00:00"/>
    <x v="0"/>
    <x v="2"/>
    <x v="2"/>
    <x v="4"/>
    <n v="4"/>
    <n v="8"/>
    <s v="Cash"/>
    <x v="0"/>
    <n v="32"/>
  </r>
  <r>
    <n v="1495"/>
    <x v="0"/>
    <d v="2025-07-07T00:00:00"/>
    <x v="1"/>
    <x v="4"/>
    <x v="0"/>
    <x v="4"/>
    <n v="3"/>
    <n v="8"/>
    <s v="Card"/>
    <x v="2"/>
    <n v="24"/>
  </r>
  <r>
    <n v="709"/>
    <x v="2"/>
    <d v="2025-09-14T00:00:00"/>
    <x v="2"/>
    <x v="0"/>
    <x v="1"/>
    <x v="1"/>
    <n v="5"/>
    <n v="12"/>
    <s v="Mobile Wallet"/>
    <x v="0"/>
    <n v="60"/>
  </r>
  <r>
    <n v="356"/>
    <x v="5"/>
    <d v="2025-09-13T00:00:00"/>
    <x v="2"/>
    <x v="2"/>
    <x v="0"/>
    <x v="1"/>
    <n v="2"/>
    <n v="12"/>
    <s v="Card"/>
    <x v="3"/>
    <n v="24"/>
  </r>
  <r>
    <n v="1166"/>
    <x v="4"/>
    <d v="2025-07-19T00:00:00"/>
    <x v="1"/>
    <x v="2"/>
    <x v="3"/>
    <x v="1"/>
    <n v="2"/>
    <n v="12"/>
    <s v="Cash"/>
    <x v="2"/>
    <n v="24"/>
  </r>
  <r>
    <n v="468"/>
    <x v="3"/>
    <d v="2025-07-11T00:00:00"/>
    <x v="1"/>
    <x v="1"/>
    <x v="3"/>
    <x v="1"/>
    <n v="5"/>
    <n v="12"/>
    <s v="Cash"/>
    <x v="0"/>
    <n v="60"/>
  </r>
  <r>
    <n v="1971"/>
    <x v="3"/>
    <d v="2025-09-16T00:00:00"/>
    <x v="2"/>
    <x v="3"/>
    <x v="1"/>
    <x v="3"/>
    <n v="3"/>
    <n v="30"/>
    <s v="Card"/>
    <x v="0"/>
    <n v="90"/>
  </r>
  <r>
    <n v="1704"/>
    <x v="7"/>
    <d v="2025-08-16T00:00:00"/>
    <x v="0"/>
    <x v="2"/>
    <x v="2"/>
    <x v="2"/>
    <n v="4"/>
    <n v="20"/>
    <s v="Cash"/>
    <x v="0"/>
    <n v="80"/>
  </r>
  <r>
    <n v="623"/>
    <x v="5"/>
    <d v="2025-07-06T00:00:00"/>
    <x v="1"/>
    <x v="0"/>
    <x v="1"/>
    <x v="1"/>
    <n v="5"/>
    <n v="12"/>
    <s v="Cash"/>
    <x v="0"/>
    <n v="60"/>
  </r>
  <r>
    <n v="757"/>
    <x v="4"/>
    <d v="2025-08-30T00:00:00"/>
    <x v="0"/>
    <x v="2"/>
    <x v="3"/>
    <x v="1"/>
    <n v="3"/>
    <n v="12"/>
    <s v="Mobile Wallet"/>
    <x v="0"/>
    <n v="36"/>
  </r>
  <r>
    <n v="1691"/>
    <x v="0"/>
    <d v="2025-07-12T00:00:00"/>
    <x v="1"/>
    <x v="2"/>
    <x v="2"/>
    <x v="2"/>
    <n v="4"/>
    <n v="20"/>
    <s v="Cash"/>
    <x v="3"/>
    <n v="80"/>
  </r>
  <r>
    <n v="882"/>
    <x v="0"/>
    <d v="2025-07-05T00:00:00"/>
    <x v="1"/>
    <x v="2"/>
    <x v="3"/>
    <x v="2"/>
    <n v="1"/>
    <n v="20"/>
    <s v="Card"/>
    <x v="0"/>
    <n v="20"/>
  </r>
  <r>
    <n v="641"/>
    <x v="0"/>
    <d v="2025-09-27T00:00:00"/>
    <x v="2"/>
    <x v="2"/>
    <x v="0"/>
    <x v="1"/>
    <n v="3"/>
    <n v="12"/>
    <s v="Cash"/>
    <x v="0"/>
    <n v="36"/>
  </r>
  <r>
    <n v="1091"/>
    <x v="6"/>
    <d v="2025-08-02T00:00:00"/>
    <x v="0"/>
    <x v="2"/>
    <x v="1"/>
    <x v="1"/>
    <n v="2"/>
    <n v="12"/>
    <s v="Cash"/>
    <x v="1"/>
    <n v="24"/>
  </r>
  <r>
    <n v="36"/>
    <x v="1"/>
    <d v="2025-09-14T00:00:00"/>
    <x v="2"/>
    <x v="0"/>
    <x v="2"/>
    <x v="1"/>
    <n v="3"/>
    <n v="12"/>
    <s v="Card"/>
    <x v="3"/>
    <n v="36"/>
  </r>
  <r>
    <n v="81"/>
    <x v="5"/>
    <d v="2025-09-08T00:00:00"/>
    <x v="2"/>
    <x v="4"/>
    <x v="3"/>
    <x v="1"/>
    <n v="2"/>
    <n v="12"/>
    <s v="Cash"/>
    <x v="3"/>
    <n v="24"/>
  </r>
  <r>
    <n v="1075"/>
    <x v="3"/>
    <d v="2025-07-19T00:00:00"/>
    <x v="1"/>
    <x v="2"/>
    <x v="0"/>
    <x v="0"/>
    <n v="2"/>
    <n v="25"/>
    <s v="Cash"/>
    <x v="1"/>
    <n v="50"/>
  </r>
  <r>
    <n v="1911"/>
    <x v="6"/>
    <d v="2025-08-31T00:00:00"/>
    <x v="0"/>
    <x v="0"/>
    <x v="1"/>
    <x v="1"/>
    <n v="5"/>
    <n v="12"/>
    <s v="Cash"/>
    <x v="2"/>
    <n v="60"/>
  </r>
  <r>
    <n v="916"/>
    <x v="0"/>
    <d v="2025-08-30T00:00:00"/>
    <x v="0"/>
    <x v="2"/>
    <x v="3"/>
    <x v="4"/>
    <n v="5"/>
    <n v="8"/>
    <s v="Mobile Wallet"/>
    <x v="0"/>
    <n v="40"/>
  </r>
  <r>
    <n v="1910"/>
    <x v="1"/>
    <d v="2025-08-16T00:00:00"/>
    <x v="0"/>
    <x v="2"/>
    <x v="3"/>
    <x v="1"/>
    <n v="5"/>
    <n v="12"/>
    <s v="Cash"/>
    <x v="1"/>
    <n v="60"/>
  </r>
  <r>
    <n v="416"/>
    <x v="3"/>
    <d v="2025-09-06T00:00:00"/>
    <x v="2"/>
    <x v="2"/>
    <x v="2"/>
    <x v="3"/>
    <n v="1"/>
    <n v="30"/>
    <s v="Card"/>
    <x v="2"/>
    <n v="30"/>
  </r>
  <r>
    <n v="1375"/>
    <x v="7"/>
    <d v="2025-07-05T00:00:00"/>
    <x v="1"/>
    <x v="2"/>
    <x v="2"/>
    <x v="2"/>
    <n v="5"/>
    <n v="20"/>
    <s v="Cash"/>
    <x v="3"/>
    <n v="100"/>
  </r>
  <r>
    <n v="396"/>
    <x v="6"/>
    <d v="2025-09-26T00:00:00"/>
    <x v="2"/>
    <x v="1"/>
    <x v="1"/>
    <x v="1"/>
    <n v="2"/>
    <n v="12"/>
    <s v="Mobile Wallet"/>
    <x v="1"/>
    <n v="24"/>
  </r>
  <r>
    <n v="1863"/>
    <x v="7"/>
    <d v="2025-07-12T00:00:00"/>
    <x v="1"/>
    <x v="2"/>
    <x v="0"/>
    <x v="1"/>
    <n v="2"/>
    <n v="12"/>
    <s v="Mobile Wallet"/>
    <x v="1"/>
    <n v="24"/>
  </r>
  <r>
    <n v="1505"/>
    <x v="5"/>
    <d v="2025-08-06T00:00:00"/>
    <x v="0"/>
    <x v="6"/>
    <x v="3"/>
    <x v="2"/>
    <n v="4"/>
    <n v="20"/>
    <s v="Card"/>
    <x v="2"/>
    <n v="80"/>
  </r>
  <r>
    <n v="1894"/>
    <x v="7"/>
    <d v="2025-07-19T00:00:00"/>
    <x v="1"/>
    <x v="2"/>
    <x v="3"/>
    <x v="1"/>
    <n v="4"/>
    <n v="12"/>
    <s v="Cash"/>
    <x v="2"/>
    <n v="48"/>
  </r>
  <r>
    <n v="1780"/>
    <x v="2"/>
    <d v="2025-08-18T00:00:00"/>
    <x v="0"/>
    <x v="4"/>
    <x v="1"/>
    <x v="2"/>
    <n v="4"/>
    <n v="20"/>
    <s v="Mobile Wallet"/>
    <x v="2"/>
    <n v="80"/>
  </r>
  <r>
    <n v="349"/>
    <x v="2"/>
    <d v="2025-09-14T00:00:00"/>
    <x v="2"/>
    <x v="0"/>
    <x v="1"/>
    <x v="0"/>
    <n v="3"/>
    <n v="25"/>
    <s v="Mobile Wallet"/>
    <x v="2"/>
    <n v="75"/>
  </r>
  <r>
    <n v="1991"/>
    <x v="6"/>
    <d v="2025-08-05T00:00:00"/>
    <x v="0"/>
    <x v="3"/>
    <x v="1"/>
    <x v="1"/>
    <n v="5"/>
    <n v="12"/>
    <s v="Card"/>
    <x v="0"/>
    <n v="60"/>
  </r>
  <r>
    <n v="429"/>
    <x v="3"/>
    <d v="2025-09-02T00:00:00"/>
    <x v="2"/>
    <x v="3"/>
    <x v="3"/>
    <x v="1"/>
    <n v="3"/>
    <n v="12"/>
    <s v="Card"/>
    <x v="2"/>
    <n v="36"/>
  </r>
  <r>
    <n v="1879"/>
    <x v="6"/>
    <d v="2025-07-06T00:00:00"/>
    <x v="1"/>
    <x v="0"/>
    <x v="2"/>
    <x v="0"/>
    <n v="3"/>
    <n v="25"/>
    <s v="Cash"/>
    <x v="0"/>
    <n v="75"/>
  </r>
  <r>
    <n v="538"/>
    <x v="5"/>
    <d v="2025-08-02T00:00:00"/>
    <x v="0"/>
    <x v="2"/>
    <x v="2"/>
    <x v="1"/>
    <n v="5"/>
    <n v="12"/>
    <s v="Card"/>
    <x v="2"/>
    <n v="60"/>
  </r>
  <r>
    <n v="413"/>
    <x v="0"/>
    <d v="2025-07-16T00:00:00"/>
    <x v="1"/>
    <x v="6"/>
    <x v="2"/>
    <x v="1"/>
    <n v="5"/>
    <n v="12"/>
    <s v="Mobile Wallet"/>
    <x v="2"/>
    <n v="60"/>
  </r>
  <r>
    <n v="713"/>
    <x v="3"/>
    <d v="2025-07-13T00:00:00"/>
    <x v="1"/>
    <x v="0"/>
    <x v="2"/>
    <x v="1"/>
    <n v="5"/>
    <n v="12"/>
    <s v="Cash"/>
    <x v="0"/>
    <n v="60"/>
  </r>
  <r>
    <n v="1120"/>
    <x v="0"/>
    <d v="2025-07-29T00:00:00"/>
    <x v="1"/>
    <x v="3"/>
    <x v="1"/>
    <x v="1"/>
    <n v="5"/>
    <n v="12"/>
    <s v="Card"/>
    <x v="0"/>
    <n v="60"/>
  </r>
  <r>
    <n v="561"/>
    <x v="6"/>
    <d v="2025-09-21T00:00:00"/>
    <x v="2"/>
    <x v="0"/>
    <x v="2"/>
    <x v="4"/>
    <n v="1"/>
    <n v="8"/>
    <s v="Card"/>
    <x v="2"/>
    <n v="8"/>
  </r>
  <r>
    <n v="1"/>
    <x v="5"/>
    <d v="2025-09-05T00:00:00"/>
    <x v="2"/>
    <x v="1"/>
    <x v="0"/>
    <x v="1"/>
    <n v="2"/>
    <n v="12"/>
    <s v="Card"/>
    <x v="1"/>
    <n v="24"/>
  </r>
  <r>
    <n v="647"/>
    <x v="1"/>
    <d v="2025-09-21T00:00:00"/>
    <x v="2"/>
    <x v="0"/>
    <x v="2"/>
    <x v="3"/>
    <n v="3"/>
    <n v="30"/>
    <s v="Mobile Wallet"/>
    <x v="3"/>
    <n v="90"/>
  </r>
  <r>
    <n v="1793"/>
    <x v="5"/>
    <d v="2025-08-30T00:00:00"/>
    <x v="0"/>
    <x v="2"/>
    <x v="0"/>
    <x v="0"/>
    <n v="3"/>
    <n v="25"/>
    <s v="Mobile Wallet"/>
    <x v="0"/>
    <n v="75"/>
  </r>
  <r>
    <n v="1551"/>
    <x v="1"/>
    <d v="2025-07-03T00:00:00"/>
    <x v="1"/>
    <x v="5"/>
    <x v="3"/>
    <x v="2"/>
    <n v="2"/>
    <n v="20"/>
    <s v="Card"/>
    <x v="2"/>
    <n v="40"/>
  </r>
  <r>
    <n v="195"/>
    <x v="5"/>
    <d v="2025-08-23T00:00:00"/>
    <x v="0"/>
    <x v="2"/>
    <x v="3"/>
    <x v="1"/>
    <n v="4"/>
    <n v="12"/>
    <s v="Card"/>
    <x v="0"/>
    <n v="48"/>
  </r>
  <r>
    <n v="139"/>
    <x v="5"/>
    <d v="2025-07-04T00:00:00"/>
    <x v="1"/>
    <x v="1"/>
    <x v="2"/>
    <x v="1"/>
    <n v="4"/>
    <n v="12"/>
    <s v="Card"/>
    <x v="3"/>
    <n v="48"/>
  </r>
  <r>
    <n v="1062"/>
    <x v="1"/>
    <d v="2025-08-03T00:00:00"/>
    <x v="0"/>
    <x v="0"/>
    <x v="2"/>
    <x v="1"/>
    <n v="1"/>
    <n v="12"/>
    <s v="Card"/>
    <x v="0"/>
    <n v="12"/>
  </r>
  <r>
    <n v="1720"/>
    <x v="3"/>
    <d v="2025-07-15T00:00:00"/>
    <x v="1"/>
    <x v="3"/>
    <x v="2"/>
    <x v="1"/>
    <n v="1"/>
    <n v="12"/>
    <s v="Card"/>
    <x v="0"/>
    <n v="12"/>
  </r>
  <r>
    <n v="235"/>
    <x v="6"/>
    <d v="2025-07-18T00:00:00"/>
    <x v="1"/>
    <x v="1"/>
    <x v="3"/>
    <x v="4"/>
    <n v="5"/>
    <n v="8"/>
    <s v="Card"/>
    <x v="2"/>
    <n v="40"/>
  </r>
  <r>
    <n v="1488"/>
    <x v="3"/>
    <d v="2025-09-23T00:00:00"/>
    <x v="2"/>
    <x v="3"/>
    <x v="0"/>
    <x v="1"/>
    <n v="4"/>
    <n v="12"/>
    <s v="Card"/>
    <x v="1"/>
    <n v="48"/>
  </r>
  <r>
    <n v="303"/>
    <x v="7"/>
    <d v="2025-07-28T00:00:00"/>
    <x v="1"/>
    <x v="4"/>
    <x v="0"/>
    <x v="0"/>
    <n v="5"/>
    <n v="25"/>
    <s v="Cash"/>
    <x v="1"/>
    <n v="125"/>
  </r>
  <r>
    <n v="604"/>
    <x v="0"/>
    <d v="2025-08-03T00:00:00"/>
    <x v="0"/>
    <x v="0"/>
    <x v="3"/>
    <x v="1"/>
    <n v="1"/>
    <n v="12"/>
    <s v="Mobile Wallet"/>
    <x v="2"/>
    <n v="12"/>
  </r>
  <r>
    <n v="1751"/>
    <x v="6"/>
    <d v="2025-09-28T00:00:00"/>
    <x v="2"/>
    <x v="0"/>
    <x v="0"/>
    <x v="2"/>
    <n v="2"/>
    <n v="20"/>
    <s v="Card"/>
    <x v="1"/>
    <n v="40"/>
  </r>
  <r>
    <n v="503"/>
    <x v="1"/>
    <d v="2025-08-11T00:00:00"/>
    <x v="0"/>
    <x v="4"/>
    <x v="3"/>
    <x v="0"/>
    <n v="1"/>
    <n v="25"/>
    <s v="Card"/>
    <x v="1"/>
    <n v="25"/>
  </r>
  <r>
    <n v="1433"/>
    <x v="0"/>
    <d v="2025-09-03T00:00:00"/>
    <x v="2"/>
    <x v="6"/>
    <x v="3"/>
    <x v="4"/>
    <n v="5"/>
    <n v="8"/>
    <s v="Mobile Wallet"/>
    <x v="3"/>
    <n v="40"/>
  </r>
  <r>
    <n v="1872"/>
    <x v="1"/>
    <d v="2025-08-03T00:00:00"/>
    <x v="0"/>
    <x v="0"/>
    <x v="0"/>
    <x v="1"/>
    <n v="4"/>
    <n v="12"/>
    <s v="Card"/>
    <x v="1"/>
    <n v="48"/>
  </r>
  <r>
    <n v="600"/>
    <x v="0"/>
    <d v="2025-09-06T00:00:00"/>
    <x v="2"/>
    <x v="2"/>
    <x v="0"/>
    <x v="1"/>
    <n v="3"/>
    <n v="12"/>
    <s v="Cash"/>
    <x v="1"/>
    <n v="36"/>
  </r>
  <r>
    <n v="1885"/>
    <x v="3"/>
    <d v="2025-08-22T00:00:00"/>
    <x v="0"/>
    <x v="1"/>
    <x v="2"/>
    <x v="2"/>
    <n v="2"/>
    <n v="20"/>
    <s v="Card"/>
    <x v="1"/>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72BA5-A4D9-46B1-8E87-C836EBF70E11}" name="Ticket Categor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5:I31" firstHeaderRow="1" firstDataRow="1" firstDataCol="1"/>
  <pivotFields count="12">
    <pivotField showAll="0"/>
    <pivotField showAll="0"/>
    <pivotField numFmtId="14" showAll="0"/>
    <pivotField showAll="0">
      <items count="4">
        <item x="1"/>
        <item h="1" x="0"/>
        <item h="1" x="2"/>
        <item t="default"/>
      </items>
    </pivotField>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6"/>
  </rowFields>
  <rowItems count="6">
    <i>
      <x v="2"/>
    </i>
    <i>
      <x v="4"/>
    </i>
    <i>
      <x v="1"/>
    </i>
    <i>
      <x/>
    </i>
    <i>
      <x v="3"/>
    </i>
    <i t="grand">
      <x/>
    </i>
  </rowItems>
  <colItems count="1">
    <i/>
  </colItems>
  <dataFields count="1">
    <dataField name="Sum of Total_Revenue"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70E46-3D5B-40CF-96D0-43F4CC9CA231}" name="KPI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dataField="1" showAll="0"/>
    <pivotField showAll="0"/>
    <pivotField numFmtId="14" showAll="0"/>
    <pivotField showAll="0">
      <items count="4">
        <item x="1"/>
        <item h="1" x="0"/>
        <item h="1" x="2"/>
        <item t="default"/>
      </items>
    </pivotField>
    <pivotField showAll="0"/>
    <pivotField showAll="0"/>
    <pivotField showAll="0"/>
    <pivotField dataField="1" showAll="0"/>
    <pivotField showAll="0"/>
    <pivotField showAll="0"/>
    <pivotField showAll="0"/>
    <pivotField dataField="1" showAll="0"/>
  </pivotFields>
  <rowFields count="1">
    <field x="-2"/>
  </rowFields>
  <rowItems count="3">
    <i>
      <x/>
    </i>
    <i i="1">
      <x v="1"/>
    </i>
    <i i="2">
      <x v="2"/>
    </i>
  </rowItems>
  <colItems count="1">
    <i/>
  </colItems>
  <dataFields count="3">
    <dataField name="Sum of Total_Revenue" fld="11" baseField="0" baseItem="0" numFmtId="165"/>
    <dataField name="Count of Sales_ID" fld="0" subtotal="count" baseField="0" baseItem="0" numFmtId="164"/>
    <dataField name="Sum of Tickets_Sold" fld="7" baseField="0" baseItem="0" numFmtId="164"/>
  </dataFields>
  <formats count="5">
    <format dxfId="4">
      <pivotArea outline="0" collapsedLevelsAreSubtotals="1" fieldPosition="0"/>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511C3B-F150-4815-BD54-CB374472411A}" name="State Based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21" firstHeaderRow="1" firstDataRow="1" firstDataCol="1"/>
  <pivotFields count="12">
    <pivotField showAll="0"/>
    <pivotField showAll="0"/>
    <pivotField numFmtId="14" showAll="0"/>
    <pivotField showAll="0">
      <items count="4">
        <item x="1"/>
        <item h="1" x="0"/>
        <item h="1" x="2"/>
        <item t="default"/>
      </items>
    </pivotField>
    <pivotField showAll="0"/>
    <pivotField showAll="0"/>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dataField="1" showAll="0"/>
  </pivotFields>
  <rowFields count="1">
    <field x="10"/>
  </rowFields>
  <rowItems count="5">
    <i>
      <x v="2"/>
    </i>
    <i>
      <x/>
    </i>
    <i>
      <x v="1"/>
    </i>
    <i>
      <x v="3"/>
    </i>
    <i t="grand">
      <x/>
    </i>
  </rowItems>
  <colItems count="1">
    <i/>
  </colItems>
  <dataFields count="1">
    <dataField name="Sum of Total_Revenue" fld="11" baseField="0" baseItem="0"/>
  </dataFields>
  <formats count="3">
    <format dxfId="7">
      <pivotArea field="10" type="button" dataOnly="0" labelOnly="1" outline="0" axis="axisRow" fieldPosition="0"/>
    </format>
    <format dxfId="6">
      <pivotArea collapsedLevelsAreSubtotals="1" fieldPosition="0">
        <references count="1">
          <reference field="10" count="0"/>
        </references>
      </pivotArea>
    </format>
    <format dxfId="5">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2AA1A-A783-4ECE-B246-A2E5E97C2091}" name="Week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12">
    <pivotField showAll="0"/>
    <pivotField showAll="0"/>
    <pivotField numFmtId="14" showAll="0"/>
    <pivotField showAll="0">
      <items count="4">
        <item x="1"/>
        <item h="1" x="0"/>
        <item h="1" x="2"/>
        <item t="default"/>
      </items>
    </pivotField>
    <pivotField axis="axisRow" showAll="0">
      <items count="8">
        <item x="4"/>
        <item x="3"/>
        <item x="6"/>
        <item x="5"/>
        <item x="1"/>
        <item x="2"/>
        <item x="0"/>
        <item t="default"/>
      </items>
    </pivotField>
    <pivotField showAll="0"/>
    <pivotField showAll="0"/>
    <pivotField showAll="0"/>
    <pivotField showAll="0"/>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Total_Revenue" fld="11" baseField="0" baseItem="0"/>
  </dataFields>
  <formats count="1">
    <format dxfId="8">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350869-57C9-46E0-AEAD-EBCDCAC526A1}" name="Movie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2" firstHeaderRow="1" firstDataRow="1" firstDataCol="1"/>
  <pivotFields count="12">
    <pivotField showAll="0"/>
    <pivotField axis="axisRow" showAll="0" sortType="ascending">
      <items count="9">
        <item x="4"/>
        <item x="0"/>
        <item x="5"/>
        <item x="3"/>
        <item x="2"/>
        <item x="7"/>
        <item x="1"/>
        <item x="6"/>
        <item t="default"/>
      </items>
      <autoSortScope>
        <pivotArea dataOnly="0" outline="0" fieldPosition="0">
          <references count="1">
            <reference field="4294967294" count="1" selected="0">
              <x v="0"/>
            </reference>
          </references>
        </pivotArea>
      </autoSortScope>
    </pivotField>
    <pivotField numFmtId="14" showAll="0"/>
    <pivotField showAll="0">
      <items count="4">
        <item x="1"/>
        <item h="1" x="0"/>
        <item h="1" x="2"/>
        <item t="default"/>
      </items>
    </pivotField>
    <pivotField showAll="0"/>
    <pivotField showAll="0"/>
    <pivotField showAll="0"/>
    <pivotField showAll="0"/>
    <pivotField showAll="0"/>
    <pivotField showAll="0"/>
    <pivotField showAll="0"/>
    <pivotField dataField="1" showAll="0"/>
  </pivotFields>
  <rowFields count="1">
    <field x="1"/>
  </rowFields>
  <rowItems count="9">
    <i>
      <x v="7"/>
    </i>
    <i>
      <x v="4"/>
    </i>
    <i>
      <x v="2"/>
    </i>
    <i>
      <x v="6"/>
    </i>
    <i>
      <x/>
    </i>
    <i>
      <x v="1"/>
    </i>
    <i>
      <x v="5"/>
    </i>
    <i>
      <x v="3"/>
    </i>
    <i t="grand">
      <x/>
    </i>
  </rowItems>
  <colItems count="1">
    <i/>
  </colItems>
  <dataFields count="1">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A74E8D-6A80-4665-B7C7-591482970561}" name="Showtime_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4" firstHeaderRow="1" firstDataRow="1" firstDataCol="1"/>
  <pivotFields count="12">
    <pivotField dataField="1" showAll="0"/>
    <pivotField showAll="0"/>
    <pivotField numFmtId="14" showAll="0"/>
    <pivotField showAll="0">
      <items count="4">
        <item x="1"/>
        <item h="1" x="0"/>
        <item h="1" x="2"/>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5">
    <i>
      <x v="1"/>
    </i>
    <i>
      <x v="2"/>
    </i>
    <i>
      <x v="3"/>
    </i>
    <i>
      <x/>
    </i>
    <i t="grand">
      <x/>
    </i>
  </rowItems>
  <colItems count="1">
    <i/>
  </colItems>
  <dataFields count="1">
    <dataField name="Count of Sales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420BEE-A192-4F0D-A822-CADF44A4849C}" name="Month/Month 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2" firstHeaderRow="0" firstDataRow="1" firstDataCol="1"/>
  <pivotFields count="12">
    <pivotField dataField="1" showAll="0"/>
    <pivotField showAll="0"/>
    <pivotField numFmtId="14" showAll="0"/>
    <pivotField axis="axisRow" showAll="0">
      <items count="4">
        <item x="1"/>
        <item h="1" x="0"/>
        <item h="1" x="2"/>
        <item t="default"/>
      </items>
    </pivotField>
    <pivotField showAll="0"/>
    <pivotField showAll="0"/>
    <pivotField showAll="0"/>
    <pivotField dataField="1" showAll="0"/>
    <pivotField showAll="0"/>
    <pivotField showAll="0"/>
    <pivotField showAll="0"/>
    <pivotField dataField="1" showAll="0"/>
  </pivotFields>
  <rowFields count="1">
    <field x="3"/>
  </rowFields>
  <rowItems count="2">
    <i>
      <x/>
    </i>
    <i t="grand">
      <x/>
    </i>
  </rowItems>
  <colFields count="1">
    <field x="-2"/>
  </colFields>
  <colItems count="3">
    <i>
      <x/>
    </i>
    <i i="1">
      <x v="1"/>
    </i>
    <i i="2">
      <x v="2"/>
    </i>
  </colItems>
  <dataFields count="3">
    <dataField name="Count of Sales_ID" fld="0" subtotal="count" baseField="0" baseItem="0"/>
    <dataField name="Sum of Tickets_Sold" fld="7" baseField="0" baseItem="0"/>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CB0857-C79B-4342-AF10-42186E7A6F27}" sourceName="Month">
  <pivotTables>
    <pivotTable tabId="2" name="Month/Month Growth"/>
    <pivotTable tabId="2" name="KPIs"/>
    <pivotTable tabId="2" name="MovieAnalysis"/>
    <pivotTable tabId="2" name="Showtime_Customers"/>
    <pivotTable tabId="2" name="State Based Analysis"/>
    <pivotTable tabId="2" name="Ticket Category Analysis"/>
    <pivotTable tabId="2" name="Weekly Sales Trend"/>
  </pivotTables>
  <data>
    <tabular pivotCacheId="1559204098">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48C55DA-20B7-4D8B-AEB7-E1B0C7D3D445}"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652DD48-9DE6-4572-B4BB-6132859A4EF3}" cache="Slicer_Month" caption="Month" columnCount="3" showCaption="0"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3ABBFF62-F4FB-4131-BB1C-BA1B6A096446}" cache="Slicer_Month" caption="Month" columnCount="3" showCaption="0"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51AFF-A54E-4F01-AF95-029FC578077A}" name="FilmaxData" displayName="FilmaxData" ref="A1:L2001" totalsRowShown="0">
  <autoFilter ref="A1:L2001" xr:uid="{54B51AFF-A54E-4F01-AF95-029FC578077A}"/>
  <tableColumns count="12">
    <tableColumn id="1" xr3:uid="{934E79F3-083C-43B9-B5D9-4FCED14103E4}" name="Sales_ID"/>
    <tableColumn id="2" xr3:uid="{F1CD8DAA-83E4-468A-804C-837B59FCC956}" name="Movie_Name"/>
    <tableColumn id="3" xr3:uid="{73FD016D-4915-41F1-8362-71B464DA50B6}" name="Show_Date" dataDxfId="11"/>
    <tableColumn id="11" xr3:uid="{9EDA1843-C99A-4AE5-9A80-5F3EE89FA017}" name="Month" dataDxfId="10">
      <calculatedColumnFormula xml:space="preserve"> TEXT(FilmaxData[[#This Row],[Show_Date]],"MMM")</calculatedColumnFormula>
    </tableColumn>
    <tableColumn id="12" xr3:uid="{A030DBE2-922E-495C-8D55-F913E48EA317}" name="Weekday" dataDxfId="9">
      <calculatedColumnFormula xml:space="preserve"> TEXT(FilmaxData[[#This Row],[Show_Date]],"DDD")</calculatedColumnFormula>
    </tableColumn>
    <tableColumn id="4" xr3:uid="{29FB2743-B86D-48E2-BD3A-BDD1A9801CAB}" name="Show_Time"/>
    <tableColumn id="5" xr3:uid="{24E1E561-C8C2-4C79-B5CD-27537EE155BA}" name="Ticket_Category"/>
    <tableColumn id="6" xr3:uid="{200AF562-970A-4F0D-9E69-9969FFCB9319}" name="Tickets_Sold"/>
    <tableColumn id="7" xr3:uid="{B0E271FD-C8F5-4C65-8D45-06B80BA57776}" name="Ticket_Price"/>
    <tableColumn id="8" xr3:uid="{93256171-96CD-42B5-9385-2F7472FA8B8C}" name="Payment_Method"/>
    <tableColumn id="9" xr3:uid="{707B1732-42E9-48EC-B9C3-BEEE4365B438}" name="Cinema_Branch"/>
    <tableColumn id="10" xr3:uid="{6B1FD731-9D65-4F90-B60A-712551708691}" name="Total_Revenue"/>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4934-CDB3-409C-AC93-A4770E32236B}">
  <dimension ref="A1:L2001"/>
  <sheetViews>
    <sheetView tabSelected="1" workbookViewId="0">
      <selection activeCell="E16" sqref="E16"/>
    </sheetView>
  </sheetViews>
  <sheetFormatPr defaultRowHeight="14.4" x14ac:dyDescent="0.3"/>
  <cols>
    <col min="1" max="1" width="12.6640625" customWidth="1"/>
    <col min="2" max="2" width="28.44140625" customWidth="1"/>
    <col min="3" max="5" width="21.33203125" style="1" customWidth="1"/>
    <col min="6" max="6" width="16.109375" customWidth="1"/>
    <col min="7" max="7" width="16.44140625" customWidth="1"/>
    <col min="8" max="9" width="14.5546875" customWidth="1"/>
    <col min="10" max="10" width="19.109375" customWidth="1"/>
    <col min="11" max="11" width="17.21875" customWidth="1"/>
    <col min="12" max="12" width="16.33203125" customWidth="1"/>
  </cols>
  <sheetData>
    <row r="1" spans="1:12" x14ac:dyDescent="0.3">
      <c r="A1" t="s">
        <v>0</v>
      </c>
      <c r="B1" t="s">
        <v>1</v>
      </c>
      <c r="C1" s="1" t="s">
        <v>2</v>
      </c>
      <c r="D1" s="1" t="s">
        <v>40</v>
      </c>
      <c r="E1" s="1" t="s">
        <v>42</v>
      </c>
      <c r="F1" t="s">
        <v>3</v>
      </c>
      <c r="G1" t="s">
        <v>4</v>
      </c>
      <c r="H1" t="s">
        <v>5</v>
      </c>
      <c r="I1" t="s">
        <v>6</v>
      </c>
      <c r="J1" t="s">
        <v>7</v>
      </c>
      <c r="K1" t="s">
        <v>8</v>
      </c>
      <c r="L1" t="s">
        <v>9</v>
      </c>
    </row>
    <row r="2" spans="1:12" x14ac:dyDescent="0.3">
      <c r="A2">
        <v>1354</v>
      </c>
      <c r="B2" t="s">
        <v>10</v>
      </c>
      <c r="C2" s="1">
        <v>45886</v>
      </c>
      <c r="D2" s="1" t="str">
        <f xml:space="preserve"> TEXT(FilmaxData[[#This Row],[Show_Date]],"MMM")</f>
        <v>Aug</v>
      </c>
      <c r="E2" s="1" t="str">
        <f xml:space="preserve"> TEXT(FilmaxData[[#This Row],[Show_Date]],"DDD")</f>
        <v>Sun</v>
      </c>
      <c r="F2" t="s">
        <v>11</v>
      </c>
      <c r="G2" t="s">
        <v>12</v>
      </c>
      <c r="H2">
        <v>4</v>
      </c>
      <c r="I2">
        <v>25</v>
      </c>
      <c r="J2" t="s">
        <v>13</v>
      </c>
      <c r="K2" t="s">
        <v>14</v>
      </c>
      <c r="L2">
        <v>100</v>
      </c>
    </row>
    <row r="3" spans="1:12" x14ac:dyDescent="0.3">
      <c r="A3">
        <v>1890</v>
      </c>
      <c r="B3" t="s">
        <v>15</v>
      </c>
      <c r="C3" s="1">
        <v>45849</v>
      </c>
      <c r="D3" s="1" t="str">
        <f xml:space="preserve"> TEXT(FilmaxData[[#This Row],[Show_Date]],"MMM")</f>
        <v>Jul</v>
      </c>
      <c r="E3" s="1" t="str">
        <f xml:space="preserve"> TEXT(FilmaxData[[#This Row],[Show_Date]],"DDD")</f>
        <v>Fri</v>
      </c>
      <c r="F3" t="s">
        <v>16</v>
      </c>
      <c r="G3" t="s">
        <v>17</v>
      </c>
      <c r="H3">
        <v>5</v>
      </c>
      <c r="I3">
        <v>12</v>
      </c>
      <c r="J3" t="s">
        <v>13</v>
      </c>
      <c r="K3" t="s">
        <v>18</v>
      </c>
      <c r="L3">
        <v>60</v>
      </c>
    </row>
    <row r="4" spans="1:12" x14ac:dyDescent="0.3">
      <c r="A4">
        <v>386</v>
      </c>
      <c r="B4" t="s">
        <v>19</v>
      </c>
      <c r="C4" s="1">
        <v>45906</v>
      </c>
      <c r="D4" s="1" t="str">
        <f xml:space="preserve"> TEXT(FilmaxData[[#This Row],[Show_Date]],"MMM")</f>
        <v>Sep</v>
      </c>
      <c r="E4" s="1" t="str">
        <f xml:space="preserve"> TEXT(FilmaxData[[#This Row],[Show_Date]],"DDD")</f>
        <v>Sat</v>
      </c>
      <c r="F4" t="s">
        <v>20</v>
      </c>
      <c r="G4" t="s">
        <v>12</v>
      </c>
      <c r="H4">
        <v>1</v>
      </c>
      <c r="I4">
        <v>25</v>
      </c>
      <c r="J4" t="s">
        <v>21</v>
      </c>
      <c r="K4" t="s">
        <v>18</v>
      </c>
      <c r="L4">
        <v>25</v>
      </c>
    </row>
    <row r="5" spans="1:12" x14ac:dyDescent="0.3">
      <c r="A5">
        <v>1406</v>
      </c>
      <c r="B5" t="s">
        <v>19</v>
      </c>
      <c r="C5" s="1">
        <v>45881</v>
      </c>
      <c r="D5" s="1" t="str">
        <f xml:space="preserve"> TEXT(FilmaxData[[#This Row],[Show_Date]],"MMM")</f>
        <v>Aug</v>
      </c>
      <c r="E5" s="1" t="str">
        <f xml:space="preserve"> TEXT(FilmaxData[[#This Row],[Show_Date]],"DDD")</f>
        <v>Tue</v>
      </c>
      <c r="F5" t="s">
        <v>11</v>
      </c>
      <c r="G5" t="s">
        <v>22</v>
      </c>
      <c r="H5">
        <v>5</v>
      </c>
      <c r="I5">
        <v>20</v>
      </c>
      <c r="J5" t="s">
        <v>23</v>
      </c>
      <c r="K5" t="s">
        <v>18</v>
      </c>
      <c r="L5">
        <v>100</v>
      </c>
    </row>
    <row r="6" spans="1:12" x14ac:dyDescent="0.3">
      <c r="A6">
        <v>1425</v>
      </c>
      <c r="B6" t="s">
        <v>19</v>
      </c>
      <c r="C6" s="1">
        <v>45891</v>
      </c>
      <c r="D6" s="1" t="str">
        <f xml:space="preserve"> TEXT(FilmaxData[[#This Row],[Show_Date]],"MMM")</f>
        <v>Aug</v>
      </c>
      <c r="E6" s="1" t="str">
        <f xml:space="preserve"> TEXT(FilmaxData[[#This Row],[Show_Date]],"DDD")</f>
        <v>Fri</v>
      </c>
      <c r="F6" t="s">
        <v>11</v>
      </c>
      <c r="G6" t="s">
        <v>22</v>
      </c>
      <c r="H6">
        <v>2</v>
      </c>
      <c r="I6">
        <v>20</v>
      </c>
      <c r="J6" t="s">
        <v>21</v>
      </c>
      <c r="K6" t="s">
        <v>14</v>
      </c>
      <c r="L6">
        <v>40</v>
      </c>
    </row>
    <row r="7" spans="1:12" x14ac:dyDescent="0.3">
      <c r="A7">
        <v>39</v>
      </c>
      <c r="B7" t="s">
        <v>24</v>
      </c>
      <c r="C7" s="1">
        <v>45859</v>
      </c>
      <c r="D7" s="1" t="str">
        <f xml:space="preserve"> TEXT(FilmaxData[[#This Row],[Show_Date]],"MMM")</f>
        <v>Jul</v>
      </c>
      <c r="E7" s="1" t="str">
        <f xml:space="preserve"> TEXT(FilmaxData[[#This Row],[Show_Date]],"DDD")</f>
        <v>Mon</v>
      </c>
      <c r="F7" t="s">
        <v>20</v>
      </c>
      <c r="G7" t="s">
        <v>17</v>
      </c>
      <c r="H7">
        <v>4</v>
      </c>
      <c r="I7">
        <v>12</v>
      </c>
      <c r="J7" t="s">
        <v>13</v>
      </c>
      <c r="K7" t="s">
        <v>25</v>
      </c>
      <c r="L7">
        <v>48</v>
      </c>
    </row>
    <row r="8" spans="1:12" x14ac:dyDescent="0.3">
      <c r="A8">
        <v>1412</v>
      </c>
      <c r="B8" t="s">
        <v>26</v>
      </c>
      <c r="C8" s="1">
        <v>45906</v>
      </c>
      <c r="D8" s="1" t="str">
        <f xml:space="preserve"> TEXT(FilmaxData[[#This Row],[Show_Date]],"MMM")</f>
        <v>Sep</v>
      </c>
      <c r="E8" s="1" t="str">
        <f xml:space="preserve"> TEXT(FilmaxData[[#This Row],[Show_Date]],"DDD")</f>
        <v>Sat</v>
      </c>
      <c r="F8" t="s">
        <v>11</v>
      </c>
      <c r="G8" t="s">
        <v>17</v>
      </c>
      <c r="H8">
        <v>2</v>
      </c>
      <c r="I8">
        <v>12</v>
      </c>
      <c r="J8" t="s">
        <v>23</v>
      </c>
      <c r="K8" t="s">
        <v>25</v>
      </c>
      <c r="L8">
        <v>24</v>
      </c>
    </row>
    <row r="9" spans="1:12" x14ac:dyDescent="0.3">
      <c r="A9">
        <v>1845</v>
      </c>
      <c r="B9" t="s">
        <v>10</v>
      </c>
      <c r="C9" s="1">
        <v>45862</v>
      </c>
      <c r="D9" s="1" t="str">
        <f xml:space="preserve"> TEXT(FilmaxData[[#This Row],[Show_Date]],"MMM")</f>
        <v>Jul</v>
      </c>
      <c r="E9" s="1" t="str">
        <f xml:space="preserve"> TEXT(FilmaxData[[#This Row],[Show_Date]],"DDD")</f>
        <v>Thu</v>
      </c>
      <c r="F9" t="s">
        <v>20</v>
      </c>
      <c r="G9" t="s">
        <v>17</v>
      </c>
      <c r="H9">
        <v>1</v>
      </c>
      <c r="I9">
        <v>12</v>
      </c>
      <c r="J9" t="s">
        <v>21</v>
      </c>
      <c r="K9" t="s">
        <v>27</v>
      </c>
      <c r="L9">
        <v>12</v>
      </c>
    </row>
    <row r="10" spans="1:12" x14ac:dyDescent="0.3">
      <c r="A10">
        <v>1285</v>
      </c>
      <c r="B10" t="s">
        <v>28</v>
      </c>
      <c r="C10" s="1">
        <v>45846</v>
      </c>
      <c r="D10" s="1" t="str">
        <f xml:space="preserve"> TEXT(FilmaxData[[#This Row],[Show_Date]],"MMM")</f>
        <v>Jul</v>
      </c>
      <c r="E10" s="1" t="str">
        <f xml:space="preserve"> TEXT(FilmaxData[[#This Row],[Show_Date]],"DDD")</f>
        <v>Tue</v>
      </c>
      <c r="F10" t="s">
        <v>20</v>
      </c>
      <c r="G10" t="s">
        <v>17</v>
      </c>
      <c r="H10">
        <v>4</v>
      </c>
      <c r="I10">
        <v>12</v>
      </c>
      <c r="J10" t="s">
        <v>21</v>
      </c>
      <c r="K10" t="s">
        <v>27</v>
      </c>
      <c r="L10">
        <v>48</v>
      </c>
    </row>
    <row r="11" spans="1:12" x14ac:dyDescent="0.3">
      <c r="A11">
        <v>1223</v>
      </c>
      <c r="B11" t="s">
        <v>24</v>
      </c>
      <c r="C11" s="1">
        <v>45871</v>
      </c>
      <c r="D11" s="1" t="str">
        <f xml:space="preserve"> TEXT(FilmaxData[[#This Row],[Show_Date]],"MMM")</f>
        <v>Aug</v>
      </c>
      <c r="E11" s="1" t="str">
        <f xml:space="preserve"> TEXT(FilmaxData[[#This Row],[Show_Date]],"DDD")</f>
        <v>Sat</v>
      </c>
      <c r="F11" t="s">
        <v>20</v>
      </c>
      <c r="G11" t="s">
        <v>17</v>
      </c>
      <c r="H11">
        <v>5</v>
      </c>
      <c r="I11">
        <v>12</v>
      </c>
      <c r="J11" t="s">
        <v>23</v>
      </c>
      <c r="K11" t="s">
        <v>18</v>
      </c>
      <c r="L11">
        <v>60</v>
      </c>
    </row>
    <row r="12" spans="1:12" x14ac:dyDescent="0.3">
      <c r="A12">
        <v>1471</v>
      </c>
      <c r="B12" t="s">
        <v>15</v>
      </c>
      <c r="C12" s="1">
        <v>45892</v>
      </c>
      <c r="D12" s="1" t="str">
        <f xml:space="preserve"> TEXT(FilmaxData[[#This Row],[Show_Date]],"MMM")</f>
        <v>Aug</v>
      </c>
      <c r="E12" s="1" t="str">
        <f xml:space="preserve"> TEXT(FilmaxData[[#This Row],[Show_Date]],"DDD")</f>
        <v>Sat</v>
      </c>
      <c r="F12" t="s">
        <v>16</v>
      </c>
      <c r="G12" t="s">
        <v>17</v>
      </c>
      <c r="H12">
        <v>1</v>
      </c>
      <c r="I12">
        <v>12</v>
      </c>
      <c r="J12" t="s">
        <v>21</v>
      </c>
      <c r="K12" t="s">
        <v>14</v>
      </c>
      <c r="L12">
        <v>12</v>
      </c>
    </row>
    <row r="13" spans="1:12" x14ac:dyDescent="0.3">
      <c r="A13">
        <v>506</v>
      </c>
      <c r="B13" t="s">
        <v>24</v>
      </c>
      <c r="C13" s="1">
        <v>45914</v>
      </c>
      <c r="D13" s="1" t="str">
        <f xml:space="preserve"> TEXT(FilmaxData[[#This Row],[Show_Date]],"MMM")</f>
        <v>Sep</v>
      </c>
      <c r="E13" s="1" t="str">
        <f xml:space="preserve"> TEXT(FilmaxData[[#This Row],[Show_Date]],"DDD")</f>
        <v>Sun</v>
      </c>
      <c r="F13" t="s">
        <v>11</v>
      </c>
      <c r="G13" t="s">
        <v>17</v>
      </c>
      <c r="H13">
        <v>4</v>
      </c>
      <c r="I13">
        <v>12</v>
      </c>
      <c r="J13" t="s">
        <v>13</v>
      </c>
      <c r="K13" t="s">
        <v>27</v>
      </c>
      <c r="L13">
        <v>48</v>
      </c>
    </row>
    <row r="14" spans="1:12" x14ac:dyDescent="0.3">
      <c r="A14">
        <v>357</v>
      </c>
      <c r="B14" t="s">
        <v>24</v>
      </c>
      <c r="C14" s="1">
        <v>45866</v>
      </c>
      <c r="D14" s="1" t="str">
        <f xml:space="preserve"> TEXT(FilmaxData[[#This Row],[Show_Date]],"MMM")</f>
        <v>Jul</v>
      </c>
      <c r="E14" s="1" t="str">
        <f xml:space="preserve"> TEXT(FilmaxData[[#This Row],[Show_Date]],"DDD")</f>
        <v>Mon</v>
      </c>
      <c r="F14" t="s">
        <v>11</v>
      </c>
      <c r="G14" t="s">
        <v>29</v>
      </c>
      <c r="H14">
        <v>4</v>
      </c>
      <c r="I14">
        <v>30</v>
      </c>
      <c r="J14" t="s">
        <v>21</v>
      </c>
      <c r="K14" t="s">
        <v>18</v>
      </c>
      <c r="L14">
        <v>120</v>
      </c>
    </row>
    <row r="15" spans="1:12" x14ac:dyDescent="0.3">
      <c r="A15">
        <v>774</v>
      </c>
      <c r="B15" t="s">
        <v>24</v>
      </c>
      <c r="C15" s="1">
        <v>45923</v>
      </c>
      <c r="D15" s="1" t="str">
        <f xml:space="preserve"> TEXT(FilmaxData[[#This Row],[Show_Date]],"MMM")</f>
        <v>Sep</v>
      </c>
      <c r="E15" s="1" t="str">
        <f xml:space="preserve"> TEXT(FilmaxData[[#This Row],[Show_Date]],"DDD")</f>
        <v>Tue</v>
      </c>
      <c r="F15" t="s">
        <v>11</v>
      </c>
      <c r="G15" t="s">
        <v>17</v>
      </c>
      <c r="H15">
        <v>1</v>
      </c>
      <c r="I15">
        <v>12</v>
      </c>
      <c r="J15" t="s">
        <v>23</v>
      </c>
      <c r="K15" t="s">
        <v>14</v>
      </c>
      <c r="L15">
        <v>12</v>
      </c>
    </row>
    <row r="16" spans="1:12" x14ac:dyDescent="0.3">
      <c r="A16">
        <v>639</v>
      </c>
      <c r="B16" t="s">
        <v>24</v>
      </c>
      <c r="C16" s="1">
        <v>45916</v>
      </c>
      <c r="D16" s="1" t="str">
        <f xml:space="preserve"> TEXT(FilmaxData[[#This Row],[Show_Date]],"MMM")</f>
        <v>Sep</v>
      </c>
      <c r="E16" s="1" t="str">
        <f xml:space="preserve"> TEXT(FilmaxData[[#This Row],[Show_Date]],"DDD")</f>
        <v>Tue</v>
      </c>
      <c r="F16" t="s">
        <v>11</v>
      </c>
      <c r="G16" t="s">
        <v>29</v>
      </c>
      <c r="H16">
        <v>5</v>
      </c>
      <c r="I16">
        <v>30</v>
      </c>
      <c r="J16" t="s">
        <v>23</v>
      </c>
      <c r="K16" t="s">
        <v>27</v>
      </c>
      <c r="L16">
        <v>150</v>
      </c>
    </row>
    <row r="17" spans="1:12" x14ac:dyDescent="0.3">
      <c r="A17">
        <v>1153</v>
      </c>
      <c r="B17" t="s">
        <v>24</v>
      </c>
      <c r="C17" s="1">
        <v>45851</v>
      </c>
      <c r="D17" s="1" t="str">
        <f xml:space="preserve"> TEXT(FilmaxData[[#This Row],[Show_Date]],"MMM")</f>
        <v>Jul</v>
      </c>
      <c r="E17" s="1" t="str">
        <f xml:space="preserve"> TEXT(FilmaxData[[#This Row],[Show_Date]],"DDD")</f>
        <v>Sun</v>
      </c>
      <c r="F17" t="s">
        <v>11</v>
      </c>
      <c r="G17" t="s">
        <v>30</v>
      </c>
      <c r="H17">
        <v>2</v>
      </c>
      <c r="I17">
        <v>8</v>
      </c>
      <c r="J17" t="s">
        <v>23</v>
      </c>
      <c r="K17" t="s">
        <v>14</v>
      </c>
      <c r="L17">
        <v>16</v>
      </c>
    </row>
    <row r="18" spans="1:12" x14ac:dyDescent="0.3">
      <c r="A18">
        <v>1016</v>
      </c>
      <c r="B18" t="s">
        <v>24</v>
      </c>
      <c r="C18" s="1">
        <v>45880</v>
      </c>
      <c r="D18" s="1" t="str">
        <f xml:space="preserve"> TEXT(FilmaxData[[#This Row],[Show_Date]],"MMM")</f>
        <v>Aug</v>
      </c>
      <c r="E18" s="1" t="str">
        <f xml:space="preserve"> TEXT(FilmaxData[[#This Row],[Show_Date]],"DDD")</f>
        <v>Mon</v>
      </c>
      <c r="F18" t="s">
        <v>16</v>
      </c>
      <c r="G18" t="s">
        <v>17</v>
      </c>
      <c r="H18">
        <v>1</v>
      </c>
      <c r="I18">
        <v>12</v>
      </c>
      <c r="J18" t="s">
        <v>23</v>
      </c>
      <c r="K18" t="s">
        <v>14</v>
      </c>
      <c r="L18">
        <v>12</v>
      </c>
    </row>
    <row r="19" spans="1:12" x14ac:dyDescent="0.3">
      <c r="A19">
        <v>1098</v>
      </c>
      <c r="B19" t="s">
        <v>24</v>
      </c>
      <c r="C19" s="1">
        <v>45872</v>
      </c>
      <c r="D19" s="1" t="str">
        <f xml:space="preserve"> TEXT(FilmaxData[[#This Row],[Show_Date]],"MMM")</f>
        <v>Aug</v>
      </c>
      <c r="E19" s="1" t="str">
        <f xml:space="preserve"> TEXT(FilmaxData[[#This Row],[Show_Date]],"DDD")</f>
        <v>Sun</v>
      </c>
      <c r="F19" t="s">
        <v>16</v>
      </c>
      <c r="G19" t="s">
        <v>17</v>
      </c>
      <c r="H19">
        <v>4</v>
      </c>
      <c r="I19">
        <v>12</v>
      </c>
      <c r="J19" t="s">
        <v>13</v>
      </c>
      <c r="K19" t="s">
        <v>14</v>
      </c>
      <c r="L19">
        <v>48</v>
      </c>
    </row>
    <row r="20" spans="1:12" x14ac:dyDescent="0.3">
      <c r="A20">
        <v>352</v>
      </c>
      <c r="B20" t="s">
        <v>24</v>
      </c>
      <c r="C20" s="1">
        <v>45851</v>
      </c>
      <c r="D20" s="1" t="str">
        <f xml:space="preserve"> TEXT(FilmaxData[[#This Row],[Show_Date]],"MMM")</f>
        <v>Jul</v>
      </c>
      <c r="E20" s="1" t="str">
        <f xml:space="preserve"> TEXT(FilmaxData[[#This Row],[Show_Date]],"DDD")</f>
        <v>Sun</v>
      </c>
      <c r="F20" t="s">
        <v>11</v>
      </c>
      <c r="G20" t="s">
        <v>29</v>
      </c>
      <c r="H20">
        <v>1</v>
      </c>
      <c r="I20">
        <v>30</v>
      </c>
      <c r="J20" t="s">
        <v>23</v>
      </c>
      <c r="K20" t="s">
        <v>27</v>
      </c>
      <c r="L20">
        <v>30</v>
      </c>
    </row>
    <row r="21" spans="1:12" x14ac:dyDescent="0.3">
      <c r="A21">
        <v>9</v>
      </c>
      <c r="B21" t="s">
        <v>28</v>
      </c>
      <c r="C21" s="1">
        <v>45925</v>
      </c>
      <c r="D21" s="1" t="str">
        <f xml:space="preserve"> TEXT(FilmaxData[[#This Row],[Show_Date]],"MMM")</f>
        <v>Sep</v>
      </c>
      <c r="E21" s="1" t="str">
        <f xml:space="preserve"> TEXT(FilmaxData[[#This Row],[Show_Date]],"DDD")</f>
        <v>Thu</v>
      </c>
      <c r="F21" t="s">
        <v>11</v>
      </c>
      <c r="G21" t="s">
        <v>17</v>
      </c>
      <c r="H21">
        <v>4</v>
      </c>
      <c r="I21">
        <v>12</v>
      </c>
      <c r="J21" t="s">
        <v>23</v>
      </c>
      <c r="K21" t="s">
        <v>18</v>
      </c>
      <c r="L21">
        <v>48</v>
      </c>
    </row>
    <row r="22" spans="1:12" x14ac:dyDescent="0.3">
      <c r="A22">
        <v>182</v>
      </c>
      <c r="B22" t="s">
        <v>28</v>
      </c>
      <c r="C22" s="1">
        <v>45893</v>
      </c>
      <c r="D22" s="1" t="str">
        <f xml:space="preserve"> TEXT(FilmaxData[[#This Row],[Show_Date]],"MMM")</f>
        <v>Aug</v>
      </c>
      <c r="E22" s="1" t="str">
        <f xml:space="preserve"> TEXT(FilmaxData[[#This Row],[Show_Date]],"DDD")</f>
        <v>Sun</v>
      </c>
      <c r="F22" t="s">
        <v>11</v>
      </c>
      <c r="G22" t="s">
        <v>17</v>
      </c>
      <c r="H22">
        <v>1</v>
      </c>
      <c r="I22">
        <v>12</v>
      </c>
      <c r="J22" t="s">
        <v>21</v>
      </c>
      <c r="K22" t="s">
        <v>14</v>
      </c>
      <c r="L22">
        <v>12</v>
      </c>
    </row>
    <row r="23" spans="1:12" x14ac:dyDescent="0.3">
      <c r="A23">
        <v>1353</v>
      </c>
      <c r="B23" t="s">
        <v>28</v>
      </c>
      <c r="C23" s="1">
        <v>45886</v>
      </c>
      <c r="D23" s="1" t="str">
        <f xml:space="preserve"> TEXT(FilmaxData[[#This Row],[Show_Date]],"MMM")</f>
        <v>Aug</v>
      </c>
      <c r="E23" s="1" t="str">
        <f xml:space="preserve"> TEXT(FilmaxData[[#This Row],[Show_Date]],"DDD")</f>
        <v>Sun</v>
      </c>
      <c r="F23" t="s">
        <v>11</v>
      </c>
      <c r="G23" t="s">
        <v>29</v>
      </c>
      <c r="H23">
        <v>1</v>
      </c>
      <c r="I23">
        <v>30</v>
      </c>
      <c r="J23" t="s">
        <v>13</v>
      </c>
      <c r="K23" t="s">
        <v>18</v>
      </c>
      <c r="L23">
        <v>30</v>
      </c>
    </row>
    <row r="24" spans="1:12" x14ac:dyDescent="0.3">
      <c r="A24">
        <v>1724</v>
      </c>
      <c r="B24" t="s">
        <v>26</v>
      </c>
      <c r="C24" s="1">
        <v>45924</v>
      </c>
      <c r="D24" s="1" t="str">
        <f xml:space="preserve"> TEXT(FilmaxData[[#This Row],[Show_Date]],"MMM")</f>
        <v>Sep</v>
      </c>
      <c r="E24" s="1" t="str">
        <f xml:space="preserve"> TEXT(FilmaxData[[#This Row],[Show_Date]],"DDD")</f>
        <v>Wed</v>
      </c>
      <c r="F24" t="s">
        <v>11</v>
      </c>
      <c r="G24" t="s">
        <v>17</v>
      </c>
      <c r="H24">
        <v>4</v>
      </c>
      <c r="I24">
        <v>12</v>
      </c>
      <c r="J24" t="s">
        <v>23</v>
      </c>
      <c r="K24" t="s">
        <v>25</v>
      </c>
      <c r="L24">
        <v>48</v>
      </c>
    </row>
    <row r="25" spans="1:12" x14ac:dyDescent="0.3">
      <c r="A25">
        <v>884</v>
      </c>
      <c r="B25" t="s">
        <v>19</v>
      </c>
      <c r="C25" s="1">
        <v>45881</v>
      </c>
      <c r="D25" s="1" t="str">
        <f xml:space="preserve"> TEXT(FilmaxData[[#This Row],[Show_Date]],"MMM")</f>
        <v>Aug</v>
      </c>
      <c r="E25" s="1" t="str">
        <f xml:space="preserve"> TEXT(FilmaxData[[#This Row],[Show_Date]],"DDD")</f>
        <v>Tue</v>
      </c>
      <c r="F25" t="s">
        <v>11</v>
      </c>
      <c r="G25" t="s">
        <v>17</v>
      </c>
      <c r="H25">
        <v>1</v>
      </c>
      <c r="I25">
        <v>12</v>
      </c>
      <c r="J25" t="s">
        <v>23</v>
      </c>
      <c r="K25" t="s">
        <v>18</v>
      </c>
      <c r="L25">
        <v>12</v>
      </c>
    </row>
    <row r="26" spans="1:12" x14ac:dyDescent="0.3">
      <c r="A26">
        <v>958</v>
      </c>
      <c r="B26" t="s">
        <v>24</v>
      </c>
      <c r="C26" s="1">
        <v>45887</v>
      </c>
      <c r="D26" s="1" t="str">
        <f xml:space="preserve"> TEXT(FilmaxData[[#This Row],[Show_Date]],"MMM")</f>
        <v>Aug</v>
      </c>
      <c r="E26" s="1" t="str">
        <f xml:space="preserve"> TEXT(FilmaxData[[#This Row],[Show_Date]],"DDD")</f>
        <v>Mon</v>
      </c>
      <c r="F26" t="s">
        <v>11</v>
      </c>
      <c r="G26" t="s">
        <v>22</v>
      </c>
      <c r="H26">
        <v>2</v>
      </c>
      <c r="I26">
        <v>20</v>
      </c>
      <c r="J26" t="s">
        <v>13</v>
      </c>
      <c r="K26" t="s">
        <v>18</v>
      </c>
      <c r="L26">
        <v>40</v>
      </c>
    </row>
    <row r="27" spans="1:12" x14ac:dyDescent="0.3">
      <c r="A27">
        <v>267</v>
      </c>
      <c r="B27" t="s">
        <v>31</v>
      </c>
      <c r="C27" s="1">
        <v>45851</v>
      </c>
      <c r="D27" s="1" t="str">
        <f xml:space="preserve"> TEXT(FilmaxData[[#This Row],[Show_Date]],"MMM")</f>
        <v>Jul</v>
      </c>
      <c r="E27" s="1" t="str">
        <f xml:space="preserve"> TEXT(FilmaxData[[#This Row],[Show_Date]],"DDD")</f>
        <v>Sun</v>
      </c>
      <c r="F27" t="s">
        <v>16</v>
      </c>
      <c r="G27" t="s">
        <v>12</v>
      </c>
      <c r="H27">
        <v>1</v>
      </c>
      <c r="I27">
        <v>25</v>
      </c>
      <c r="J27" t="s">
        <v>23</v>
      </c>
      <c r="K27" t="s">
        <v>25</v>
      </c>
      <c r="L27">
        <v>25</v>
      </c>
    </row>
    <row r="28" spans="1:12" x14ac:dyDescent="0.3">
      <c r="A28">
        <v>1192</v>
      </c>
      <c r="B28" t="s">
        <v>32</v>
      </c>
      <c r="C28" s="1">
        <v>45847</v>
      </c>
      <c r="D28" s="1" t="str">
        <f xml:space="preserve"> TEXT(FilmaxData[[#This Row],[Show_Date]],"MMM")</f>
        <v>Jul</v>
      </c>
      <c r="E28" s="1" t="str">
        <f xml:space="preserve"> TEXT(FilmaxData[[#This Row],[Show_Date]],"DDD")</f>
        <v>Wed</v>
      </c>
      <c r="F28" t="s">
        <v>16</v>
      </c>
      <c r="G28" t="s">
        <v>29</v>
      </c>
      <c r="H28">
        <v>3</v>
      </c>
      <c r="I28">
        <v>30</v>
      </c>
      <c r="J28" t="s">
        <v>13</v>
      </c>
      <c r="K28" t="s">
        <v>18</v>
      </c>
      <c r="L28">
        <v>90</v>
      </c>
    </row>
    <row r="29" spans="1:12" x14ac:dyDescent="0.3">
      <c r="A29">
        <v>1009</v>
      </c>
      <c r="B29" t="s">
        <v>31</v>
      </c>
      <c r="C29" s="1">
        <v>45926</v>
      </c>
      <c r="D29" s="1" t="str">
        <f xml:space="preserve"> TEXT(FilmaxData[[#This Row],[Show_Date]],"MMM")</f>
        <v>Sep</v>
      </c>
      <c r="E29" s="1" t="str">
        <f xml:space="preserve"> TEXT(FilmaxData[[#This Row],[Show_Date]],"DDD")</f>
        <v>Fri</v>
      </c>
      <c r="F29" t="s">
        <v>16</v>
      </c>
      <c r="G29" t="s">
        <v>30</v>
      </c>
      <c r="H29">
        <v>2</v>
      </c>
      <c r="I29">
        <v>8</v>
      </c>
      <c r="J29" t="s">
        <v>13</v>
      </c>
      <c r="K29" t="s">
        <v>25</v>
      </c>
      <c r="L29">
        <v>16</v>
      </c>
    </row>
    <row r="30" spans="1:12" x14ac:dyDescent="0.3">
      <c r="A30">
        <v>94</v>
      </c>
      <c r="B30" t="s">
        <v>10</v>
      </c>
      <c r="C30" s="1">
        <v>45862</v>
      </c>
      <c r="D30" s="1" t="str">
        <f xml:space="preserve"> TEXT(FilmaxData[[#This Row],[Show_Date]],"MMM")</f>
        <v>Jul</v>
      </c>
      <c r="E30" s="1" t="str">
        <f xml:space="preserve"> TEXT(FilmaxData[[#This Row],[Show_Date]],"DDD")</f>
        <v>Thu</v>
      </c>
      <c r="F30" t="s">
        <v>20</v>
      </c>
      <c r="G30" t="s">
        <v>12</v>
      </c>
      <c r="H30">
        <v>3</v>
      </c>
      <c r="I30">
        <v>25</v>
      </c>
      <c r="J30" t="s">
        <v>21</v>
      </c>
      <c r="K30" t="s">
        <v>27</v>
      </c>
      <c r="L30">
        <v>75</v>
      </c>
    </row>
    <row r="31" spans="1:12" x14ac:dyDescent="0.3">
      <c r="A31">
        <v>1041</v>
      </c>
      <c r="B31" t="s">
        <v>15</v>
      </c>
      <c r="C31" s="1">
        <v>45907</v>
      </c>
      <c r="D31" s="1" t="str">
        <f xml:space="preserve"> TEXT(FilmaxData[[#This Row],[Show_Date]],"MMM")</f>
        <v>Sep</v>
      </c>
      <c r="E31" s="1" t="str">
        <f xml:space="preserve"> TEXT(FilmaxData[[#This Row],[Show_Date]],"DDD")</f>
        <v>Sun</v>
      </c>
      <c r="F31" t="s">
        <v>11</v>
      </c>
      <c r="G31" t="s">
        <v>17</v>
      </c>
      <c r="H31">
        <v>2</v>
      </c>
      <c r="I31">
        <v>12</v>
      </c>
      <c r="J31" t="s">
        <v>21</v>
      </c>
      <c r="K31" t="s">
        <v>25</v>
      </c>
      <c r="L31">
        <v>24</v>
      </c>
    </row>
    <row r="32" spans="1:12" x14ac:dyDescent="0.3">
      <c r="A32">
        <v>1244</v>
      </c>
      <c r="B32" t="s">
        <v>28</v>
      </c>
      <c r="C32" s="1">
        <v>45871</v>
      </c>
      <c r="D32" s="1" t="str">
        <f xml:space="preserve"> TEXT(FilmaxData[[#This Row],[Show_Date]],"MMM")</f>
        <v>Aug</v>
      </c>
      <c r="E32" s="1" t="str">
        <f xml:space="preserve"> TEXT(FilmaxData[[#This Row],[Show_Date]],"DDD")</f>
        <v>Sat</v>
      </c>
      <c r="F32" t="s">
        <v>20</v>
      </c>
      <c r="G32" t="s">
        <v>30</v>
      </c>
      <c r="H32">
        <v>5</v>
      </c>
      <c r="I32">
        <v>8</v>
      </c>
      <c r="J32" t="s">
        <v>13</v>
      </c>
      <c r="K32" t="s">
        <v>27</v>
      </c>
      <c r="L32">
        <v>40</v>
      </c>
    </row>
    <row r="33" spans="1:12" x14ac:dyDescent="0.3">
      <c r="A33">
        <v>1147</v>
      </c>
      <c r="B33" t="s">
        <v>28</v>
      </c>
      <c r="C33" s="1">
        <v>45887</v>
      </c>
      <c r="D33" s="1" t="str">
        <f xml:space="preserve"> TEXT(FilmaxData[[#This Row],[Show_Date]],"MMM")</f>
        <v>Aug</v>
      </c>
      <c r="E33" s="1" t="str">
        <f xml:space="preserve"> TEXT(FilmaxData[[#This Row],[Show_Date]],"DDD")</f>
        <v>Mon</v>
      </c>
      <c r="F33" t="s">
        <v>20</v>
      </c>
      <c r="G33" t="s">
        <v>22</v>
      </c>
      <c r="H33">
        <v>1</v>
      </c>
      <c r="I33">
        <v>20</v>
      </c>
      <c r="J33" t="s">
        <v>13</v>
      </c>
      <c r="K33" t="s">
        <v>14</v>
      </c>
      <c r="L33">
        <v>20</v>
      </c>
    </row>
    <row r="34" spans="1:12" x14ac:dyDescent="0.3">
      <c r="A34">
        <v>163</v>
      </c>
      <c r="B34" t="s">
        <v>19</v>
      </c>
      <c r="C34" s="1">
        <v>45899</v>
      </c>
      <c r="D34" s="1" t="str">
        <f xml:space="preserve"> TEXT(FilmaxData[[#This Row],[Show_Date]],"MMM")</f>
        <v>Aug</v>
      </c>
      <c r="E34" s="1" t="str">
        <f xml:space="preserve"> TEXT(FilmaxData[[#This Row],[Show_Date]],"DDD")</f>
        <v>Sat</v>
      </c>
      <c r="F34" t="s">
        <v>20</v>
      </c>
      <c r="G34" t="s">
        <v>17</v>
      </c>
      <c r="H34">
        <v>1</v>
      </c>
      <c r="I34">
        <v>12</v>
      </c>
      <c r="J34" t="s">
        <v>13</v>
      </c>
      <c r="K34" t="s">
        <v>14</v>
      </c>
      <c r="L34">
        <v>12</v>
      </c>
    </row>
    <row r="35" spans="1:12" x14ac:dyDescent="0.3">
      <c r="A35">
        <v>1052</v>
      </c>
      <c r="B35" t="s">
        <v>24</v>
      </c>
      <c r="C35" s="1">
        <v>45858</v>
      </c>
      <c r="D35" s="1" t="str">
        <f xml:space="preserve"> TEXT(FilmaxData[[#This Row],[Show_Date]],"MMM")</f>
        <v>Jul</v>
      </c>
      <c r="E35" s="1" t="str">
        <f xml:space="preserve"> TEXT(FilmaxData[[#This Row],[Show_Date]],"DDD")</f>
        <v>Sun</v>
      </c>
      <c r="F35" t="s">
        <v>20</v>
      </c>
      <c r="G35" t="s">
        <v>17</v>
      </c>
      <c r="H35">
        <v>5</v>
      </c>
      <c r="I35">
        <v>12</v>
      </c>
      <c r="J35" t="s">
        <v>13</v>
      </c>
      <c r="K35" t="s">
        <v>25</v>
      </c>
      <c r="L35">
        <v>60</v>
      </c>
    </row>
    <row r="36" spans="1:12" x14ac:dyDescent="0.3">
      <c r="A36">
        <v>507</v>
      </c>
      <c r="B36" t="s">
        <v>19</v>
      </c>
      <c r="C36" s="1">
        <v>45913</v>
      </c>
      <c r="D36" s="1" t="str">
        <f xml:space="preserve"> TEXT(FilmaxData[[#This Row],[Show_Date]],"MMM")</f>
        <v>Sep</v>
      </c>
      <c r="E36" s="1" t="str">
        <f xml:space="preserve"> TEXT(FilmaxData[[#This Row],[Show_Date]],"DDD")</f>
        <v>Sat</v>
      </c>
      <c r="F36" t="s">
        <v>20</v>
      </c>
      <c r="G36" t="s">
        <v>22</v>
      </c>
      <c r="H36">
        <v>1</v>
      </c>
      <c r="I36">
        <v>20</v>
      </c>
      <c r="J36" t="s">
        <v>13</v>
      </c>
      <c r="K36" t="s">
        <v>14</v>
      </c>
      <c r="L36">
        <v>20</v>
      </c>
    </row>
    <row r="37" spans="1:12" x14ac:dyDescent="0.3">
      <c r="A37">
        <v>370</v>
      </c>
      <c r="B37" t="s">
        <v>28</v>
      </c>
      <c r="C37" s="1">
        <v>45841</v>
      </c>
      <c r="D37" s="1" t="str">
        <f xml:space="preserve"> TEXT(FilmaxData[[#This Row],[Show_Date]],"MMM")</f>
        <v>Jul</v>
      </c>
      <c r="E37" s="1" t="str">
        <f xml:space="preserve"> TEXT(FilmaxData[[#This Row],[Show_Date]],"DDD")</f>
        <v>Thu</v>
      </c>
      <c r="F37" t="s">
        <v>20</v>
      </c>
      <c r="G37" t="s">
        <v>30</v>
      </c>
      <c r="H37">
        <v>4</v>
      </c>
      <c r="I37">
        <v>8</v>
      </c>
      <c r="J37" t="s">
        <v>23</v>
      </c>
      <c r="K37" t="s">
        <v>27</v>
      </c>
      <c r="L37">
        <v>32</v>
      </c>
    </row>
    <row r="38" spans="1:12" x14ac:dyDescent="0.3">
      <c r="A38">
        <v>1191</v>
      </c>
      <c r="B38" t="s">
        <v>32</v>
      </c>
      <c r="C38" s="1">
        <v>45921</v>
      </c>
      <c r="D38" s="1" t="str">
        <f xml:space="preserve"> TEXT(FilmaxData[[#This Row],[Show_Date]],"MMM")</f>
        <v>Sep</v>
      </c>
      <c r="E38" s="1" t="str">
        <f xml:space="preserve"> TEXT(FilmaxData[[#This Row],[Show_Date]],"DDD")</f>
        <v>Sun</v>
      </c>
      <c r="F38" t="s">
        <v>20</v>
      </c>
      <c r="G38" t="s">
        <v>17</v>
      </c>
      <c r="H38">
        <v>1</v>
      </c>
      <c r="I38">
        <v>12</v>
      </c>
      <c r="J38" t="s">
        <v>23</v>
      </c>
      <c r="K38" t="s">
        <v>27</v>
      </c>
      <c r="L38">
        <v>12</v>
      </c>
    </row>
    <row r="39" spans="1:12" x14ac:dyDescent="0.3">
      <c r="A39">
        <v>316</v>
      </c>
      <c r="B39" t="s">
        <v>19</v>
      </c>
      <c r="C39" s="1">
        <v>45856</v>
      </c>
      <c r="D39" s="1" t="str">
        <f xml:space="preserve"> TEXT(FilmaxData[[#This Row],[Show_Date]],"MMM")</f>
        <v>Jul</v>
      </c>
      <c r="E39" s="1" t="str">
        <f xml:space="preserve"> TEXT(FilmaxData[[#This Row],[Show_Date]],"DDD")</f>
        <v>Fri</v>
      </c>
      <c r="F39" t="s">
        <v>33</v>
      </c>
      <c r="G39" t="s">
        <v>17</v>
      </c>
      <c r="H39">
        <v>3</v>
      </c>
      <c r="I39">
        <v>12</v>
      </c>
      <c r="J39" t="s">
        <v>23</v>
      </c>
      <c r="K39" t="s">
        <v>18</v>
      </c>
      <c r="L39">
        <v>36</v>
      </c>
    </row>
    <row r="40" spans="1:12" x14ac:dyDescent="0.3">
      <c r="A40">
        <v>1172</v>
      </c>
      <c r="B40" t="s">
        <v>32</v>
      </c>
      <c r="C40" s="1">
        <v>45843</v>
      </c>
      <c r="D40" s="1" t="str">
        <f xml:space="preserve"> TEXT(FilmaxData[[#This Row],[Show_Date]],"MMM")</f>
        <v>Jul</v>
      </c>
      <c r="E40" s="1" t="str">
        <f xml:space="preserve"> TEXT(FilmaxData[[#This Row],[Show_Date]],"DDD")</f>
        <v>Sat</v>
      </c>
      <c r="F40" t="s">
        <v>11</v>
      </c>
      <c r="G40" t="s">
        <v>17</v>
      </c>
      <c r="H40">
        <v>1</v>
      </c>
      <c r="I40">
        <v>12</v>
      </c>
      <c r="J40" t="s">
        <v>23</v>
      </c>
      <c r="K40" t="s">
        <v>18</v>
      </c>
      <c r="L40">
        <v>12</v>
      </c>
    </row>
    <row r="41" spans="1:12" x14ac:dyDescent="0.3">
      <c r="A41">
        <v>184</v>
      </c>
      <c r="B41" t="s">
        <v>32</v>
      </c>
      <c r="C41" s="1">
        <v>45928</v>
      </c>
      <c r="D41" s="1" t="str">
        <f xml:space="preserve"> TEXT(FilmaxData[[#This Row],[Show_Date]],"MMM")</f>
        <v>Sep</v>
      </c>
      <c r="E41" s="1" t="str">
        <f xml:space="preserve"> TEXT(FilmaxData[[#This Row],[Show_Date]],"DDD")</f>
        <v>Sun</v>
      </c>
      <c r="F41" t="s">
        <v>11</v>
      </c>
      <c r="G41" t="s">
        <v>17</v>
      </c>
      <c r="H41">
        <v>2</v>
      </c>
      <c r="I41">
        <v>12</v>
      </c>
      <c r="J41" t="s">
        <v>23</v>
      </c>
      <c r="K41" t="s">
        <v>25</v>
      </c>
      <c r="L41">
        <v>24</v>
      </c>
    </row>
    <row r="42" spans="1:12" x14ac:dyDescent="0.3">
      <c r="A42">
        <v>1766</v>
      </c>
      <c r="B42" t="s">
        <v>19</v>
      </c>
      <c r="C42" s="1">
        <v>45918</v>
      </c>
      <c r="D42" s="1" t="str">
        <f xml:space="preserve"> TEXT(FilmaxData[[#This Row],[Show_Date]],"MMM")</f>
        <v>Sep</v>
      </c>
      <c r="E42" s="1" t="str">
        <f xml:space="preserve"> TEXT(FilmaxData[[#This Row],[Show_Date]],"DDD")</f>
        <v>Thu</v>
      </c>
      <c r="F42" t="s">
        <v>11</v>
      </c>
      <c r="G42" t="s">
        <v>17</v>
      </c>
      <c r="H42">
        <v>1</v>
      </c>
      <c r="I42">
        <v>12</v>
      </c>
      <c r="J42" t="s">
        <v>23</v>
      </c>
      <c r="K42" t="s">
        <v>14</v>
      </c>
      <c r="L42">
        <v>12</v>
      </c>
    </row>
    <row r="43" spans="1:12" x14ac:dyDescent="0.3">
      <c r="A43">
        <v>1073</v>
      </c>
      <c r="B43" t="s">
        <v>26</v>
      </c>
      <c r="C43" s="1">
        <v>45885</v>
      </c>
      <c r="D43" s="1" t="str">
        <f xml:space="preserve"> TEXT(FilmaxData[[#This Row],[Show_Date]],"MMM")</f>
        <v>Aug</v>
      </c>
      <c r="E43" s="1" t="str">
        <f xml:space="preserve"> TEXT(FilmaxData[[#This Row],[Show_Date]],"DDD")</f>
        <v>Sat</v>
      </c>
      <c r="F43" t="s">
        <v>11</v>
      </c>
      <c r="G43" t="s">
        <v>17</v>
      </c>
      <c r="H43">
        <v>2</v>
      </c>
      <c r="I43">
        <v>12</v>
      </c>
      <c r="J43" t="s">
        <v>21</v>
      </c>
      <c r="K43" t="s">
        <v>14</v>
      </c>
      <c r="L43">
        <v>24</v>
      </c>
    </row>
    <row r="44" spans="1:12" x14ac:dyDescent="0.3">
      <c r="A44">
        <v>826</v>
      </c>
      <c r="B44" t="s">
        <v>31</v>
      </c>
      <c r="C44" s="1">
        <v>45865</v>
      </c>
      <c r="D44" s="1" t="str">
        <f xml:space="preserve"> TEXT(FilmaxData[[#This Row],[Show_Date]],"MMM")</f>
        <v>Jul</v>
      </c>
      <c r="E44" s="1" t="str">
        <f xml:space="preserve"> TEXT(FilmaxData[[#This Row],[Show_Date]],"DDD")</f>
        <v>Sun</v>
      </c>
      <c r="F44" t="s">
        <v>11</v>
      </c>
      <c r="G44" t="s">
        <v>22</v>
      </c>
      <c r="H44">
        <v>1</v>
      </c>
      <c r="I44">
        <v>20</v>
      </c>
      <c r="J44" t="s">
        <v>13</v>
      </c>
      <c r="K44" t="s">
        <v>14</v>
      </c>
      <c r="L44">
        <v>20</v>
      </c>
    </row>
    <row r="45" spans="1:12" x14ac:dyDescent="0.3">
      <c r="A45">
        <v>1446</v>
      </c>
      <c r="B45" t="s">
        <v>24</v>
      </c>
      <c r="C45" s="1">
        <v>45883</v>
      </c>
      <c r="D45" s="1" t="str">
        <f xml:space="preserve"> TEXT(FilmaxData[[#This Row],[Show_Date]],"MMM")</f>
        <v>Aug</v>
      </c>
      <c r="E45" s="1" t="str">
        <f xml:space="preserve"> TEXT(FilmaxData[[#This Row],[Show_Date]],"DDD")</f>
        <v>Thu</v>
      </c>
      <c r="F45" t="s">
        <v>11</v>
      </c>
      <c r="G45" t="s">
        <v>12</v>
      </c>
      <c r="H45">
        <v>5</v>
      </c>
      <c r="I45">
        <v>25</v>
      </c>
      <c r="J45" t="s">
        <v>23</v>
      </c>
      <c r="K45" t="s">
        <v>18</v>
      </c>
      <c r="L45">
        <v>125</v>
      </c>
    </row>
    <row r="46" spans="1:12" x14ac:dyDescent="0.3">
      <c r="A46">
        <v>50</v>
      </c>
      <c r="B46" t="s">
        <v>10</v>
      </c>
      <c r="C46" s="1">
        <v>45899</v>
      </c>
      <c r="D46" s="1" t="str">
        <f xml:space="preserve"> TEXT(FilmaxData[[#This Row],[Show_Date]],"MMM")</f>
        <v>Aug</v>
      </c>
      <c r="E46" s="1" t="str">
        <f xml:space="preserve"> TEXT(FilmaxData[[#This Row],[Show_Date]],"DDD")</f>
        <v>Sat</v>
      </c>
      <c r="F46" t="s">
        <v>11</v>
      </c>
      <c r="G46" t="s">
        <v>17</v>
      </c>
      <c r="H46">
        <v>3</v>
      </c>
      <c r="I46">
        <v>12</v>
      </c>
      <c r="J46" t="s">
        <v>21</v>
      </c>
      <c r="K46" t="s">
        <v>18</v>
      </c>
      <c r="L46">
        <v>36</v>
      </c>
    </row>
    <row r="47" spans="1:12" x14ac:dyDescent="0.3">
      <c r="A47">
        <v>874</v>
      </c>
      <c r="B47" t="s">
        <v>24</v>
      </c>
      <c r="C47" s="1">
        <v>45886</v>
      </c>
      <c r="D47" s="1" t="str">
        <f xml:space="preserve"> TEXT(FilmaxData[[#This Row],[Show_Date]],"MMM")</f>
        <v>Aug</v>
      </c>
      <c r="E47" s="1" t="str">
        <f xml:space="preserve"> TEXT(FilmaxData[[#This Row],[Show_Date]],"DDD")</f>
        <v>Sun</v>
      </c>
      <c r="F47" t="s">
        <v>11</v>
      </c>
      <c r="G47" t="s">
        <v>17</v>
      </c>
      <c r="H47">
        <v>4</v>
      </c>
      <c r="I47">
        <v>12</v>
      </c>
      <c r="J47" t="s">
        <v>13</v>
      </c>
      <c r="K47" t="s">
        <v>18</v>
      </c>
      <c r="L47">
        <v>48</v>
      </c>
    </row>
    <row r="48" spans="1:12" x14ac:dyDescent="0.3">
      <c r="A48">
        <v>749</v>
      </c>
      <c r="B48" t="s">
        <v>24</v>
      </c>
      <c r="C48" s="1">
        <v>45920</v>
      </c>
      <c r="D48" s="1" t="str">
        <f xml:space="preserve"> TEXT(FilmaxData[[#This Row],[Show_Date]],"MMM")</f>
        <v>Sep</v>
      </c>
      <c r="E48" s="1" t="str">
        <f xml:space="preserve"> TEXT(FilmaxData[[#This Row],[Show_Date]],"DDD")</f>
        <v>Sat</v>
      </c>
      <c r="F48" t="s">
        <v>11</v>
      </c>
      <c r="G48" t="s">
        <v>22</v>
      </c>
      <c r="H48">
        <v>5</v>
      </c>
      <c r="I48">
        <v>20</v>
      </c>
      <c r="J48" t="s">
        <v>13</v>
      </c>
      <c r="K48" t="s">
        <v>14</v>
      </c>
      <c r="L48">
        <v>100</v>
      </c>
    </row>
    <row r="49" spans="1:12" x14ac:dyDescent="0.3">
      <c r="A49">
        <v>1011</v>
      </c>
      <c r="B49" t="s">
        <v>15</v>
      </c>
      <c r="C49" s="1">
        <v>45900</v>
      </c>
      <c r="D49" s="1" t="str">
        <f xml:space="preserve"> TEXT(FilmaxData[[#This Row],[Show_Date]],"MMM")</f>
        <v>Aug</v>
      </c>
      <c r="E49" s="1" t="str">
        <f xml:space="preserve"> TEXT(FilmaxData[[#This Row],[Show_Date]],"DDD")</f>
        <v>Sun</v>
      </c>
      <c r="F49" t="s">
        <v>11</v>
      </c>
      <c r="G49" t="s">
        <v>12</v>
      </c>
      <c r="H49">
        <v>1</v>
      </c>
      <c r="I49">
        <v>25</v>
      </c>
      <c r="J49" t="s">
        <v>21</v>
      </c>
      <c r="K49" t="s">
        <v>27</v>
      </c>
      <c r="L49">
        <v>25</v>
      </c>
    </row>
    <row r="50" spans="1:12" x14ac:dyDescent="0.3">
      <c r="A50">
        <v>897</v>
      </c>
      <c r="B50" t="s">
        <v>10</v>
      </c>
      <c r="C50" s="1">
        <v>45886</v>
      </c>
      <c r="D50" s="1" t="str">
        <f xml:space="preserve"> TEXT(FilmaxData[[#This Row],[Show_Date]],"MMM")</f>
        <v>Aug</v>
      </c>
      <c r="E50" s="1" t="str">
        <f xml:space="preserve"> TEXT(FilmaxData[[#This Row],[Show_Date]],"DDD")</f>
        <v>Sun</v>
      </c>
      <c r="F50" t="s">
        <v>11</v>
      </c>
      <c r="G50" t="s">
        <v>12</v>
      </c>
      <c r="H50">
        <v>5</v>
      </c>
      <c r="I50">
        <v>25</v>
      </c>
      <c r="J50" t="s">
        <v>21</v>
      </c>
      <c r="K50" t="s">
        <v>14</v>
      </c>
      <c r="L50">
        <v>125</v>
      </c>
    </row>
    <row r="51" spans="1:12" x14ac:dyDescent="0.3">
      <c r="A51">
        <v>38</v>
      </c>
      <c r="B51" t="s">
        <v>24</v>
      </c>
      <c r="C51" s="1">
        <v>45865</v>
      </c>
      <c r="D51" s="1" t="str">
        <f xml:space="preserve"> TEXT(FilmaxData[[#This Row],[Show_Date]],"MMM")</f>
        <v>Jul</v>
      </c>
      <c r="E51" s="1" t="str">
        <f xml:space="preserve"> TEXT(FilmaxData[[#This Row],[Show_Date]],"DDD")</f>
        <v>Sun</v>
      </c>
      <c r="F51" t="s">
        <v>11</v>
      </c>
      <c r="G51" t="s">
        <v>17</v>
      </c>
      <c r="H51">
        <v>2</v>
      </c>
      <c r="I51">
        <v>12</v>
      </c>
      <c r="J51" t="s">
        <v>21</v>
      </c>
      <c r="K51" t="s">
        <v>27</v>
      </c>
      <c r="L51">
        <v>24</v>
      </c>
    </row>
    <row r="52" spans="1:12" x14ac:dyDescent="0.3">
      <c r="A52">
        <v>406</v>
      </c>
      <c r="B52" t="s">
        <v>24</v>
      </c>
      <c r="C52" s="1">
        <v>45898</v>
      </c>
      <c r="D52" s="1" t="str">
        <f xml:space="preserve"> TEXT(FilmaxData[[#This Row],[Show_Date]],"MMM")</f>
        <v>Aug</v>
      </c>
      <c r="E52" s="1" t="str">
        <f xml:space="preserve"> TEXT(FilmaxData[[#This Row],[Show_Date]],"DDD")</f>
        <v>Fri</v>
      </c>
      <c r="F52" t="s">
        <v>11</v>
      </c>
      <c r="G52" t="s">
        <v>12</v>
      </c>
      <c r="H52">
        <v>5</v>
      </c>
      <c r="I52">
        <v>25</v>
      </c>
      <c r="J52" t="s">
        <v>23</v>
      </c>
      <c r="K52" t="s">
        <v>27</v>
      </c>
      <c r="L52">
        <v>125</v>
      </c>
    </row>
    <row r="53" spans="1:12" x14ac:dyDescent="0.3">
      <c r="A53">
        <v>337</v>
      </c>
      <c r="B53" t="s">
        <v>24</v>
      </c>
      <c r="C53" s="1">
        <v>45908</v>
      </c>
      <c r="D53" s="1" t="str">
        <f xml:space="preserve"> TEXT(FilmaxData[[#This Row],[Show_Date]],"MMM")</f>
        <v>Sep</v>
      </c>
      <c r="E53" s="1" t="str">
        <f xml:space="preserve"> TEXT(FilmaxData[[#This Row],[Show_Date]],"DDD")</f>
        <v>Mon</v>
      </c>
      <c r="F53" t="s">
        <v>11</v>
      </c>
      <c r="G53" t="s">
        <v>17</v>
      </c>
      <c r="H53">
        <v>2</v>
      </c>
      <c r="I53">
        <v>12</v>
      </c>
      <c r="J53" t="s">
        <v>13</v>
      </c>
      <c r="K53" t="s">
        <v>14</v>
      </c>
      <c r="L53">
        <v>24</v>
      </c>
    </row>
    <row r="54" spans="1:12" x14ac:dyDescent="0.3">
      <c r="A54">
        <v>912</v>
      </c>
      <c r="B54" t="s">
        <v>24</v>
      </c>
      <c r="C54" s="1">
        <v>45893</v>
      </c>
      <c r="D54" s="1" t="str">
        <f xml:space="preserve"> TEXT(FilmaxData[[#This Row],[Show_Date]],"MMM")</f>
        <v>Aug</v>
      </c>
      <c r="E54" s="1" t="str">
        <f xml:space="preserve"> TEXT(FilmaxData[[#This Row],[Show_Date]],"DDD")</f>
        <v>Sun</v>
      </c>
      <c r="F54" t="s">
        <v>33</v>
      </c>
      <c r="G54" t="s">
        <v>17</v>
      </c>
      <c r="H54">
        <v>1</v>
      </c>
      <c r="I54">
        <v>12</v>
      </c>
      <c r="J54" t="s">
        <v>21</v>
      </c>
      <c r="K54" t="s">
        <v>14</v>
      </c>
      <c r="L54">
        <v>12</v>
      </c>
    </row>
    <row r="55" spans="1:12" x14ac:dyDescent="0.3">
      <c r="A55">
        <v>1492</v>
      </c>
      <c r="B55" t="s">
        <v>24</v>
      </c>
      <c r="C55" s="1">
        <v>45927</v>
      </c>
      <c r="D55" s="1" t="str">
        <f xml:space="preserve"> TEXT(FilmaxData[[#This Row],[Show_Date]],"MMM")</f>
        <v>Sep</v>
      </c>
      <c r="E55" s="1" t="str">
        <f xml:space="preserve"> TEXT(FilmaxData[[#This Row],[Show_Date]],"DDD")</f>
        <v>Sat</v>
      </c>
      <c r="F55" t="s">
        <v>33</v>
      </c>
      <c r="G55" t="s">
        <v>12</v>
      </c>
      <c r="H55">
        <v>5</v>
      </c>
      <c r="I55">
        <v>25</v>
      </c>
      <c r="J55" t="s">
        <v>21</v>
      </c>
      <c r="K55" t="s">
        <v>14</v>
      </c>
      <c r="L55">
        <v>125</v>
      </c>
    </row>
    <row r="56" spans="1:12" x14ac:dyDescent="0.3">
      <c r="A56">
        <v>736</v>
      </c>
      <c r="B56" t="s">
        <v>24</v>
      </c>
      <c r="C56" s="1">
        <v>45901</v>
      </c>
      <c r="D56" s="1" t="str">
        <f xml:space="preserve"> TEXT(FilmaxData[[#This Row],[Show_Date]],"MMM")</f>
        <v>Sep</v>
      </c>
      <c r="E56" s="1" t="str">
        <f xml:space="preserve"> TEXT(FilmaxData[[#This Row],[Show_Date]],"DDD")</f>
        <v>Mon</v>
      </c>
      <c r="F56" t="s">
        <v>20</v>
      </c>
      <c r="G56" t="s">
        <v>30</v>
      </c>
      <c r="H56">
        <v>5</v>
      </c>
      <c r="I56">
        <v>8</v>
      </c>
      <c r="J56" t="s">
        <v>21</v>
      </c>
      <c r="K56" t="s">
        <v>25</v>
      </c>
      <c r="L56">
        <v>40</v>
      </c>
    </row>
    <row r="57" spans="1:12" x14ac:dyDescent="0.3">
      <c r="A57">
        <v>1742</v>
      </c>
      <c r="B57" t="s">
        <v>24</v>
      </c>
      <c r="C57" s="1">
        <v>45928</v>
      </c>
      <c r="D57" s="1" t="str">
        <f xml:space="preserve"> TEXT(FilmaxData[[#This Row],[Show_Date]],"MMM")</f>
        <v>Sep</v>
      </c>
      <c r="E57" s="1" t="str">
        <f xml:space="preserve"> TEXT(FilmaxData[[#This Row],[Show_Date]],"DDD")</f>
        <v>Sun</v>
      </c>
      <c r="F57" t="s">
        <v>20</v>
      </c>
      <c r="G57" t="s">
        <v>22</v>
      </c>
      <c r="H57">
        <v>2</v>
      </c>
      <c r="I57">
        <v>20</v>
      </c>
      <c r="J57" t="s">
        <v>21</v>
      </c>
      <c r="K57" t="s">
        <v>25</v>
      </c>
      <c r="L57">
        <v>40</v>
      </c>
    </row>
    <row r="58" spans="1:12" x14ac:dyDescent="0.3">
      <c r="A58">
        <v>164</v>
      </c>
      <c r="B58" t="s">
        <v>24</v>
      </c>
      <c r="C58" s="1">
        <v>45878</v>
      </c>
      <c r="D58" s="1" t="str">
        <f xml:space="preserve"> TEXT(FilmaxData[[#This Row],[Show_Date]],"MMM")</f>
        <v>Aug</v>
      </c>
      <c r="E58" s="1" t="str">
        <f xml:space="preserve"> TEXT(FilmaxData[[#This Row],[Show_Date]],"DDD")</f>
        <v>Sat</v>
      </c>
      <c r="F58" t="s">
        <v>16</v>
      </c>
      <c r="G58" t="s">
        <v>22</v>
      </c>
      <c r="H58">
        <v>5</v>
      </c>
      <c r="I58">
        <v>20</v>
      </c>
      <c r="J58" t="s">
        <v>23</v>
      </c>
      <c r="K58" t="s">
        <v>14</v>
      </c>
      <c r="L58">
        <v>100</v>
      </c>
    </row>
    <row r="59" spans="1:12" x14ac:dyDescent="0.3">
      <c r="A59">
        <v>1987</v>
      </c>
      <c r="B59" t="s">
        <v>24</v>
      </c>
      <c r="C59" s="1">
        <v>45904</v>
      </c>
      <c r="D59" s="1" t="str">
        <f xml:space="preserve"> TEXT(FilmaxData[[#This Row],[Show_Date]],"MMM")</f>
        <v>Sep</v>
      </c>
      <c r="E59" s="1" t="str">
        <f xml:space="preserve"> TEXT(FilmaxData[[#This Row],[Show_Date]],"DDD")</f>
        <v>Thu</v>
      </c>
      <c r="F59" t="s">
        <v>16</v>
      </c>
      <c r="G59" t="s">
        <v>17</v>
      </c>
      <c r="H59">
        <v>2</v>
      </c>
      <c r="I59">
        <v>12</v>
      </c>
      <c r="J59" t="s">
        <v>13</v>
      </c>
      <c r="K59" t="s">
        <v>14</v>
      </c>
      <c r="L59">
        <v>24</v>
      </c>
    </row>
    <row r="60" spans="1:12" x14ac:dyDescent="0.3">
      <c r="A60">
        <v>85</v>
      </c>
      <c r="B60" t="s">
        <v>24</v>
      </c>
      <c r="C60" s="1">
        <v>45912</v>
      </c>
      <c r="D60" s="1" t="str">
        <f xml:space="preserve"> TEXT(FilmaxData[[#This Row],[Show_Date]],"MMM")</f>
        <v>Sep</v>
      </c>
      <c r="E60" s="1" t="str">
        <f xml:space="preserve"> TEXT(FilmaxData[[#This Row],[Show_Date]],"DDD")</f>
        <v>Fri</v>
      </c>
      <c r="F60" t="s">
        <v>16</v>
      </c>
      <c r="G60" t="s">
        <v>12</v>
      </c>
      <c r="H60">
        <v>3</v>
      </c>
      <c r="I60">
        <v>25</v>
      </c>
      <c r="J60" t="s">
        <v>23</v>
      </c>
      <c r="K60" t="s">
        <v>18</v>
      </c>
      <c r="L60">
        <v>75</v>
      </c>
    </row>
    <row r="61" spans="1:12" x14ac:dyDescent="0.3">
      <c r="A61">
        <v>1892</v>
      </c>
      <c r="B61" t="s">
        <v>24</v>
      </c>
      <c r="C61" s="1">
        <v>45898</v>
      </c>
      <c r="D61" s="1" t="str">
        <f xml:space="preserve"> TEXT(FilmaxData[[#This Row],[Show_Date]],"MMM")</f>
        <v>Aug</v>
      </c>
      <c r="E61" s="1" t="str">
        <f xml:space="preserve"> TEXT(FilmaxData[[#This Row],[Show_Date]],"DDD")</f>
        <v>Fri</v>
      </c>
      <c r="F61" t="s">
        <v>11</v>
      </c>
      <c r="G61" t="s">
        <v>12</v>
      </c>
      <c r="H61">
        <v>2</v>
      </c>
      <c r="I61">
        <v>25</v>
      </c>
      <c r="J61" t="s">
        <v>13</v>
      </c>
      <c r="K61" t="s">
        <v>14</v>
      </c>
      <c r="L61">
        <v>50</v>
      </c>
    </row>
    <row r="62" spans="1:12" x14ac:dyDescent="0.3">
      <c r="A62">
        <v>1518</v>
      </c>
      <c r="B62" t="s">
        <v>24</v>
      </c>
      <c r="C62" s="1">
        <v>45902</v>
      </c>
      <c r="D62" s="1" t="str">
        <f xml:space="preserve"> TEXT(FilmaxData[[#This Row],[Show_Date]],"MMM")</f>
        <v>Sep</v>
      </c>
      <c r="E62" s="1" t="str">
        <f xml:space="preserve"> TEXT(FilmaxData[[#This Row],[Show_Date]],"DDD")</f>
        <v>Tue</v>
      </c>
      <c r="F62" t="s">
        <v>11</v>
      </c>
      <c r="G62" t="s">
        <v>17</v>
      </c>
      <c r="H62">
        <v>1</v>
      </c>
      <c r="I62">
        <v>12</v>
      </c>
      <c r="J62" t="s">
        <v>21</v>
      </c>
      <c r="K62" t="s">
        <v>14</v>
      </c>
      <c r="L62">
        <v>12</v>
      </c>
    </row>
    <row r="63" spans="1:12" x14ac:dyDescent="0.3">
      <c r="A63">
        <v>326</v>
      </c>
      <c r="B63" t="s">
        <v>24</v>
      </c>
      <c r="C63" s="1">
        <v>45853</v>
      </c>
      <c r="D63" s="1" t="str">
        <f xml:space="preserve"> TEXT(FilmaxData[[#This Row],[Show_Date]],"MMM")</f>
        <v>Jul</v>
      </c>
      <c r="E63" s="1" t="str">
        <f xml:space="preserve"> TEXT(FilmaxData[[#This Row],[Show_Date]],"DDD")</f>
        <v>Tue</v>
      </c>
      <c r="F63" t="s">
        <v>11</v>
      </c>
      <c r="G63" t="s">
        <v>29</v>
      </c>
      <c r="H63">
        <v>1</v>
      </c>
      <c r="I63">
        <v>30</v>
      </c>
      <c r="J63" t="s">
        <v>21</v>
      </c>
      <c r="K63" t="s">
        <v>25</v>
      </c>
      <c r="L63">
        <v>30</v>
      </c>
    </row>
    <row r="64" spans="1:12" x14ac:dyDescent="0.3">
      <c r="A64">
        <v>792</v>
      </c>
      <c r="B64" t="s">
        <v>24</v>
      </c>
      <c r="C64" s="1">
        <v>45858</v>
      </c>
      <c r="D64" s="1" t="str">
        <f xml:space="preserve"> TEXT(FilmaxData[[#This Row],[Show_Date]],"MMM")</f>
        <v>Jul</v>
      </c>
      <c r="E64" s="1" t="str">
        <f xml:space="preserve"> TEXT(FilmaxData[[#This Row],[Show_Date]],"DDD")</f>
        <v>Sun</v>
      </c>
      <c r="F64" t="s">
        <v>11</v>
      </c>
      <c r="G64" t="s">
        <v>29</v>
      </c>
      <c r="H64">
        <v>1</v>
      </c>
      <c r="I64">
        <v>30</v>
      </c>
      <c r="J64" t="s">
        <v>13</v>
      </c>
      <c r="K64" t="s">
        <v>27</v>
      </c>
      <c r="L64">
        <v>30</v>
      </c>
    </row>
    <row r="65" spans="1:12" x14ac:dyDescent="0.3">
      <c r="A65">
        <v>1532</v>
      </c>
      <c r="B65" t="s">
        <v>24</v>
      </c>
      <c r="C65" s="1">
        <v>45921</v>
      </c>
      <c r="D65" s="1" t="str">
        <f xml:space="preserve"> TEXT(FilmaxData[[#This Row],[Show_Date]],"MMM")</f>
        <v>Sep</v>
      </c>
      <c r="E65" s="1" t="str">
        <f xml:space="preserve"> TEXT(FilmaxData[[#This Row],[Show_Date]],"DDD")</f>
        <v>Sun</v>
      </c>
      <c r="F65" t="s">
        <v>11</v>
      </c>
      <c r="G65" t="s">
        <v>30</v>
      </c>
      <c r="H65">
        <v>2</v>
      </c>
      <c r="I65">
        <v>8</v>
      </c>
      <c r="J65" t="s">
        <v>23</v>
      </c>
      <c r="K65" t="s">
        <v>14</v>
      </c>
      <c r="L65">
        <v>16</v>
      </c>
    </row>
    <row r="66" spans="1:12" x14ac:dyDescent="0.3">
      <c r="A66">
        <v>910</v>
      </c>
      <c r="B66" t="s">
        <v>24</v>
      </c>
      <c r="C66" s="1">
        <v>45862</v>
      </c>
      <c r="D66" s="1" t="str">
        <f xml:space="preserve"> TEXT(FilmaxData[[#This Row],[Show_Date]],"MMM")</f>
        <v>Jul</v>
      </c>
      <c r="E66" s="1" t="str">
        <f xml:space="preserve"> TEXT(FilmaxData[[#This Row],[Show_Date]],"DDD")</f>
        <v>Thu</v>
      </c>
      <c r="F66" t="s">
        <v>11</v>
      </c>
      <c r="G66" t="s">
        <v>17</v>
      </c>
      <c r="H66">
        <v>2</v>
      </c>
      <c r="I66">
        <v>12</v>
      </c>
      <c r="J66" t="s">
        <v>21</v>
      </c>
      <c r="K66" t="s">
        <v>27</v>
      </c>
      <c r="L66">
        <v>24</v>
      </c>
    </row>
    <row r="67" spans="1:12" x14ac:dyDescent="0.3">
      <c r="A67">
        <v>760</v>
      </c>
      <c r="B67" t="s">
        <v>24</v>
      </c>
      <c r="C67" s="1">
        <v>45880</v>
      </c>
      <c r="D67" s="1" t="str">
        <f xml:space="preserve"> TEXT(FilmaxData[[#This Row],[Show_Date]],"MMM")</f>
        <v>Aug</v>
      </c>
      <c r="E67" s="1" t="str">
        <f xml:space="preserve"> TEXT(FilmaxData[[#This Row],[Show_Date]],"DDD")</f>
        <v>Mon</v>
      </c>
      <c r="F67" t="s">
        <v>11</v>
      </c>
      <c r="G67" t="s">
        <v>17</v>
      </c>
      <c r="H67">
        <v>3</v>
      </c>
      <c r="I67">
        <v>12</v>
      </c>
      <c r="J67" t="s">
        <v>21</v>
      </c>
      <c r="K67" t="s">
        <v>18</v>
      </c>
      <c r="L67">
        <v>36</v>
      </c>
    </row>
    <row r="68" spans="1:12" x14ac:dyDescent="0.3">
      <c r="A68">
        <v>1854</v>
      </c>
      <c r="B68" t="s">
        <v>24</v>
      </c>
      <c r="C68" s="1">
        <v>45878</v>
      </c>
      <c r="D68" s="1" t="str">
        <f xml:space="preserve"> TEXT(FilmaxData[[#This Row],[Show_Date]],"MMM")</f>
        <v>Aug</v>
      </c>
      <c r="E68" s="1" t="str">
        <f xml:space="preserve"> TEXT(FilmaxData[[#This Row],[Show_Date]],"DDD")</f>
        <v>Sat</v>
      </c>
      <c r="F68" t="s">
        <v>11</v>
      </c>
      <c r="G68" t="s">
        <v>29</v>
      </c>
      <c r="H68">
        <v>4</v>
      </c>
      <c r="I68">
        <v>30</v>
      </c>
      <c r="J68" t="s">
        <v>23</v>
      </c>
      <c r="K68" t="s">
        <v>27</v>
      </c>
      <c r="L68">
        <v>120</v>
      </c>
    </row>
    <row r="69" spans="1:12" x14ac:dyDescent="0.3">
      <c r="A69">
        <v>225</v>
      </c>
      <c r="B69" t="s">
        <v>26</v>
      </c>
      <c r="C69" s="1">
        <v>45887</v>
      </c>
      <c r="D69" s="1" t="str">
        <f xml:space="preserve"> TEXT(FilmaxData[[#This Row],[Show_Date]],"MMM")</f>
        <v>Aug</v>
      </c>
      <c r="E69" s="1" t="str">
        <f xml:space="preserve"> TEXT(FilmaxData[[#This Row],[Show_Date]],"DDD")</f>
        <v>Mon</v>
      </c>
      <c r="F69" t="s">
        <v>16</v>
      </c>
      <c r="G69" t="s">
        <v>17</v>
      </c>
      <c r="H69">
        <v>1</v>
      </c>
      <c r="I69">
        <v>12</v>
      </c>
      <c r="J69" t="s">
        <v>23</v>
      </c>
      <c r="K69" t="s">
        <v>25</v>
      </c>
      <c r="L69">
        <v>12</v>
      </c>
    </row>
    <row r="70" spans="1:12" x14ac:dyDescent="0.3">
      <c r="A70">
        <v>31</v>
      </c>
      <c r="B70" t="s">
        <v>15</v>
      </c>
      <c r="C70" s="1">
        <v>45894</v>
      </c>
      <c r="D70" s="1" t="str">
        <f xml:space="preserve"> TEXT(FilmaxData[[#This Row],[Show_Date]],"MMM")</f>
        <v>Aug</v>
      </c>
      <c r="E70" s="1" t="str">
        <f xml:space="preserve"> TEXT(FilmaxData[[#This Row],[Show_Date]],"DDD")</f>
        <v>Mon</v>
      </c>
      <c r="F70" t="s">
        <v>11</v>
      </c>
      <c r="G70" t="s">
        <v>17</v>
      </c>
      <c r="H70">
        <v>4</v>
      </c>
      <c r="I70">
        <v>12</v>
      </c>
      <c r="J70" t="s">
        <v>23</v>
      </c>
      <c r="K70" t="s">
        <v>27</v>
      </c>
      <c r="L70">
        <v>48</v>
      </c>
    </row>
    <row r="71" spans="1:12" x14ac:dyDescent="0.3">
      <c r="A71">
        <v>1501</v>
      </c>
      <c r="B71" t="s">
        <v>32</v>
      </c>
      <c r="C71" s="1">
        <v>45907</v>
      </c>
      <c r="D71" s="1" t="str">
        <f xml:space="preserve"> TEXT(FilmaxData[[#This Row],[Show_Date]],"MMM")</f>
        <v>Sep</v>
      </c>
      <c r="E71" s="1" t="str">
        <f xml:space="preserve"> TEXT(FilmaxData[[#This Row],[Show_Date]],"DDD")</f>
        <v>Sun</v>
      </c>
      <c r="F71" t="s">
        <v>11</v>
      </c>
      <c r="G71" t="s">
        <v>17</v>
      </c>
      <c r="H71">
        <v>2</v>
      </c>
      <c r="I71">
        <v>12</v>
      </c>
      <c r="J71" t="s">
        <v>23</v>
      </c>
      <c r="K71" t="s">
        <v>27</v>
      </c>
      <c r="L71">
        <v>24</v>
      </c>
    </row>
    <row r="72" spans="1:12" x14ac:dyDescent="0.3">
      <c r="A72">
        <v>1818</v>
      </c>
      <c r="B72" t="s">
        <v>28</v>
      </c>
      <c r="C72" s="1">
        <v>45890</v>
      </c>
      <c r="D72" s="1" t="str">
        <f xml:space="preserve"> TEXT(FilmaxData[[#This Row],[Show_Date]],"MMM")</f>
        <v>Aug</v>
      </c>
      <c r="E72" s="1" t="str">
        <f xml:space="preserve"> TEXT(FilmaxData[[#This Row],[Show_Date]],"DDD")</f>
        <v>Thu</v>
      </c>
      <c r="F72" t="s">
        <v>16</v>
      </c>
      <c r="G72" t="s">
        <v>22</v>
      </c>
      <c r="H72">
        <v>2</v>
      </c>
      <c r="I72">
        <v>20</v>
      </c>
      <c r="J72" t="s">
        <v>23</v>
      </c>
      <c r="K72" t="s">
        <v>27</v>
      </c>
      <c r="L72">
        <v>40</v>
      </c>
    </row>
    <row r="73" spans="1:12" x14ac:dyDescent="0.3">
      <c r="A73">
        <v>129</v>
      </c>
      <c r="B73" t="s">
        <v>31</v>
      </c>
      <c r="C73" s="1">
        <v>45905</v>
      </c>
      <c r="D73" s="1" t="str">
        <f xml:space="preserve"> TEXT(FilmaxData[[#This Row],[Show_Date]],"MMM")</f>
        <v>Sep</v>
      </c>
      <c r="E73" s="1" t="str">
        <f xml:space="preserve"> TEXT(FilmaxData[[#This Row],[Show_Date]],"DDD")</f>
        <v>Fri</v>
      </c>
      <c r="F73" t="s">
        <v>11</v>
      </c>
      <c r="G73" t="s">
        <v>22</v>
      </c>
      <c r="H73">
        <v>1</v>
      </c>
      <c r="I73">
        <v>20</v>
      </c>
      <c r="J73" t="s">
        <v>23</v>
      </c>
      <c r="K73" t="s">
        <v>25</v>
      </c>
      <c r="L73">
        <v>20</v>
      </c>
    </row>
    <row r="74" spans="1:12" x14ac:dyDescent="0.3">
      <c r="A74">
        <v>345</v>
      </c>
      <c r="B74" t="s">
        <v>32</v>
      </c>
      <c r="C74" s="1">
        <v>45882</v>
      </c>
      <c r="D74" s="1" t="str">
        <f xml:space="preserve"> TEXT(FilmaxData[[#This Row],[Show_Date]],"MMM")</f>
        <v>Aug</v>
      </c>
      <c r="E74" s="1" t="str">
        <f xml:space="preserve"> TEXT(FilmaxData[[#This Row],[Show_Date]],"DDD")</f>
        <v>Wed</v>
      </c>
      <c r="F74" t="s">
        <v>33</v>
      </c>
      <c r="G74" t="s">
        <v>29</v>
      </c>
      <c r="H74">
        <v>2</v>
      </c>
      <c r="I74">
        <v>30</v>
      </c>
      <c r="J74" t="s">
        <v>23</v>
      </c>
      <c r="K74" t="s">
        <v>14</v>
      </c>
      <c r="L74">
        <v>60</v>
      </c>
    </row>
    <row r="75" spans="1:12" x14ac:dyDescent="0.3">
      <c r="A75">
        <v>648</v>
      </c>
      <c r="B75" t="s">
        <v>24</v>
      </c>
      <c r="C75" s="1">
        <v>45893</v>
      </c>
      <c r="D75" s="1" t="str">
        <f xml:space="preserve"> TEXT(FilmaxData[[#This Row],[Show_Date]],"MMM")</f>
        <v>Aug</v>
      </c>
      <c r="E75" s="1" t="str">
        <f xml:space="preserve"> TEXT(FilmaxData[[#This Row],[Show_Date]],"DDD")</f>
        <v>Sun</v>
      </c>
      <c r="F75" t="s">
        <v>11</v>
      </c>
      <c r="G75" t="s">
        <v>12</v>
      </c>
      <c r="H75">
        <v>2</v>
      </c>
      <c r="I75">
        <v>25</v>
      </c>
      <c r="J75" t="s">
        <v>21</v>
      </c>
      <c r="K75" t="s">
        <v>18</v>
      </c>
      <c r="L75">
        <v>50</v>
      </c>
    </row>
    <row r="76" spans="1:12" x14ac:dyDescent="0.3">
      <c r="A76">
        <v>1646</v>
      </c>
      <c r="B76" t="s">
        <v>32</v>
      </c>
      <c r="C76" s="1">
        <v>45871</v>
      </c>
      <c r="D76" s="1" t="str">
        <f xml:space="preserve"> TEXT(FilmaxData[[#This Row],[Show_Date]],"MMM")</f>
        <v>Aug</v>
      </c>
      <c r="E76" s="1" t="str">
        <f xml:space="preserve"> TEXT(FilmaxData[[#This Row],[Show_Date]],"DDD")</f>
        <v>Sat</v>
      </c>
      <c r="F76" t="s">
        <v>16</v>
      </c>
      <c r="G76" t="s">
        <v>17</v>
      </c>
      <c r="H76">
        <v>4</v>
      </c>
      <c r="I76">
        <v>12</v>
      </c>
      <c r="J76" t="s">
        <v>21</v>
      </c>
      <c r="K76" t="s">
        <v>25</v>
      </c>
      <c r="L76">
        <v>48</v>
      </c>
    </row>
    <row r="77" spans="1:12" x14ac:dyDescent="0.3">
      <c r="A77">
        <v>426</v>
      </c>
      <c r="B77" t="s">
        <v>15</v>
      </c>
      <c r="C77" s="1">
        <v>45878</v>
      </c>
      <c r="D77" s="1" t="str">
        <f xml:space="preserve"> TEXT(FilmaxData[[#This Row],[Show_Date]],"MMM")</f>
        <v>Aug</v>
      </c>
      <c r="E77" s="1" t="str">
        <f xml:space="preserve"> TEXT(FilmaxData[[#This Row],[Show_Date]],"DDD")</f>
        <v>Sat</v>
      </c>
      <c r="F77" t="s">
        <v>11</v>
      </c>
      <c r="G77" t="s">
        <v>29</v>
      </c>
      <c r="H77">
        <v>4</v>
      </c>
      <c r="I77">
        <v>30</v>
      </c>
      <c r="J77" t="s">
        <v>13</v>
      </c>
      <c r="K77" t="s">
        <v>18</v>
      </c>
      <c r="L77">
        <v>120</v>
      </c>
    </row>
    <row r="78" spans="1:12" x14ac:dyDescent="0.3">
      <c r="A78">
        <v>1545</v>
      </c>
      <c r="B78" t="s">
        <v>19</v>
      </c>
      <c r="C78" s="1">
        <v>45913</v>
      </c>
      <c r="D78" s="1" t="str">
        <f xml:space="preserve"> TEXT(FilmaxData[[#This Row],[Show_Date]],"MMM")</f>
        <v>Sep</v>
      </c>
      <c r="E78" s="1" t="str">
        <f xml:space="preserve"> TEXT(FilmaxData[[#This Row],[Show_Date]],"DDD")</f>
        <v>Sat</v>
      </c>
      <c r="F78" t="s">
        <v>11</v>
      </c>
      <c r="G78" t="s">
        <v>22</v>
      </c>
      <c r="H78">
        <v>1</v>
      </c>
      <c r="I78">
        <v>20</v>
      </c>
      <c r="J78" t="s">
        <v>13</v>
      </c>
      <c r="K78" t="s">
        <v>14</v>
      </c>
      <c r="L78">
        <v>20</v>
      </c>
    </row>
    <row r="79" spans="1:12" x14ac:dyDescent="0.3">
      <c r="A79">
        <v>488</v>
      </c>
      <c r="B79" t="s">
        <v>31</v>
      </c>
      <c r="C79" s="1">
        <v>45870</v>
      </c>
      <c r="D79" s="1" t="str">
        <f xml:space="preserve"> TEXT(FilmaxData[[#This Row],[Show_Date]],"MMM")</f>
        <v>Aug</v>
      </c>
      <c r="E79" s="1" t="str">
        <f xml:space="preserve"> TEXT(FilmaxData[[#This Row],[Show_Date]],"DDD")</f>
        <v>Fri</v>
      </c>
      <c r="F79" t="s">
        <v>20</v>
      </c>
      <c r="G79" t="s">
        <v>22</v>
      </c>
      <c r="H79">
        <v>5</v>
      </c>
      <c r="I79">
        <v>20</v>
      </c>
      <c r="J79" t="s">
        <v>23</v>
      </c>
      <c r="K79" t="s">
        <v>14</v>
      </c>
      <c r="L79">
        <v>100</v>
      </c>
    </row>
    <row r="80" spans="1:12" x14ac:dyDescent="0.3">
      <c r="A80">
        <v>422</v>
      </c>
      <c r="B80" t="s">
        <v>26</v>
      </c>
      <c r="C80" s="1">
        <v>45858</v>
      </c>
      <c r="D80" s="1" t="str">
        <f xml:space="preserve"> TEXT(FilmaxData[[#This Row],[Show_Date]],"MMM")</f>
        <v>Jul</v>
      </c>
      <c r="E80" s="1" t="str">
        <f xml:space="preserve"> TEXT(FilmaxData[[#This Row],[Show_Date]],"DDD")</f>
        <v>Sun</v>
      </c>
      <c r="F80" t="s">
        <v>11</v>
      </c>
      <c r="G80" t="s">
        <v>17</v>
      </c>
      <c r="H80">
        <v>5</v>
      </c>
      <c r="I80">
        <v>12</v>
      </c>
      <c r="J80" t="s">
        <v>13</v>
      </c>
      <c r="K80" t="s">
        <v>27</v>
      </c>
      <c r="L80">
        <v>60</v>
      </c>
    </row>
    <row r="81" spans="1:12" x14ac:dyDescent="0.3">
      <c r="A81">
        <v>384</v>
      </c>
      <c r="B81" t="s">
        <v>15</v>
      </c>
      <c r="C81" s="1">
        <v>45913</v>
      </c>
      <c r="D81" s="1" t="str">
        <f xml:space="preserve"> TEXT(FilmaxData[[#This Row],[Show_Date]],"MMM")</f>
        <v>Sep</v>
      </c>
      <c r="E81" s="1" t="str">
        <f xml:space="preserve"> TEXT(FilmaxData[[#This Row],[Show_Date]],"DDD")</f>
        <v>Sat</v>
      </c>
      <c r="F81" t="s">
        <v>20</v>
      </c>
      <c r="G81" t="s">
        <v>17</v>
      </c>
      <c r="H81">
        <v>4</v>
      </c>
      <c r="I81">
        <v>12</v>
      </c>
      <c r="J81" t="s">
        <v>13</v>
      </c>
      <c r="K81" t="s">
        <v>18</v>
      </c>
      <c r="L81">
        <v>48</v>
      </c>
    </row>
    <row r="82" spans="1:12" x14ac:dyDescent="0.3">
      <c r="A82">
        <v>1103</v>
      </c>
      <c r="B82" t="s">
        <v>31</v>
      </c>
      <c r="C82" s="1">
        <v>45911</v>
      </c>
      <c r="D82" s="1" t="str">
        <f xml:space="preserve"> TEXT(FilmaxData[[#This Row],[Show_Date]],"MMM")</f>
        <v>Sep</v>
      </c>
      <c r="E82" s="1" t="str">
        <f xml:space="preserve"> TEXT(FilmaxData[[#This Row],[Show_Date]],"DDD")</f>
        <v>Thu</v>
      </c>
      <c r="F82" t="s">
        <v>11</v>
      </c>
      <c r="G82" t="s">
        <v>29</v>
      </c>
      <c r="H82">
        <v>1</v>
      </c>
      <c r="I82">
        <v>30</v>
      </c>
      <c r="J82" t="s">
        <v>23</v>
      </c>
      <c r="K82" t="s">
        <v>25</v>
      </c>
      <c r="L82">
        <v>30</v>
      </c>
    </row>
    <row r="83" spans="1:12" x14ac:dyDescent="0.3">
      <c r="A83">
        <v>185</v>
      </c>
      <c r="B83" t="s">
        <v>24</v>
      </c>
      <c r="C83" s="1">
        <v>45872</v>
      </c>
      <c r="D83" s="1" t="str">
        <f xml:space="preserve"> TEXT(FilmaxData[[#This Row],[Show_Date]],"MMM")</f>
        <v>Aug</v>
      </c>
      <c r="E83" s="1" t="str">
        <f xml:space="preserve"> TEXT(FilmaxData[[#This Row],[Show_Date]],"DDD")</f>
        <v>Sun</v>
      </c>
      <c r="F83" t="s">
        <v>33</v>
      </c>
      <c r="G83" t="s">
        <v>30</v>
      </c>
      <c r="H83">
        <v>5</v>
      </c>
      <c r="I83">
        <v>8</v>
      </c>
      <c r="J83" t="s">
        <v>13</v>
      </c>
      <c r="K83" t="s">
        <v>18</v>
      </c>
      <c r="L83">
        <v>40</v>
      </c>
    </row>
    <row r="84" spans="1:12" x14ac:dyDescent="0.3">
      <c r="A84">
        <v>567</v>
      </c>
      <c r="B84" t="s">
        <v>26</v>
      </c>
      <c r="C84" s="1">
        <v>45854</v>
      </c>
      <c r="D84" s="1" t="str">
        <f xml:space="preserve"> TEXT(FilmaxData[[#This Row],[Show_Date]],"MMM")</f>
        <v>Jul</v>
      </c>
      <c r="E84" s="1" t="str">
        <f xml:space="preserve"> TEXT(FilmaxData[[#This Row],[Show_Date]],"DDD")</f>
        <v>Wed</v>
      </c>
      <c r="F84" t="s">
        <v>16</v>
      </c>
      <c r="G84" t="s">
        <v>17</v>
      </c>
      <c r="H84">
        <v>4</v>
      </c>
      <c r="I84">
        <v>12</v>
      </c>
      <c r="J84" t="s">
        <v>21</v>
      </c>
      <c r="K84" t="s">
        <v>18</v>
      </c>
      <c r="L84">
        <v>48</v>
      </c>
    </row>
    <row r="85" spans="1:12" x14ac:dyDescent="0.3">
      <c r="A85">
        <v>230</v>
      </c>
      <c r="B85" t="s">
        <v>15</v>
      </c>
      <c r="C85" s="1">
        <v>45860</v>
      </c>
      <c r="D85" s="1" t="str">
        <f xml:space="preserve"> TEXT(FilmaxData[[#This Row],[Show_Date]],"MMM")</f>
        <v>Jul</v>
      </c>
      <c r="E85" s="1" t="str">
        <f xml:space="preserve"> TEXT(FilmaxData[[#This Row],[Show_Date]],"DDD")</f>
        <v>Tue</v>
      </c>
      <c r="F85" t="s">
        <v>16</v>
      </c>
      <c r="G85" t="s">
        <v>17</v>
      </c>
      <c r="H85">
        <v>3</v>
      </c>
      <c r="I85">
        <v>12</v>
      </c>
      <c r="J85" t="s">
        <v>21</v>
      </c>
      <c r="K85" t="s">
        <v>18</v>
      </c>
      <c r="L85">
        <v>36</v>
      </c>
    </row>
    <row r="86" spans="1:12" x14ac:dyDescent="0.3">
      <c r="A86">
        <v>23</v>
      </c>
      <c r="B86" t="s">
        <v>26</v>
      </c>
      <c r="C86" s="1">
        <v>45927</v>
      </c>
      <c r="D86" s="1" t="str">
        <f xml:space="preserve"> TEXT(FilmaxData[[#This Row],[Show_Date]],"MMM")</f>
        <v>Sep</v>
      </c>
      <c r="E86" s="1" t="str">
        <f xml:space="preserve"> TEXT(FilmaxData[[#This Row],[Show_Date]],"DDD")</f>
        <v>Sat</v>
      </c>
      <c r="F86" t="s">
        <v>20</v>
      </c>
      <c r="G86" t="s">
        <v>29</v>
      </c>
      <c r="H86">
        <v>4</v>
      </c>
      <c r="I86">
        <v>30</v>
      </c>
      <c r="J86" t="s">
        <v>23</v>
      </c>
      <c r="K86" t="s">
        <v>27</v>
      </c>
      <c r="L86">
        <v>120</v>
      </c>
    </row>
    <row r="87" spans="1:12" x14ac:dyDescent="0.3">
      <c r="A87">
        <v>973</v>
      </c>
      <c r="B87" t="s">
        <v>24</v>
      </c>
      <c r="C87" s="1">
        <v>45857</v>
      </c>
      <c r="D87" s="1" t="str">
        <f xml:space="preserve"> TEXT(FilmaxData[[#This Row],[Show_Date]],"MMM")</f>
        <v>Jul</v>
      </c>
      <c r="E87" s="1" t="str">
        <f xml:space="preserve"> TEXT(FilmaxData[[#This Row],[Show_Date]],"DDD")</f>
        <v>Sat</v>
      </c>
      <c r="F87" t="s">
        <v>11</v>
      </c>
      <c r="G87" t="s">
        <v>30</v>
      </c>
      <c r="H87">
        <v>3</v>
      </c>
      <c r="I87">
        <v>8</v>
      </c>
      <c r="J87" t="s">
        <v>21</v>
      </c>
      <c r="K87" t="s">
        <v>27</v>
      </c>
      <c r="L87">
        <v>24</v>
      </c>
    </row>
    <row r="88" spans="1:12" x14ac:dyDescent="0.3">
      <c r="A88">
        <v>1228</v>
      </c>
      <c r="B88" t="s">
        <v>19</v>
      </c>
      <c r="C88" s="1">
        <v>45874</v>
      </c>
      <c r="D88" s="1" t="str">
        <f xml:space="preserve"> TEXT(FilmaxData[[#This Row],[Show_Date]],"MMM")</f>
        <v>Aug</v>
      </c>
      <c r="E88" s="1" t="str">
        <f xml:space="preserve"> TEXT(FilmaxData[[#This Row],[Show_Date]],"DDD")</f>
        <v>Tue</v>
      </c>
      <c r="F88" t="s">
        <v>20</v>
      </c>
      <c r="G88" t="s">
        <v>17</v>
      </c>
      <c r="H88">
        <v>4</v>
      </c>
      <c r="I88">
        <v>12</v>
      </c>
      <c r="J88" t="s">
        <v>13</v>
      </c>
      <c r="K88" t="s">
        <v>25</v>
      </c>
      <c r="L88">
        <v>48</v>
      </c>
    </row>
    <row r="89" spans="1:12" x14ac:dyDescent="0.3">
      <c r="A89">
        <v>1252</v>
      </c>
      <c r="B89" t="s">
        <v>10</v>
      </c>
      <c r="C89" s="1">
        <v>45870</v>
      </c>
      <c r="D89" s="1" t="str">
        <f xml:space="preserve"> TEXT(FilmaxData[[#This Row],[Show_Date]],"MMM")</f>
        <v>Aug</v>
      </c>
      <c r="E89" s="1" t="str">
        <f xml:space="preserve"> TEXT(FilmaxData[[#This Row],[Show_Date]],"DDD")</f>
        <v>Fri</v>
      </c>
      <c r="F89" t="s">
        <v>11</v>
      </c>
      <c r="G89" t="s">
        <v>17</v>
      </c>
      <c r="H89">
        <v>3</v>
      </c>
      <c r="I89">
        <v>12</v>
      </c>
      <c r="J89" t="s">
        <v>13</v>
      </c>
      <c r="K89" t="s">
        <v>25</v>
      </c>
      <c r="L89">
        <v>36</v>
      </c>
    </row>
    <row r="90" spans="1:12" x14ac:dyDescent="0.3">
      <c r="A90">
        <v>898</v>
      </c>
      <c r="B90" t="s">
        <v>31</v>
      </c>
      <c r="C90" s="1">
        <v>45852</v>
      </c>
      <c r="D90" s="1" t="str">
        <f xml:space="preserve"> TEXT(FilmaxData[[#This Row],[Show_Date]],"MMM")</f>
        <v>Jul</v>
      </c>
      <c r="E90" s="1" t="str">
        <f xml:space="preserve"> TEXT(FilmaxData[[#This Row],[Show_Date]],"DDD")</f>
        <v>Mon</v>
      </c>
      <c r="F90" t="s">
        <v>11</v>
      </c>
      <c r="G90" t="s">
        <v>17</v>
      </c>
      <c r="H90">
        <v>1</v>
      </c>
      <c r="I90">
        <v>12</v>
      </c>
      <c r="J90" t="s">
        <v>21</v>
      </c>
      <c r="K90" t="s">
        <v>18</v>
      </c>
      <c r="L90">
        <v>12</v>
      </c>
    </row>
    <row r="91" spans="1:12" x14ac:dyDescent="0.3">
      <c r="A91">
        <v>750</v>
      </c>
      <c r="B91" t="s">
        <v>26</v>
      </c>
      <c r="C91" s="1">
        <v>45920</v>
      </c>
      <c r="D91" s="1" t="str">
        <f xml:space="preserve"> TEXT(FilmaxData[[#This Row],[Show_Date]],"MMM")</f>
        <v>Sep</v>
      </c>
      <c r="E91" s="1" t="str">
        <f xml:space="preserve"> TEXT(FilmaxData[[#This Row],[Show_Date]],"DDD")</f>
        <v>Sat</v>
      </c>
      <c r="F91" t="s">
        <v>20</v>
      </c>
      <c r="G91" t="s">
        <v>12</v>
      </c>
      <c r="H91">
        <v>2</v>
      </c>
      <c r="I91">
        <v>25</v>
      </c>
      <c r="J91" t="s">
        <v>13</v>
      </c>
      <c r="K91" t="s">
        <v>18</v>
      </c>
      <c r="L91">
        <v>50</v>
      </c>
    </row>
    <row r="92" spans="1:12" x14ac:dyDescent="0.3">
      <c r="A92">
        <v>41</v>
      </c>
      <c r="B92" t="s">
        <v>32</v>
      </c>
      <c r="C92" s="1">
        <v>45914</v>
      </c>
      <c r="D92" s="1" t="str">
        <f xml:space="preserve"> TEXT(FilmaxData[[#This Row],[Show_Date]],"MMM")</f>
        <v>Sep</v>
      </c>
      <c r="E92" s="1" t="str">
        <f xml:space="preserve"> TEXT(FilmaxData[[#This Row],[Show_Date]],"DDD")</f>
        <v>Sun</v>
      </c>
      <c r="F92" t="s">
        <v>33</v>
      </c>
      <c r="G92" t="s">
        <v>22</v>
      </c>
      <c r="H92">
        <v>4</v>
      </c>
      <c r="I92">
        <v>20</v>
      </c>
      <c r="J92" t="s">
        <v>21</v>
      </c>
      <c r="K92" t="s">
        <v>14</v>
      </c>
      <c r="L92">
        <v>80</v>
      </c>
    </row>
    <row r="93" spans="1:12" x14ac:dyDescent="0.3">
      <c r="A93">
        <v>1853</v>
      </c>
      <c r="B93" t="s">
        <v>10</v>
      </c>
      <c r="C93" s="1">
        <v>45893</v>
      </c>
      <c r="D93" s="1" t="str">
        <f xml:space="preserve"> TEXT(FilmaxData[[#This Row],[Show_Date]],"MMM")</f>
        <v>Aug</v>
      </c>
      <c r="E93" s="1" t="str">
        <f xml:space="preserve"> TEXT(FilmaxData[[#This Row],[Show_Date]],"DDD")</f>
        <v>Sun</v>
      </c>
      <c r="F93" t="s">
        <v>11</v>
      </c>
      <c r="G93" t="s">
        <v>12</v>
      </c>
      <c r="H93">
        <v>2</v>
      </c>
      <c r="I93">
        <v>25</v>
      </c>
      <c r="J93" t="s">
        <v>13</v>
      </c>
      <c r="K93" t="s">
        <v>25</v>
      </c>
      <c r="L93">
        <v>50</v>
      </c>
    </row>
    <row r="94" spans="1:12" x14ac:dyDescent="0.3">
      <c r="A94">
        <v>822</v>
      </c>
      <c r="B94" t="s">
        <v>31</v>
      </c>
      <c r="C94" s="1">
        <v>45839</v>
      </c>
      <c r="D94" s="1" t="str">
        <f xml:space="preserve"> TEXT(FilmaxData[[#This Row],[Show_Date]],"MMM")</f>
        <v>Jul</v>
      </c>
      <c r="E94" s="1" t="str">
        <f xml:space="preserve"> TEXT(FilmaxData[[#This Row],[Show_Date]],"DDD")</f>
        <v>Tue</v>
      </c>
      <c r="F94" t="s">
        <v>11</v>
      </c>
      <c r="G94" t="s">
        <v>17</v>
      </c>
      <c r="H94">
        <v>3</v>
      </c>
      <c r="I94">
        <v>12</v>
      </c>
      <c r="J94" t="s">
        <v>23</v>
      </c>
      <c r="K94" t="s">
        <v>18</v>
      </c>
      <c r="L94">
        <v>36</v>
      </c>
    </row>
    <row r="95" spans="1:12" x14ac:dyDescent="0.3">
      <c r="A95">
        <v>177</v>
      </c>
      <c r="B95" t="s">
        <v>32</v>
      </c>
      <c r="C95" s="1">
        <v>45851</v>
      </c>
      <c r="D95" s="1" t="str">
        <f xml:space="preserve"> TEXT(FilmaxData[[#This Row],[Show_Date]],"MMM")</f>
        <v>Jul</v>
      </c>
      <c r="E95" s="1" t="str">
        <f xml:space="preserve"> TEXT(FilmaxData[[#This Row],[Show_Date]],"DDD")</f>
        <v>Sun</v>
      </c>
      <c r="F95" t="s">
        <v>16</v>
      </c>
      <c r="G95" t="s">
        <v>17</v>
      </c>
      <c r="H95">
        <v>1</v>
      </c>
      <c r="I95">
        <v>12</v>
      </c>
      <c r="J95" t="s">
        <v>13</v>
      </c>
      <c r="K95" t="s">
        <v>18</v>
      </c>
      <c r="L95">
        <v>12</v>
      </c>
    </row>
    <row r="96" spans="1:12" x14ac:dyDescent="0.3">
      <c r="A96">
        <v>754</v>
      </c>
      <c r="B96" t="s">
        <v>26</v>
      </c>
      <c r="C96" s="1">
        <v>45879</v>
      </c>
      <c r="D96" s="1" t="str">
        <f xml:space="preserve"> TEXT(FilmaxData[[#This Row],[Show_Date]],"MMM")</f>
        <v>Aug</v>
      </c>
      <c r="E96" s="1" t="str">
        <f xml:space="preserve"> TEXT(FilmaxData[[#This Row],[Show_Date]],"DDD")</f>
        <v>Sun</v>
      </c>
      <c r="F96" t="s">
        <v>20</v>
      </c>
      <c r="G96" t="s">
        <v>17</v>
      </c>
      <c r="H96">
        <v>2</v>
      </c>
      <c r="I96">
        <v>12</v>
      </c>
      <c r="J96" t="s">
        <v>23</v>
      </c>
      <c r="K96" t="s">
        <v>25</v>
      </c>
      <c r="L96">
        <v>24</v>
      </c>
    </row>
    <row r="97" spans="1:12" x14ac:dyDescent="0.3">
      <c r="A97">
        <v>432</v>
      </c>
      <c r="B97" t="s">
        <v>10</v>
      </c>
      <c r="C97" s="1">
        <v>45853</v>
      </c>
      <c r="D97" s="1" t="str">
        <f xml:space="preserve"> TEXT(FilmaxData[[#This Row],[Show_Date]],"MMM")</f>
        <v>Jul</v>
      </c>
      <c r="E97" s="1" t="str">
        <f xml:space="preserve"> TEXT(FilmaxData[[#This Row],[Show_Date]],"DDD")</f>
        <v>Tue</v>
      </c>
      <c r="F97" t="s">
        <v>16</v>
      </c>
      <c r="G97" t="s">
        <v>22</v>
      </c>
      <c r="H97">
        <v>5</v>
      </c>
      <c r="I97">
        <v>20</v>
      </c>
      <c r="J97" t="s">
        <v>23</v>
      </c>
      <c r="K97" t="s">
        <v>14</v>
      </c>
      <c r="L97">
        <v>100</v>
      </c>
    </row>
    <row r="98" spans="1:12" x14ac:dyDescent="0.3">
      <c r="A98">
        <v>1027</v>
      </c>
      <c r="B98" t="s">
        <v>26</v>
      </c>
      <c r="C98" s="1">
        <v>45890</v>
      </c>
      <c r="D98" s="1" t="str">
        <f xml:space="preserve"> TEXT(FilmaxData[[#This Row],[Show_Date]],"MMM")</f>
        <v>Aug</v>
      </c>
      <c r="E98" s="1" t="str">
        <f xml:space="preserve"> TEXT(FilmaxData[[#This Row],[Show_Date]],"DDD")</f>
        <v>Thu</v>
      </c>
      <c r="F98" t="s">
        <v>33</v>
      </c>
      <c r="G98" t="s">
        <v>29</v>
      </c>
      <c r="H98">
        <v>2</v>
      </c>
      <c r="I98">
        <v>30</v>
      </c>
      <c r="J98" t="s">
        <v>23</v>
      </c>
      <c r="K98" t="s">
        <v>27</v>
      </c>
      <c r="L98">
        <v>60</v>
      </c>
    </row>
    <row r="99" spans="1:12" x14ac:dyDescent="0.3">
      <c r="A99">
        <v>777</v>
      </c>
      <c r="B99" t="s">
        <v>24</v>
      </c>
      <c r="C99" s="1">
        <v>45844</v>
      </c>
      <c r="D99" s="1" t="str">
        <f xml:space="preserve"> TEXT(FilmaxData[[#This Row],[Show_Date]],"MMM")</f>
        <v>Jul</v>
      </c>
      <c r="E99" s="1" t="str">
        <f xml:space="preserve"> TEXT(FilmaxData[[#This Row],[Show_Date]],"DDD")</f>
        <v>Sun</v>
      </c>
      <c r="F99" t="s">
        <v>33</v>
      </c>
      <c r="G99" t="s">
        <v>17</v>
      </c>
      <c r="H99">
        <v>4</v>
      </c>
      <c r="I99">
        <v>12</v>
      </c>
      <c r="J99" t="s">
        <v>21</v>
      </c>
      <c r="K99" t="s">
        <v>14</v>
      </c>
      <c r="L99">
        <v>48</v>
      </c>
    </row>
    <row r="100" spans="1:12" x14ac:dyDescent="0.3">
      <c r="A100">
        <v>262</v>
      </c>
      <c r="B100" t="s">
        <v>24</v>
      </c>
      <c r="C100" s="1">
        <v>45907</v>
      </c>
      <c r="D100" s="1" t="str">
        <f xml:space="preserve"> TEXT(FilmaxData[[#This Row],[Show_Date]],"MMM")</f>
        <v>Sep</v>
      </c>
      <c r="E100" s="1" t="str">
        <f xml:space="preserve"> TEXT(FilmaxData[[#This Row],[Show_Date]],"DDD")</f>
        <v>Sun</v>
      </c>
      <c r="F100" t="s">
        <v>16</v>
      </c>
      <c r="G100" t="s">
        <v>12</v>
      </c>
      <c r="H100">
        <v>3</v>
      </c>
      <c r="I100">
        <v>25</v>
      </c>
      <c r="J100" t="s">
        <v>23</v>
      </c>
      <c r="K100" t="s">
        <v>18</v>
      </c>
      <c r="L100">
        <v>75</v>
      </c>
    </row>
    <row r="101" spans="1:12" x14ac:dyDescent="0.3">
      <c r="A101">
        <v>722</v>
      </c>
      <c r="B101" t="s">
        <v>24</v>
      </c>
      <c r="C101" s="1">
        <v>45908</v>
      </c>
      <c r="D101" s="1" t="str">
        <f xml:space="preserve"> TEXT(FilmaxData[[#This Row],[Show_Date]],"MMM")</f>
        <v>Sep</v>
      </c>
      <c r="E101" s="1" t="str">
        <f xml:space="preserve"> TEXT(FilmaxData[[#This Row],[Show_Date]],"DDD")</f>
        <v>Mon</v>
      </c>
      <c r="F101" t="s">
        <v>33</v>
      </c>
      <c r="G101" t="s">
        <v>30</v>
      </c>
      <c r="H101">
        <v>5</v>
      </c>
      <c r="I101">
        <v>8</v>
      </c>
      <c r="J101" t="s">
        <v>21</v>
      </c>
      <c r="K101" t="s">
        <v>25</v>
      </c>
      <c r="L101">
        <v>40</v>
      </c>
    </row>
    <row r="102" spans="1:12" x14ac:dyDescent="0.3">
      <c r="A102">
        <v>56</v>
      </c>
      <c r="B102" t="s">
        <v>24</v>
      </c>
      <c r="C102" s="1">
        <v>45858</v>
      </c>
      <c r="D102" s="1" t="str">
        <f xml:space="preserve"> TEXT(FilmaxData[[#This Row],[Show_Date]],"MMM")</f>
        <v>Jul</v>
      </c>
      <c r="E102" s="1" t="str">
        <f xml:space="preserve"> TEXT(FilmaxData[[#This Row],[Show_Date]],"DDD")</f>
        <v>Sun</v>
      </c>
      <c r="F102" t="s">
        <v>11</v>
      </c>
      <c r="G102" t="s">
        <v>30</v>
      </c>
      <c r="H102">
        <v>2</v>
      </c>
      <c r="I102">
        <v>8</v>
      </c>
      <c r="J102" t="s">
        <v>21</v>
      </c>
      <c r="K102" t="s">
        <v>25</v>
      </c>
      <c r="L102">
        <v>16</v>
      </c>
    </row>
    <row r="103" spans="1:12" x14ac:dyDescent="0.3">
      <c r="A103">
        <v>1556</v>
      </c>
      <c r="B103" t="s">
        <v>24</v>
      </c>
      <c r="C103" s="1">
        <v>45885</v>
      </c>
      <c r="D103" s="1" t="str">
        <f xml:space="preserve"> TEXT(FilmaxData[[#This Row],[Show_Date]],"MMM")</f>
        <v>Aug</v>
      </c>
      <c r="E103" s="1" t="str">
        <f xml:space="preserve"> TEXT(FilmaxData[[#This Row],[Show_Date]],"DDD")</f>
        <v>Sat</v>
      </c>
      <c r="F103" t="s">
        <v>16</v>
      </c>
      <c r="G103" t="s">
        <v>12</v>
      </c>
      <c r="H103">
        <v>5</v>
      </c>
      <c r="I103">
        <v>25</v>
      </c>
      <c r="J103" t="s">
        <v>23</v>
      </c>
      <c r="K103" t="s">
        <v>27</v>
      </c>
      <c r="L103">
        <v>125</v>
      </c>
    </row>
    <row r="104" spans="1:12" x14ac:dyDescent="0.3">
      <c r="A104">
        <v>1835</v>
      </c>
      <c r="B104" t="s">
        <v>24</v>
      </c>
      <c r="C104" s="1">
        <v>45840</v>
      </c>
      <c r="D104" s="1" t="str">
        <f xml:space="preserve"> TEXT(FilmaxData[[#This Row],[Show_Date]],"MMM")</f>
        <v>Jul</v>
      </c>
      <c r="E104" s="1" t="str">
        <f xml:space="preserve"> TEXT(FilmaxData[[#This Row],[Show_Date]],"DDD")</f>
        <v>Wed</v>
      </c>
      <c r="F104" t="s">
        <v>11</v>
      </c>
      <c r="G104" t="s">
        <v>17</v>
      </c>
      <c r="H104">
        <v>5</v>
      </c>
      <c r="I104">
        <v>12</v>
      </c>
      <c r="J104" t="s">
        <v>21</v>
      </c>
      <c r="K104" t="s">
        <v>25</v>
      </c>
      <c r="L104">
        <v>60</v>
      </c>
    </row>
    <row r="105" spans="1:12" x14ac:dyDescent="0.3">
      <c r="A105">
        <v>631</v>
      </c>
      <c r="B105" t="s">
        <v>24</v>
      </c>
      <c r="C105" s="1">
        <v>45840</v>
      </c>
      <c r="D105" s="1" t="str">
        <f xml:space="preserve"> TEXT(FilmaxData[[#This Row],[Show_Date]],"MMM")</f>
        <v>Jul</v>
      </c>
      <c r="E105" s="1" t="str">
        <f xml:space="preserve"> TEXT(FilmaxData[[#This Row],[Show_Date]],"DDD")</f>
        <v>Wed</v>
      </c>
      <c r="F105" t="s">
        <v>11</v>
      </c>
      <c r="G105" t="s">
        <v>12</v>
      </c>
      <c r="H105">
        <v>1</v>
      </c>
      <c r="I105">
        <v>25</v>
      </c>
      <c r="J105" t="s">
        <v>21</v>
      </c>
      <c r="K105" t="s">
        <v>25</v>
      </c>
      <c r="L105">
        <v>25</v>
      </c>
    </row>
    <row r="106" spans="1:12" x14ac:dyDescent="0.3">
      <c r="A106">
        <v>974</v>
      </c>
      <c r="B106" t="s">
        <v>32</v>
      </c>
      <c r="C106" s="1">
        <v>45925</v>
      </c>
      <c r="D106" s="1" t="str">
        <f xml:space="preserve"> TEXT(FilmaxData[[#This Row],[Show_Date]],"MMM")</f>
        <v>Sep</v>
      </c>
      <c r="E106" s="1" t="str">
        <f xml:space="preserve"> TEXT(FilmaxData[[#This Row],[Show_Date]],"DDD")</f>
        <v>Thu</v>
      </c>
      <c r="F106" t="s">
        <v>11</v>
      </c>
      <c r="G106" t="s">
        <v>30</v>
      </c>
      <c r="H106">
        <v>5</v>
      </c>
      <c r="I106">
        <v>8</v>
      </c>
      <c r="J106" t="s">
        <v>21</v>
      </c>
      <c r="K106" t="s">
        <v>18</v>
      </c>
      <c r="L106">
        <v>40</v>
      </c>
    </row>
    <row r="107" spans="1:12" x14ac:dyDescent="0.3">
      <c r="A107">
        <v>1478</v>
      </c>
      <c r="B107" t="s">
        <v>19</v>
      </c>
      <c r="C107" s="1">
        <v>45868</v>
      </c>
      <c r="D107" s="1" t="str">
        <f xml:space="preserve"> TEXT(FilmaxData[[#This Row],[Show_Date]],"MMM")</f>
        <v>Jul</v>
      </c>
      <c r="E107" s="1" t="str">
        <f xml:space="preserve"> TEXT(FilmaxData[[#This Row],[Show_Date]],"DDD")</f>
        <v>Wed</v>
      </c>
      <c r="F107" t="s">
        <v>11</v>
      </c>
      <c r="G107" t="s">
        <v>12</v>
      </c>
      <c r="H107">
        <v>3</v>
      </c>
      <c r="I107">
        <v>25</v>
      </c>
      <c r="J107" t="s">
        <v>13</v>
      </c>
      <c r="K107" t="s">
        <v>14</v>
      </c>
      <c r="L107">
        <v>75</v>
      </c>
    </row>
    <row r="108" spans="1:12" x14ac:dyDescent="0.3">
      <c r="A108">
        <v>781</v>
      </c>
      <c r="B108" t="s">
        <v>24</v>
      </c>
      <c r="C108" s="1">
        <v>45851</v>
      </c>
      <c r="D108" s="1" t="str">
        <f xml:space="preserve"> TEXT(FilmaxData[[#This Row],[Show_Date]],"MMM")</f>
        <v>Jul</v>
      </c>
      <c r="E108" s="1" t="str">
        <f xml:space="preserve"> TEXT(FilmaxData[[#This Row],[Show_Date]],"DDD")</f>
        <v>Sun</v>
      </c>
      <c r="F108" t="s">
        <v>11</v>
      </c>
      <c r="G108" t="s">
        <v>17</v>
      </c>
      <c r="H108">
        <v>1</v>
      </c>
      <c r="I108">
        <v>12</v>
      </c>
      <c r="J108" t="s">
        <v>21</v>
      </c>
      <c r="K108" t="s">
        <v>25</v>
      </c>
      <c r="L108">
        <v>12</v>
      </c>
    </row>
    <row r="109" spans="1:12" x14ac:dyDescent="0.3">
      <c r="A109">
        <v>1740</v>
      </c>
      <c r="B109" t="s">
        <v>32</v>
      </c>
      <c r="C109" s="1">
        <v>45869</v>
      </c>
      <c r="D109" s="1" t="str">
        <f xml:space="preserve"> TEXT(FilmaxData[[#This Row],[Show_Date]],"MMM")</f>
        <v>Jul</v>
      </c>
      <c r="E109" s="1" t="str">
        <f xml:space="preserve"> TEXT(FilmaxData[[#This Row],[Show_Date]],"DDD")</f>
        <v>Thu</v>
      </c>
      <c r="F109" t="s">
        <v>16</v>
      </c>
      <c r="G109" t="s">
        <v>12</v>
      </c>
      <c r="H109">
        <v>3</v>
      </c>
      <c r="I109">
        <v>25</v>
      </c>
      <c r="J109" t="s">
        <v>21</v>
      </c>
      <c r="K109" t="s">
        <v>25</v>
      </c>
      <c r="L109">
        <v>75</v>
      </c>
    </row>
    <row r="110" spans="1:12" x14ac:dyDescent="0.3">
      <c r="A110">
        <v>1448</v>
      </c>
      <c r="B110" t="s">
        <v>19</v>
      </c>
      <c r="C110" s="1">
        <v>45851</v>
      </c>
      <c r="D110" s="1" t="str">
        <f xml:space="preserve"> TEXT(FilmaxData[[#This Row],[Show_Date]],"MMM")</f>
        <v>Jul</v>
      </c>
      <c r="E110" s="1" t="str">
        <f xml:space="preserve"> TEXT(FilmaxData[[#This Row],[Show_Date]],"DDD")</f>
        <v>Sun</v>
      </c>
      <c r="F110" t="s">
        <v>11</v>
      </c>
      <c r="G110" t="s">
        <v>30</v>
      </c>
      <c r="H110">
        <v>4</v>
      </c>
      <c r="I110">
        <v>8</v>
      </c>
      <c r="J110" t="s">
        <v>13</v>
      </c>
      <c r="K110" t="s">
        <v>25</v>
      </c>
      <c r="L110">
        <v>32</v>
      </c>
    </row>
    <row r="111" spans="1:12" x14ac:dyDescent="0.3">
      <c r="A111">
        <v>1813</v>
      </c>
      <c r="B111" t="s">
        <v>28</v>
      </c>
      <c r="C111" s="1">
        <v>45918</v>
      </c>
      <c r="D111" s="1" t="str">
        <f xml:space="preserve"> TEXT(FilmaxData[[#This Row],[Show_Date]],"MMM")</f>
        <v>Sep</v>
      </c>
      <c r="E111" s="1" t="str">
        <f xml:space="preserve"> TEXT(FilmaxData[[#This Row],[Show_Date]],"DDD")</f>
        <v>Thu</v>
      </c>
      <c r="F111" t="s">
        <v>20</v>
      </c>
      <c r="G111" t="s">
        <v>17</v>
      </c>
      <c r="H111">
        <v>5</v>
      </c>
      <c r="I111">
        <v>12</v>
      </c>
      <c r="J111" t="s">
        <v>21</v>
      </c>
      <c r="K111" t="s">
        <v>25</v>
      </c>
      <c r="L111">
        <v>60</v>
      </c>
    </row>
    <row r="112" spans="1:12" x14ac:dyDescent="0.3">
      <c r="A112">
        <v>1443</v>
      </c>
      <c r="B112" t="s">
        <v>31</v>
      </c>
      <c r="C112" s="1">
        <v>45879</v>
      </c>
      <c r="D112" s="1" t="str">
        <f xml:space="preserve"> TEXT(FilmaxData[[#This Row],[Show_Date]],"MMM")</f>
        <v>Aug</v>
      </c>
      <c r="E112" s="1" t="str">
        <f xml:space="preserve"> TEXT(FilmaxData[[#This Row],[Show_Date]],"DDD")</f>
        <v>Sun</v>
      </c>
      <c r="F112" t="s">
        <v>20</v>
      </c>
      <c r="G112" t="s">
        <v>17</v>
      </c>
      <c r="H112">
        <v>4</v>
      </c>
      <c r="I112">
        <v>12</v>
      </c>
      <c r="J112" t="s">
        <v>21</v>
      </c>
      <c r="K112" t="s">
        <v>14</v>
      </c>
      <c r="L112">
        <v>48</v>
      </c>
    </row>
    <row r="113" spans="1:12" x14ac:dyDescent="0.3">
      <c r="A113">
        <v>1775</v>
      </c>
      <c r="B113" t="s">
        <v>28</v>
      </c>
      <c r="C113" s="1">
        <v>45914</v>
      </c>
      <c r="D113" s="1" t="str">
        <f xml:space="preserve"> TEXT(FilmaxData[[#This Row],[Show_Date]],"MMM")</f>
        <v>Sep</v>
      </c>
      <c r="E113" s="1" t="str">
        <f xml:space="preserve"> TEXT(FilmaxData[[#This Row],[Show_Date]],"DDD")</f>
        <v>Sun</v>
      </c>
      <c r="F113" t="s">
        <v>20</v>
      </c>
      <c r="G113" t="s">
        <v>30</v>
      </c>
      <c r="H113">
        <v>1</v>
      </c>
      <c r="I113">
        <v>8</v>
      </c>
      <c r="J113" t="s">
        <v>23</v>
      </c>
      <c r="K113" t="s">
        <v>18</v>
      </c>
      <c r="L113">
        <v>8</v>
      </c>
    </row>
    <row r="114" spans="1:12" x14ac:dyDescent="0.3">
      <c r="A114">
        <v>1175</v>
      </c>
      <c r="B114" t="s">
        <v>24</v>
      </c>
      <c r="C114" s="1">
        <v>45851</v>
      </c>
      <c r="D114" s="1" t="str">
        <f xml:space="preserve"> TEXT(FilmaxData[[#This Row],[Show_Date]],"MMM")</f>
        <v>Jul</v>
      </c>
      <c r="E114" s="1" t="str">
        <f xml:space="preserve"> TEXT(FilmaxData[[#This Row],[Show_Date]],"DDD")</f>
        <v>Sun</v>
      </c>
      <c r="F114" t="s">
        <v>11</v>
      </c>
      <c r="G114" t="s">
        <v>17</v>
      </c>
      <c r="H114">
        <v>1</v>
      </c>
      <c r="I114">
        <v>12</v>
      </c>
      <c r="J114" t="s">
        <v>23</v>
      </c>
      <c r="K114" t="s">
        <v>25</v>
      </c>
      <c r="L114">
        <v>12</v>
      </c>
    </row>
    <row r="115" spans="1:12" x14ac:dyDescent="0.3">
      <c r="A115">
        <v>790</v>
      </c>
      <c r="B115" t="s">
        <v>28</v>
      </c>
      <c r="C115" s="1">
        <v>45863</v>
      </c>
      <c r="D115" s="1" t="str">
        <f xml:space="preserve"> TEXT(FilmaxData[[#This Row],[Show_Date]],"MMM")</f>
        <v>Jul</v>
      </c>
      <c r="E115" s="1" t="str">
        <f xml:space="preserve"> TEXT(FilmaxData[[#This Row],[Show_Date]],"DDD")</f>
        <v>Fri</v>
      </c>
      <c r="F115" t="s">
        <v>16</v>
      </c>
      <c r="G115" t="s">
        <v>29</v>
      </c>
      <c r="H115">
        <v>5</v>
      </c>
      <c r="I115">
        <v>30</v>
      </c>
      <c r="J115" t="s">
        <v>13</v>
      </c>
      <c r="K115" t="s">
        <v>27</v>
      </c>
      <c r="L115">
        <v>150</v>
      </c>
    </row>
    <row r="116" spans="1:12" x14ac:dyDescent="0.3">
      <c r="A116">
        <v>681</v>
      </c>
      <c r="B116" t="s">
        <v>19</v>
      </c>
      <c r="C116" s="1">
        <v>45862</v>
      </c>
      <c r="D116" s="1" t="str">
        <f xml:space="preserve"> TEXT(FilmaxData[[#This Row],[Show_Date]],"MMM")</f>
        <v>Jul</v>
      </c>
      <c r="E116" s="1" t="str">
        <f xml:space="preserve"> TEXT(FilmaxData[[#This Row],[Show_Date]],"DDD")</f>
        <v>Thu</v>
      </c>
      <c r="F116" t="s">
        <v>16</v>
      </c>
      <c r="G116" t="s">
        <v>17</v>
      </c>
      <c r="H116">
        <v>5</v>
      </c>
      <c r="I116">
        <v>12</v>
      </c>
      <c r="J116" t="s">
        <v>23</v>
      </c>
      <c r="K116" t="s">
        <v>18</v>
      </c>
      <c r="L116">
        <v>60</v>
      </c>
    </row>
    <row r="117" spans="1:12" x14ac:dyDescent="0.3">
      <c r="A117">
        <v>1571</v>
      </c>
      <c r="B117" t="s">
        <v>26</v>
      </c>
      <c r="C117" s="1">
        <v>45925</v>
      </c>
      <c r="D117" s="1" t="str">
        <f xml:space="preserve"> TEXT(FilmaxData[[#This Row],[Show_Date]],"MMM")</f>
        <v>Sep</v>
      </c>
      <c r="E117" s="1" t="str">
        <f xml:space="preserve"> TEXT(FilmaxData[[#This Row],[Show_Date]],"DDD")</f>
        <v>Thu</v>
      </c>
      <c r="F117" t="s">
        <v>11</v>
      </c>
      <c r="G117" t="s">
        <v>17</v>
      </c>
      <c r="H117">
        <v>4</v>
      </c>
      <c r="I117">
        <v>12</v>
      </c>
      <c r="J117" t="s">
        <v>21</v>
      </c>
      <c r="K117" t="s">
        <v>27</v>
      </c>
      <c r="L117">
        <v>48</v>
      </c>
    </row>
    <row r="118" spans="1:12" x14ac:dyDescent="0.3">
      <c r="A118">
        <v>1679</v>
      </c>
      <c r="B118" t="s">
        <v>10</v>
      </c>
      <c r="C118" s="1">
        <v>45913</v>
      </c>
      <c r="D118" s="1" t="str">
        <f xml:space="preserve"> TEXT(FilmaxData[[#This Row],[Show_Date]],"MMM")</f>
        <v>Sep</v>
      </c>
      <c r="E118" s="1" t="str">
        <f xml:space="preserve"> TEXT(FilmaxData[[#This Row],[Show_Date]],"DDD")</f>
        <v>Sat</v>
      </c>
      <c r="F118" t="s">
        <v>11</v>
      </c>
      <c r="G118" t="s">
        <v>22</v>
      </c>
      <c r="H118">
        <v>5</v>
      </c>
      <c r="I118">
        <v>20</v>
      </c>
      <c r="J118" t="s">
        <v>21</v>
      </c>
      <c r="K118" t="s">
        <v>18</v>
      </c>
      <c r="L118">
        <v>100</v>
      </c>
    </row>
    <row r="119" spans="1:12" x14ac:dyDescent="0.3">
      <c r="A119">
        <v>1017</v>
      </c>
      <c r="B119" t="s">
        <v>26</v>
      </c>
      <c r="C119" s="1">
        <v>45858</v>
      </c>
      <c r="D119" s="1" t="str">
        <f xml:space="preserve"> TEXT(FilmaxData[[#This Row],[Show_Date]],"MMM")</f>
        <v>Jul</v>
      </c>
      <c r="E119" s="1" t="str">
        <f xml:space="preserve"> TEXT(FilmaxData[[#This Row],[Show_Date]],"DDD")</f>
        <v>Sun</v>
      </c>
      <c r="F119" t="s">
        <v>11</v>
      </c>
      <c r="G119" t="s">
        <v>30</v>
      </c>
      <c r="H119">
        <v>3</v>
      </c>
      <c r="I119">
        <v>8</v>
      </c>
      <c r="J119" t="s">
        <v>13</v>
      </c>
      <c r="K119" t="s">
        <v>25</v>
      </c>
      <c r="L119">
        <v>24</v>
      </c>
    </row>
    <row r="120" spans="1:12" x14ac:dyDescent="0.3">
      <c r="A120">
        <v>1857</v>
      </c>
      <c r="B120" t="s">
        <v>15</v>
      </c>
      <c r="C120" s="1">
        <v>45871</v>
      </c>
      <c r="D120" s="1" t="str">
        <f xml:space="preserve"> TEXT(FilmaxData[[#This Row],[Show_Date]],"MMM")</f>
        <v>Aug</v>
      </c>
      <c r="E120" s="1" t="str">
        <f xml:space="preserve"> TEXT(FilmaxData[[#This Row],[Show_Date]],"DDD")</f>
        <v>Sat</v>
      </c>
      <c r="F120" t="s">
        <v>11</v>
      </c>
      <c r="G120" t="s">
        <v>17</v>
      </c>
      <c r="H120">
        <v>3</v>
      </c>
      <c r="I120">
        <v>12</v>
      </c>
      <c r="J120" t="s">
        <v>21</v>
      </c>
      <c r="K120" t="s">
        <v>14</v>
      </c>
      <c r="L120">
        <v>36</v>
      </c>
    </row>
    <row r="121" spans="1:12" x14ac:dyDescent="0.3">
      <c r="A121">
        <v>1380</v>
      </c>
      <c r="B121" t="s">
        <v>26</v>
      </c>
      <c r="C121" s="1">
        <v>45866</v>
      </c>
      <c r="D121" s="1" t="str">
        <f xml:space="preserve"> TEXT(FilmaxData[[#This Row],[Show_Date]],"MMM")</f>
        <v>Jul</v>
      </c>
      <c r="E121" s="1" t="str">
        <f xml:space="preserve"> TEXT(FilmaxData[[#This Row],[Show_Date]],"DDD")</f>
        <v>Mon</v>
      </c>
      <c r="F121" t="s">
        <v>11</v>
      </c>
      <c r="G121" t="s">
        <v>30</v>
      </c>
      <c r="H121">
        <v>2</v>
      </c>
      <c r="I121">
        <v>8</v>
      </c>
      <c r="J121" t="s">
        <v>13</v>
      </c>
      <c r="K121" t="s">
        <v>25</v>
      </c>
      <c r="L121">
        <v>16</v>
      </c>
    </row>
    <row r="122" spans="1:12" x14ac:dyDescent="0.3">
      <c r="A122">
        <v>33</v>
      </c>
      <c r="B122" t="s">
        <v>31</v>
      </c>
      <c r="C122" s="1">
        <v>45897</v>
      </c>
      <c r="D122" s="1" t="str">
        <f xml:space="preserve"> TEXT(FilmaxData[[#This Row],[Show_Date]],"MMM")</f>
        <v>Aug</v>
      </c>
      <c r="E122" s="1" t="str">
        <f xml:space="preserve"> TEXT(FilmaxData[[#This Row],[Show_Date]],"DDD")</f>
        <v>Thu</v>
      </c>
      <c r="F122" t="s">
        <v>11</v>
      </c>
      <c r="G122" t="s">
        <v>17</v>
      </c>
      <c r="H122">
        <v>2</v>
      </c>
      <c r="I122">
        <v>12</v>
      </c>
      <c r="J122" t="s">
        <v>21</v>
      </c>
      <c r="K122" t="s">
        <v>25</v>
      </c>
      <c r="L122">
        <v>24</v>
      </c>
    </row>
    <row r="123" spans="1:12" x14ac:dyDescent="0.3">
      <c r="A123">
        <v>1530</v>
      </c>
      <c r="B123" t="s">
        <v>31</v>
      </c>
      <c r="C123" s="1">
        <v>45878</v>
      </c>
      <c r="D123" s="1" t="str">
        <f xml:space="preserve"> TEXT(FilmaxData[[#This Row],[Show_Date]],"MMM")</f>
        <v>Aug</v>
      </c>
      <c r="E123" s="1" t="str">
        <f xml:space="preserve"> TEXT(FilmaxData[[#This Row],[Show_Date]],"DDD")</f>
        <v>Sat</v>
      </c>
      <c r="F123" t="s">
        <v>11</v>
      </c>
      <c r="G123" t="s">
        <v>17</v>
      </c>
      <c r="H123">
        <v>5</v>
      </c>
      <c r="I123">
        <v>12</v>
      </c>
      <c r="J123" t="s">
        <v>23</v>
      </c>
      <c r="K123" t="s">
        <v>14</v>
      </c>
      <c r="L123">
        <v>60</v>
      </c>
    </row>
    <row r="124" spans="1:12" x14ac:dyDescent="0.3">
      <c r="A124">
        <v>1723</v>
      </c>
      <c r="B124" t="s">
        <v>28</v>
      </c>
      <c r="C124" s="1">
        <v>45884</v>
      </c>
      <c r="D124" s="1" t="str">
        <f xml:space="preserve"> TEXT(FilmaxData[[#This Row],[Show_Date]],"MMM")</f>
        <v>Aug</v>
      </c>
      <c r="E124" s="1" t="str">
        <f xml:space="preserve"> TEXT(FilmaxData[[#This Row],[Show_Date]],"DDD")</f>
        <v>Fri</v>
      </c>
      <c r="F124" t="s">
        <v>11</v>
      </c>
      <c r="G124" t="s">
        <v>29</v>
      </c>
      <c r="H124">
        <v>1</v>
      </c>
      <c r="I124">
        <v>30</v>
      </c>
      <c r="J124" t="s">
        <v>23</v>
      </c>
      <c r="K124" t="s">
        <v>18</v>
      </c>
      <c r="L124">
        <v>30</v>
      </c>
    </row>
    <row r="125" spans="1:12" x14ac:dyDescent="0.3">
      <c r="A125">
        <v>153</v>
      </c>
      <c r="B125" t="s">
        <v>24</v>
      </c>
      <c r="C125" s="1">
        <v>45878</v>
      </c>
      <c r="D125" s="1" t="str">
        <f xml:space="preserve"> TEXT(FilmaxData[[#This Row],[Show_Date]],"MMM")</f>
        <v>Aug</v>
      </c>
      <c r="E125" s="1" t="str">
        <f xml:space="preserve"> TEXT(FilmaxData[[#This Row],[Show_Date]],"DDD")</f>
        <v>Sat</v>
      </c>
      <c r="F125" t="s">
        <v>11</v>
      </c>
      <c r="G125" t="s">
        <v>30</v>
      </c>
      <c r="H125">
        <v>2</v>
      </c>
      <c r="I125">
        <v>8</v>
      </c>
      <c r="J125" t="s">
        <v>21</v>
      </c>
      <c r="K125" t="s">
        <v>14</v>
      </c>
      <c r="L125">
        <v>16</v>
      </c>
    </row>
    <row r="126" spans="1:12" x14ac:dyDescent="0.3">
      <c r="A126">
        <v>672</v>
      </c>
      <c r="B126" t="s">
        <v>10</v>
      </c>
      <c r="C126" s="1">
        <v>45859</v>
      </c>
      <c r="D126" s="1" t="str">
        <f xml:space="preserve"> TEXT(FilmaxData[[#This Row],[Show_Date]],"MMM")</f>
        <v>Jul</v>
      </c>
      <c r="E126" s="1" t="str">
        <f xml:space="preserve"> TEXT(FilmaxData[[#This Row],[Show_Date]],"DDD")</f>
        <v>Mon</v>
      </c>
      <c r="F126" t="s">
        <v>11</v>
      </c>
      <c r="G126" t="s">
        <v>17</v>
      </c>
      <c r="H126">
        <v>3</v>
      </c>
      <c r="I126">
        <v>12</v>
      </c>
      <c r="J126" t="s">
        <v>13</v>
      </c>
      <c r="K126" t="s">
        <v>27</v>
      </c>
      <c r="L126">
        <v>36</v>
      </c>
    </row>
    <row r="127" spans="1:12" x14ac:dyDescent="0.3">
      <c r="A127">
        <v>1066</v>
      </c>
      <c r="B127" t="s">
        <v>32</v>
      </c>
      <c r="C127" s="1">
        <v>45914</v>
      </c>
      <c r="D127" s="1" t="str">
        <f xml:space="preserve"> TEXT(FilmaxData[[#This Row],[Show_Date]],"MMM")</f>
        <v>Sep</v>
      </c>
      <c r="E127" s="1" t="str">
        <f xml:space="preserve"> TEXT(FilmaxData[[#This Row],[Show_Date]],"DDD")</f>
        <v>Sun</v>
      </c>
      <c r="F127" t="s">
        <v>11</v>
      </c>
      <c r="G127" t="s">
        <v>17</v>
      </c>
      <c r="H127">
        <v>2</v>
      </c>
      <c r="I127">
        <v>12</v>
      </c>
      <c r="J127" t="s">
        <v>23</v>
      </c>
      <c r="K127" t="s">
        <v>14</v>
      </c>
      <c r="L127">
        <v>24</v>
      </c>
    </row>
    <row r="128" spans="1:12" x14ac:dyDescent="0.3">
      <c r="A128">
        <v>1748</v>
      </c>
      <c r="B128" t="s">
        <v>24</v>
      </c>
      <c r="C128" s="1">
        <v>45920</v>
      </c>
      <c r="D128" s="1" t="str">
        <f xml:space="preserve"> TEXT(FilmaxData[[#This Row],[Show_Date]],"MMM")</f>
        <v>Sep</v>
      </c>
      <c r="E128" s="1" t="str">
        <f xml:space="preserve"> TEXT(FilmaxData[[#This Row],[Show_Date]],"DDD")</f>
        <v>Sat</v>
      </c>
      <c r="F128" t="s">
        <v>11</v>
      </c>
      <c r="G128" t="s">
        <v>17</v>
      </c>
      <c r="H128">
        <v>5</v>
      </c>
      <c r="I128">
        <v>12</v>
      </c>
      <c r="J128" t="s">
        <v>23</v>
      </c>
      <c r="K128" t="s">
        <v>14</v>
      </c>
      <c r="L128">
        <v>60</v>
      </c>
    </row>
    <row r="129" spans="1:12" x14ac:dyDescent="0.3">
      <c r="A129">
        <v>1682</v>
      </c>
      <c r="B129" t="s">
        <v>26</v>
      </c>
      <c r="C129" s="1">
        <v>45858</v>
      </c>
      <c r="D129" s="1" t="str">
        <f xml:space="preserve"> TEXT(FilmaxData[[#This Row],[Show_Date]],"MMM")</f>
        <v>Jul</v>
      </c>
      <c r="E129" s="1" t="str">
        <f xml:space="preserve"> TEXT(FilmaxData[[#This Row],[Show_Date]],"DDD")</f>
        <v>Sun</v>
      </c>
      <c r="F129" t="s">
        <v>11</v>
      </c>
      <c r="G129" t="s">
        <v>17</v>
      </c>
      <c r="H129">
        <v>3</v>
      </c>
      <c r="I129">
        <v>12</v>
      </c>
      <c r="J129" t="s">
        <v>23</v>
      </c>
      <c r="K129" t="s">
        <v>14</v>
      </c>
      <c r="L129">
        <v>36</v>
      </c>
    </row>
    <row r="130" spans="1:12" x14ac:dyDescent="0.3">
      <c r="A130">
        <v>1761</v>
      </c>
      <c r="B130" t="s">
        <v>19</v>
      </c>
      <c r="C130" s="1">
        <v>45886</v>
      </c>
      <c r="D130" s="1" t="str">
        <f xml:space="preserve"> TEXT(FilmaxData[[#This Row],[Show_Date]],"MMM")</f>
        <v>Aug</v>
      </c>
      <c r="E130" s="1" t="str">
        <f xml:space="preserve"> TEXT(FilmaxData[[#This Row],[Show_Date]],"DDD")</f>
        <v>Sun</v>
      </c>
      <c r="F130" t="s">
        <v>11</v>
      </c>
      <c r="G130" t="s">
        <v>17</v>
      </c>
      <c r="H130">
        <v>2</v>
      </c>
      <c r="I130">
        <v>12</v>
      </c>
      <c r="J130" t="s">
        <v>21</v>
      </c>
      <c r="K130" t="s">
        <v>25</v>
      </c>
      <c r="L130">
        <v>24</v>
      </c>
    </row>
    <row r="131" spans="1:12" x14ac:dyDescent="0.3">
      <c r="A131">
        <v>1515</v>
      </c>
      <c r="B131" t="s">
        <v>31</v>
      </c>
      <c r="C131" s="1">
        <v>45871</v>
      </c>
      <c r="D131" s="1" t="str">
        <f xml:space="preserve"> TEXT(FilmaxData[[#This Row],[Show_Date]],"MMM")</f>
        <v>Aug</v>
      </c>
      <c r="E131" s="1" t="str">
        <f xml:space="preserve"> TEXT(FilmaxData[[#This Row],[Show_Date]],"DDD")</f>
        <v>Sat</v>
      </c>
      <c r="F131" t="s">
        <v>11</v>
      </c>
      <c r="G131" t="s">
        <v>22</v>
      </c>
      <c r="H131">
        <v>2</v>
      </c>
      <c r="I131">
        <v>20</v>
      </c>
      <c r="J131" t="s">
        <v>23</v>
      </c>
      <c r="K131" t="s">
        <v>14</v>
      </c>
      <c r="L131">
        <v>40</v>
      </c>
    </row>
    <row r="132" spans="1:12" x14ac:dyDescent="0.3">
      <c r="A132">
        <v>142</v>
      </c>
      <c r="B132" t="s">
        <v>24</v>
      </c>
      <c r="C132" s="1">
        <v>45910</v>
      </c>
      <c r="D132" s="1" t="str">
        <f xml:space="preserve"> TEXT(FilmaxData[[#This Row],[Show_Date]],"MMM")</f>
        <v>Sep</v>
      </c>
      <c r="E132" s="1" t="str">
        <f xml:space="preserve"> TEXT(FilmaxData[[#This Row],[Show_Date]],"DDD")</f>
        <v>Wed</v>
      </c>
      <c r="F132" t="s">
        <v>11</v>
      </c>
      <c r="G132" t="s">
        <v>12</v>
      </c>
      <c r="H132">
        <v>1</v>
      </c>
      <c r="I132">
        <v>25</v>
      </c>
      <c r="J132" t="s">
        <v>21</v>
      </c>
      <c r="K132" t="s">
        <v>25</v>
      </c>
      <c r="L132">
        <v>25</v>
      </c>
    </row>
    <row r="133" spans="1:12" x14ac:dyDescent="0.3">
      <c r="A133">
        <v>940</v>
      </c>
      <c r="B133" t="s">
        <v>26</v>
      </c>
      <c r="C133" s="1">
        <v>45871</v>
      </c>
      <c r="D133" s="1" t="str">
        <f xml:space="preserve"> TEXT(FilmaxData[[#This Row],[Show_Date]],"MMM")</f>
        <v>Aug</v>
      </c>
      <c r="E133" s="1" t="str">
        <f xml:space="preserve"> TEXT(FilmaxData[[#This Row],[Show_Date]],"DDD")</f>
        <v>Sat</v>
      </c>
      <c r="F133" t="s">
        <v>11</v>
      </c>
      <c r="G133" t="s">
        <v>17</v>
      </c>
      <c r="H133">
        <v>2</v>
      </c>
      <c r="I133">
        <v>12</v>
      </c>
      <c r="J133" t="s">
        <v>23</v>
      </c>
      <c r="K133" t="s">
        <v>25</v>
      </c>
      <c r="L133">
        <v>24</v>
      </c>
    </row>
    <row r="134" spans="1:12" x14ac:dyDescent="0.3">
      <c r="A134">
        <v>1567</v>
      </c>
      <c r="B134" t="s">
        <v>15</v>
      </c>
      <c r="C134" s="1">
        <v>45869</v>
      </c>
      <c r="D134" s="1" t="str">
        <f xml:space="preserve"> TEXT(FilmaxData[[#This Row],[Show_Date]],"MMM")</f>
        <v>Jul</v>
      </c>
      <c r="E134" s="1" t="str">
        <f xml:space="preserve"> TEXT(FilmaxData[[#This Row],[Show_Date]],"DDD")</f>
        <v>Thu</v>
      </c>
      <c r="F134" t="s">
        <v>11</v>
      </c>
      <c r="G134" t="s">
        <v>12</v>
      </c>
      <c r="H134">
        <v>1</v>
      </c>
      <c r="I134">
        <v>25</v>
      </c>
      <c r="J134" t="s">
        <v>21</v>
      </c>
      <c r="K134" t="s">
        <v>27</v>
      </c>
      <c r="L134">
        <v>25</v>
      </c>
    </row>
    <row r="135" spans="1:12" x14ac:dyDescent="0.3">
      <c r="A135">
        <v>1985</v>
      </c>
      <c r="B135" t="s">
        <v>10</v>
      </c>
      <c r="C135" s="1">
        <v>45871</v>
      </c>
      <c r="D135" s="1" t="str">
        <f xml:space="preserve"> TEXT(FilmaxData[[#This Row],[Show_Date]],"MMM")</f>
        <v>Aug</v>
      </c>
      <c r="E135" s="1" t="str">
        <f xml:space="preserve"> TEXT(FilmaxData[[#This Row],[Show_Date]],"DDD")</f>
        <v>Sat</v>
      </c>
      <c r="F135" t="s">
        <v>11</v>
      </c>
      <c r="G135" t="s">
        <v>22</v>
      </c>
      <c r="H135">
        <v>3</v>
      </c>
      <c r="I135">
        <v>20</v>
      </c>
      <c r="J135" t="s">
        <v>23</v>
      </c>
      <c r="K135" t="s">
        <v>27</v>
      </c>
      <c r="L135">
        <v>60</v>
      </c>
    </row>
    <row r="136" spans="1:12" x14ac:dyDescent="0.3">
      <c r="A136">
        <v>627</v>
      </c>
      <c r="B136" t="s">
        <v>15</v>
      </c>
      <c r="C136" s="1">
        <v>45900</v>
      </c>
      <c r="D136" s="1" t="str">
        <f xml:space="preserve"> TEXT(FilmaxData[[#This Row],[Show_Date]],"MMM")</f>
        <v>Aug</v>
      </c>
      <c r="E136" s="1" t="str">
        <f xml:space="preserve"> TEXT(FilmaxData[[#This Row],[Show_Date]],"DDD")</f>
        <v>Sun</v>
      </c>
      <c r="F136" t="s">
        <v>11</v>
      </c>
      <c r="G136" t="s">
        <v>17</v>
      </c>
      <c r="H136">
        <v>5</v>
      </c>
      <c r="I136">
        <v>12</v>
      </c>
      <c r="J136" t="s">
        <v>23</v>
      </c>
      <c r="K136" t="s">
        <v>25</v>
      </c>
      <c r="L136">
        <v>60</v>
      </c>
    </row>
    <row r="137" spans="1:12" x14ac:dyDescent="0.3">
      <c r="A137">
        <v>283</v>
      </c>
      <c r="B137" t="s">
        <v>10</v>
      </c>
      <c r="C137" s="1">
        <v>45921</v>
      </c>
      <c r="D137" s="1" t="str">
        <f xml:space="preserve"> TEXT(FilmaxData[[#This Row],[Show_Date]],"MMM")</f>
        <v>Sep</v>
      </c>
      <c r="E137" s="1" t="str">
        <f xml:space="preserve"> TEXT(FilmaxData[[#This Row],[Show_Date]],"DDD")</f>
        <v>Sun</v>
      </c>
      <c r="F137" t="s">
        <v>11</v>
      </c>
      <c r="G137" t="s">
        <v>17</v>
      </c>
      <c r="H137">
        <v>4</v>
      </c>
      <c r="I137">
        <v>12</v>
      </c>
      <c r="J137" t="s">
        <v>23</v>
      </c>
      <c r="K137" t="s">
        <v>27</v>
      </c>
      <c r="L137">
        <v>48</v>
      </c>
    </row>
    <row r="138" spans="1:12" x14ac:dyDescent="0.3">
      <c r="A138">
        <v>1961</v>
      </c>
      <c r="B138" t="s">
        <v>26</v>
      </c>
      <c r="C138" s="1">
        <v>45914</v>
      </c>
      <c r="D138" s="1" t="str">
        <f xml:space="preserve"> TEXT(FilmaxData[[#This Row],[Show_Date]],"MMM")</f>
        <v>Sep</v>
      </c>
      <c r="E138" s="1" t="str">
        <f xml:space="preserve"> TEXT(FilmaxData[[#This Row],[Show_Date]],"DDD")</f>
        <v>Sun</v>
      </c>
      <c r="F138" t="s">
        <v>11</v>
      </c>
      <c r="G138" t="s">
        <v>12</v>
      </c>
      <c r="H138">
        <v>5</v>
      </c>
      <c r="I138">
        <v>25</v>
      </c>
      <c r="J138" t="s">
        <v>23</v>
      </c>
      <c r="K138" t="s">
        <v>25</v>
      </c>
      <c r="L138">
        <v>125</v>
      </c>
    </row>
    <row r="139" spans="1:12" x14ac:dyDescent="0.3">
      <c r="A139">
        <v>887</v>
      </c>
      <c r="B139" t="s">
        <v>24</v>
      </c>
      <c r="C139" s="1">
        <v>45866</v>
      </c>
      <c r="D139" s="1" t="str">
        <f xml:space="preserve"> TEXT(FilmaxData[[#This Row],[Show_Date]],"MMM")</f>
        <v>Jul</v>
      </c>
      <c r="E139" s="1" t="str">
        <f xml:space="preserve"> TEXT(FilmaxData[[#This Row],[Show_Date]],"DDD")</f>
        <v>Mon</v>
      </c>
      <c r="F139" t="s">
        <v>11</v>
      </c>
      <c r="G139" t="s">
        <v>12</v>
      </c>
      <c r="H139">
        <v>4</v>
      </c>
      <c r="I139">
        <v>25</v>
      </c>
      <c r="J139" t="s">
        <v>23</v>
      </c>
      <c r="K139" t="s">
        <v>27</v>
      </c>
      <c r="L139">
        <v>100</v>
      </c>
    </row>
    <row r="140" spans="1:12" x14ac:dyDescent="0.3">
      <c r="A140">
        <v>436</v>
      </c>
      <c r="B140" t="s">
        <v>19</v>
      </c>
      <c r="C140" s="1">
        <v>45863</v>
      </c>
      <c r="D140" s="1" t="str">
        <f xml:space="preserve"> TEXT(FilmaxData[[#This Row],[Show_Date]],"MMM")</f>
        <v>Jul</v>
      </c>
      <c r="E140" s="1" t="str">
        <f xml:space="preserve"> TEXT(FilmaxData[[#This Row],[Show_Date]],"DDD")</f>
        <v>Fri</v>
      </c>
      <c r="F140" t="s">
        <v>11</v>
      </c>
      <c r="G140" t="s">
        <v>17</v>
      </c>
      <c r="H140">
        <v>3</v>
      </c>
      <c r="I140">
        <v>12</v>
      </c>
      <c r="J140" t="s">
        <v>23</v>
      </c>
      <c r="K140" t="s">
        <v>27</v>
      </c>
      <c r="L140">
        <v>36</v>
      </c>
    </row>
    <row r="141" spans="1:12" x14ac:dyDescent="0.3">
      <c r="A141">
        <v>67</v>
      </c>
      <c r="B141" t="s">
        <v>31</v>
      </c>
      <c r="C141" s="1">
        <v>45929</v>
      </c>
      <c r="D141" s="1" t="str">
        <f xml:space="preserve"> TEXT(FilmaxData[[#This Row],[Show_Date]],"MMM")</f>
        <v>Sep</v>
      </c>
      <c r="E141" s="1" t="str">
        <f xml:space="preserve"> TEXT(FilmaxData[[#This Row],[Show_Date]],"DDD")</f>
        <v>Mon</v>
      </c>
      <c r="F141" t="s">
        <v>11</v>
      </c>
      <c r="G141" t="s">
        <v>17</v>
      </c>
      <c r="H141">
        <v>3</v>
      </c>
      <c r="I141">
        <v>12</v>
      </c>
      <c r="J141" t="s">
        <v>21</v>
      </c>
      <c r="K141" t="s">
        <v>18</v>
      </c>
      <c r="L141">
        <v>36</v>
      </c>
    </row>
    <row r="142" spans="1:12" x14ac:dyDescent="0.3">
      <c r="A142">
        <v>1332</v>
      </c>
      <c r="B142" t="s">
        <v>10</v>
      </c>
      <c r="C142" s="1">
        <v>45913</v>
      </c>
      <c r="D142" s="1" t="str">
        <f xml:space="preserve"> TEXT(FilmaxData[[#This Row],[Show_Date]],"MMM")</f>
        <v>Sep</v>
      </c>
      <c r="E142" s="1" t="str">
        <f xml:space="preserve"> TEXT(FilmaxData[[#This Row],[Show_Date]],"DDD")</f>
        <v>Sat</v>
      </c>
      <c r="F142" t="s">
        <v>11</v>
      </c>
      <c r="G142" t="s">
        <v>30</v>
      </c>
      <c r="H142">
        <v>4</v>
      </c>
      <c r="I142">
        <v>8</v>
      </c>
      <c r="J142" t="s">
        <v>13</v>
      </c>
      <c r="K142" t="s">
        <v>27</v>
      </c>
      <c r="L142">
        <v>32</v>
      </c>
    </row>
    <row r="143" spans="1:12" x14ac:dyDescent="0.3">
      <c r="A143">
        <v>1294</v>
      </c>
      <c r="B143" t="s">
        <v>24</v>
      </c>
      <c r="C143" s="1">
        <v>45872</v>
      </c>
      <c r="D143" s="1" t="str">
        <f xml:space="preserve"> TEXT(FilmaxData[[#This Row],[Show_Date]],"MMM")</f>
        <v>Aug</v>
      </c>
      <c r="E143" s="1" t="str">
        <f xml:space="preserve"> TEXT(FilmaxData[[#This Row],[Show_Date]],"DDD")</f>
        <v>Sun</v>
      </c>
      <c r="F143" t="s">
        <v>11</v>
      </c>
      <c r="G143" t="s">
        <v>12</v>
      </c>
      <c r="H143">
        <v>5</v>
      </c>
      <c r="I143">
        <v>25</v>
      </c>
      <c r="J143" t="s">
        <v>21</v>
      </c>
      <c r="K143" t="s">
        <v>27</v>
      </c>
      <c r="L143">
        <v>125</v>
      </c>
    </row>
    <row r="144" spans="1:12" x14ac:dyDescent="0.3">
      <c r="A144">
        <v>637</v>
      </c>
      <c r="B144" t="s">
        <v>24</v>
      </c>
      <c r="C144" s="1">
        <v>45913</v>
      </c>
      <c r="D144" s="1" t="str">
        <f xml:space="preserve"> TEXT(FilmaxData[[#This Row],[Show_Date]],"MMM")</f>
        <v>Sep</v>
      </c>
      <c r="E144" s="1" t="str">
        <f xml:space="preserve"> TEXT(FilmaxData[[#This Row],[Show_Date]],"DDD")</f>
        <v>Sat</v>
      </c>
      <c r="F144" t="s">
        <v>11</v>
      </c>
      <c r="G144" t="s">
        <v>29</v>
      </c>
      <c r="H144">
        <v>3</v>
      </c>
      <c r="I144">
        <v>30</v>
      </c>
      <c r="J144" t="s">
        <v>13</v>
      </c>
      <c r="K144" t="s">
        <v>18</v>
      </c>
      <c r="L144">
        <v>90</v>
      </c>
    </row>
    <row r="145" spans="1:12" x14ac:dyDescent="0.3">
      <c r="A145">
        <v>126</v>
      </c>
      <c r="B145" t="s">
        <v>19</v>
      </c>
      <c r="C145" s="1">
        <v>45907</v>
      </c>
      <c r="D145" s="1" t="str">
        <f xml:space="preserve"> TEXT(FilmaxData[[#This Row],[Show_Date]],"MMM")</f>
        <v>Sep</v>
      </c>
      <c r="E145" s="1" t="str">
        <f xml:space="preserve"> TEXT(FilmaxData[[#This Row],[Show_Date]],"DDD")</f>
        <v>Sun</v>
      </c>
      <c r="F145" t="s">
        <v>11</v>
      </c>
      <c r="G145" t="s">
        <v>30</v>
      </c>
      <c r="H145">
        <v>1</v>
      </c>
      <c r="I145">
        <v>8</v>
      </c>
      <c r="J145" t="s">
        <v>23</v>
      </c>
      <c r="K145" t="s">
        <v>18</v>
      </c>
      <c r="L145">
        <v>8</v>
      </c>
    </row>
    <row r="146" spans="1:12" x14ac:dyDescent="0.3">
      <c r="A146">
        <v>811</v>
      </c>
      <c r="B146" t="s">
        <v>32</v>
      </c>
      <c r="C146" s="1">
        <v>45843</v>
      </c>
      <c r="D146" s="1" t="str">
        <f xml:space="preserve"> TEXT(FilmaxData[[#This Row],[Show_Date]],"MMM")</f>
        <v>Jul</v>
      </c>
      <c r="E146" s="1" t="str">
        <f xml:space="preserve"> TEXT(FilmaxData[[#This Row],[Show_Date]],"DDD")</f>
        <v>Sat</v>
      </c>
      <c r="F146" t="s">
        <v>11</v>
      </c>
      <c r="G146" t="s">
        <v>17</v>
      </c>
      <c r="H146">
        <v>5</v>
      </c>
      <c r="I146">
        <v>12</v>
      </c>
      <c r="J146" t="s">
        <v>21</v>
      </c>
      <c r="K146" t="s">
        <v>18</v>
      </c>
      <c r="L146">
        <v>60</v>
      </c>
    </row>
    <row r="147" spans="1:12" x14ac:dyDescent="0.3">
      <c r="A147">
        <v>1498</v>
      </c>
      <c r="B147" t="s">
        <v>19</v>
      </c>
      <c r="C147" s="1">
        <v>45851</v>
      </c>
      <c r="D147" s="1" t="str">
        <f xml:space="preserve"> TEXT(FilmaxData[[#This Row],[Show_Date]],"MMM")</f>
        <v>Jul</v>
      </c>
      <c r="E147" s="1" t="str">
        <f xml:space="preserve"> TEXT(FilmaxData[[#This Row],[Show_Date]],"DDD")</f>
        <v>Sun</v>
      </c>
      <c r="F147" t="s">
        <v>11</v>
      </c>
      <c r="G147" t="s">
        <v>22</v>
      </c>
      <c r="H147">
        <v>5</v>
      </c>
      <c r="I147">
        <v>20</v>
      </c>
      <c r="J147" t="s">
        <v>13</v>
      </c>
      <c r="K147" t="s">
        <v>25</v>
      </c>
      <c r="L147">
        <v>100</v>
      </c>
    </row>
    <row r="148" spans="1:12" x14ac:dyDescent="0.3">
      <c r="A148">
        <v>451</v>
      </c>
      <c r="B148" t="s">
        <v>10</v>
      </c>
      <c r="C148" s="1">
        <v>45842</v>
      </c>
      <c r="D148" s="1" t="str">
        <f xml:space="preserve"> TEXT(FilmaxData[[#This Row],[Show_Date]],"MMM")</f>
        <v>Jul</v>
      </c>
      <c r="E148" s="1" t="str">
        <f xml:space="preserve"> TEXT(FilmaxData[[#This Row],[Show_Date]],"DDD")</f>
        <v>Fri</v>
      </c>
      <c r="F148" t="s">
        <v>11</v>
      </c>
      <c r="G148" t="s">
        <v>17</v>
      </c>
      <c r="H148">
        <v>5</v>
      </c>
      <c r="I148">
        <v>12</v>
      </c>
      <c r="J148" t="s">
        <v>13</v>
      </c>
      <c r="K148" t="s">
        <v>18</v>
      </c>
      <c r="L148">
        <v>60</v>
      </c>
    </row>
    <row r="149" spans="1:12" x14ac:dyDescent="0.3">
      <c r="A149">
        <v>4</v>
      </c>
      <c r="B149" t="s">
        <v>28</v>
      </c>
      <c r="C149" s="1">
        <v>45839</v>
      </c>
      <c r="D149" s="1" t="str">
        <f xml:space="preserve"> TEXT(FilmaxData[[#This Row],[Show_Date]],"MMM")</f>
        <v>Jul</v>
      </c>
      <c r="E149" s="1" t="str">
        <f xml:space="preserve"> TEXT(FilmaxData[[#This Row],[Show_Date]],"DDD")</f>
        <v>Tue</v>
      </c>
      <c r="F149" t="s">
        <v>11</v>
      </c>
      <c r="G149" t="s">
        <v>17</v>
      </c>
      <c r="H149">
        <v>3</v>
      </c>
      <c r="I149">
        <v>12</v>
      </c>
      <c r="J149" t="s">
        <v>13</v>
      </c>
      <c r="K149" t="s">
        <v>14</v>
      </c>
      <c r="L149">
        <v>36</v>
      </c>
    </row>
    <row r="150" spans="1:12" x14ac:dyDescent="0.3">
      <c r="A150">
        <v>628</v>
      </c>
      <c r="B150" t="s">
        <v>10</v>
      </c>
      <c r="C150" s="1">
        <v>45896</v>
      </c>
      <c r="D150" s="1" t="str">
        <f xml:space="preserve"> TEXT(FilmaxData[[#This Row],[Show_Date]],"MMM")</f>
        <v>Aug</v>
      </c>
      <c r="E150" s="1" t="str">
        <f xml:space="preserve"> TEXT(FilmaxData[[#This Row],[Show_Date]],"DDD")</f>
        <v>Wed</v>
      </c>
      <c r="F150" t="s">
        <v>11</v>
      </c>
      <c r="G150" t="s">
        <v>30</v>
      </c>
      <c r="H150">
        <v>4</v>
      </c>
      <c r="I150">
        <v>8</v>
      </c>
      <c r="J150" t="s">
        <v>21</v>
      </c>
      <c r="K150" t="s">
        <v>25</v>
      </c>
      <c r="L150">
        <v>32</v>
      </c>
    </row>
    <row r="151" spans="1:12" x14ac:dyDescent="0.3">
      <c r="A151">
        <v>829</v>
      </c>
      <c r="B151" t="s">
        <v>28</v>
      </c>
      <c r="C151" s="1">
        <v>45864</v>
      </c>
      <c r="D151" s="1" t="str">
        <f xml:space="preserve"> TEXT(FilmaxData[[#This Row],[Show_Date]],"MMM")</f>
        <v>Jul</v>
      </c>
      <c r="E151" s="1" t="str">
        <f xml:space="preserve"> TEXT(FilmaxData[[#This Row],[Show_Date]],"DDD")</f>
        <v>Sat</v>
      </c>
      <c r="F151" t="s">
        <v>11</v>
      </c>
      <c r="G151" t="s">
        <v>17</v>
      </c>
      <c r="H151">
        <v>5</v>
      </c>
      <c r="I151">
        <v>12</v>
      </c>
      <c r="J151" t="s">
        <v>13</v>
      </c>
      <c r="K151" t="s">
        <v>14</v>
      </c>
      <c r="L151">
        <v>60</v>
      </c>
    </row>
    <row r="152" spans="1:12" x14ac:dyDescent="0.3">
      <c r="A152">
        <v>1520</v>
      </c>
      <c r="B152" t="s">
        <v>15</v>
      </c>
      <c r="C152" s="1">
        <v>45844</v>
      </c>
      <c r="D152" s="1" t="str">
        <f xml:space="preserve"> TEXT(FilmaxData[[#This Row],[Show_Date]],"MMM")</f>
        <v>Jul</v>
      </c>
      <c r="E152" s="1" t="str">
        <f xml:space="preserve"> TEXT(FilmaxData[[#This Row],[Show_Date]],"DDD")</f>
        <v>Sun</v>
      </c>
      <c r="F152" t="s">
        <v>11</v>
      </c>
      <c r="G152" t="s">
        <v>17</v>
      </c>
      <c r="H152">
        <v>1</v>
      </c>
      <c r="I152">
        <v>12</v>
      </c>
      <c r="J152" t="s">
        <v>13</v>
      </c>
      <c r="K152" t="s">
        <v>14</v>
      </c>
      <c r="L152">
        <v>12</v>
      </c>
    </row>
    <row r="153" spans="1:12" x14ac:dyDescent="0.3">
      <c r="A153">
        <v>1605</v>
      </c>
      <c r="B153" t="s">
        <v>31</v>
      </c>
      <c r="C153" s="1">
        <v>45878</v>
      </c>
      <c r="D153" s="1" t="str">
        <f xml:space="preserve"> TEXT(FilmaxData[[#This Row],[Show_Date]],"MMM")</f>
        <v>Aug</v>
      </c>
      <c r="E153" s="1" t="str">
        <f xml:space="preserve"> TEXT(FilmaxData[[#This Row],[Show_Date]],"DDD")</f>
        <v>Sat</v>
      </c>
      <c r="F153" t="s">
        <v>11</v>
      </c>
      <c r="G153" t="s">
        <v>17</v>
      </c>
      <c r="H153">
        <v>2</v>
      </c>
      <c r="I153">
        <v>12</v>
      </c>
      <c r="J153" t="s">
        <v>23</v>
      </c>
      <c r="K153" t="s">
        <v>18</v>
      </c>
      <c r="L153">
        <v>24</v>
      </c>
    </row>
    <row r="154" spans="1:12" x14ac:dyDescent="0.3">
      <c r="A154">
        <v>1141</v>
      </c>
      <c r="B154" t="s">
        <v>10</v>
      </c>
      <c r="C154" s="1">
        <v>45851</v>
      </c>
      <c r="D154" s="1" t="str">
        <f xml:space="preserve"> TEXT(FilmaxData[[#This Row],[Show_Date]],"MMM")</f>
        <v>Jul</v>
      </c>
      <c r="E154" s="1" t="str">
        <f xml:space="preserve"> TEXT(FilmaxData[[#This Row],[Show_Date]],"DDD")</f>
        <v>Sun</v>
      </c>
      <c r="F154" t="s">
        <v>11</v>
      </c>
      <c r="G154" t="s">
        <v>17</v>
      </c>
      <c r="H154">
        <v>4</v>
      </c>
      <c r="I154">
        <v>12</v>
      </c>
      <c r="J154" t="s">
        <v>23</v>
      </c>
      <c r="K154" t="s">
        <v>27</v>
      </c>
      <c r="L154">
        <v>48</v>
      </c>
    </row>
    <row r="155" spans="1:12" x14ac:dyDescent="0.3">
      <c r="A155">
        <v>1924</v>
      </c>
      <c r="B155" t="s">
        <v>32</v>
      </c>
      <c r="C155" s="1">
        <v>45908</v>
      </c>
      <c r="D155" s="1" t="str">
        <f xml:space="preserve"> TEXT(FilmaxData[[#This Row],[Show_Date]],"MMM")</f>
        <v>Sep</v>
      </c>
      <c r="E155" s="1" t="str">
        <f xml:space="preserve"> TEXT(FilmaxData[[#This Row],[Show_Date]],"DDD")</f>
        <v>Mon</v>
      </c>
      <c r="F155" t="s">
        <v>11</v>
      </c>
      <c r="G155" t="s">
        <v>17</v>
      </c>
      <c r="H155">
        <v>4</v>
      </c>
      <c r="I155">
        <v>12</v>
      </c>
      <c r="J155" t="s">
        <v>23</v>
      </c>
      <c r="K155" t="s">
        <v>18</v>
      </c>
      <c r="L155">
        <v>48</v>
      </c>
    </row>
    <row r="156" spans="1:12" x14ac:dyDescent="0.3">
      <c r="A156">
        <v>1061</v>
      </c>
      <c r="B156" t="s">
        <v>24</v>
      </c>
      <c r="C156" s="1">
        <v>45866</v>
      </c>
      <c r="D156" s="1" t="str">
        <f xml:space="preserve"> TEXT(FilmaxData[[#This Row],[Show_Date]],"MMM")</f>
        <v>Jul</v>
      </c>
      <c r="E156" s="1" t="str">
        <f xml:space="preserve"> TEXT(FilmaxData[[#This Row],[Show_Date]],"DDD")</f>
        <v>Mon</v>
      </c>
      <c r="F156" t="s">
        <v>11</v>
      </c>
      <c r="G156" t="s">
        <v>17</v>
      </c>
      <c r="H156">
        <v>2</v>
      </c>
      <c r="I156">
        <v>12</v>
      </c>
      <c r="J156" t="s">
        <v>23</v>
      </c>
      <c r="K156" t="s">
        <v>25</v>
      </c>
      <c r="L156">
        <v>24</v>
      </c>
    </row>
    <row r="157" spans="1:12" x14ac:dyDescent="0.3">
      <c r="A157">
        <v>1127</v>
      </c>
      <c r="B157" t="s">
        <v>31</v>
      </c>
      <c r="C157" s="1">
        <v>45895</v>
      </c>
      <c r="D157" s="1" t="str">
        <f xml:space="preserve"> TEXT(FilmaxData[[#This Row],[Show_Date]],"MMM")</f>
        <v>Aug</v>
      </c>
      <c r="E157" s="1" t="str">
        <f xml:space="preserve"> TEXT(FilmaxData[[#This Row],[Show_Date]],"DDD")</f>
        <v>Tue</v>
      </c>
      <c r="F157" t="s">
        <v>11</v>
      </c>
      <c r="G157" t="s">
        <v>30</v>
      </c>
      <c r="H157">
        <v>5</v>
      </c>
      <c r="I157">
        <v>8</v>
      </c>
      <c r="J157" t="s">
        <v>23</v>
      </c>
      <c r="K157" t="s">
        <v>25</v>
      </c>
      <c r="L157">
        <v>40</v>
      </c>
    </row>
    <row r="158" spans="1:12" x14ac:dyDescent="0.3">
      <c r="A158">
        <v>840</v>
      </c>
      <c r="B158" t="s">
        <v>15</v>
      </c>
      <c r="C158" s="1">
        <v>45870</v>
      </c>
      <c r="D158" s="1" t="str">
        <f xml:space="preserve"> TEXT(FilmaxData[[#This Row],[Show_Date]],"MMM")</f>
        <v>Aug</v>
      </c>
      <c r="E158" s="1" t="str">
        <f xml:space="preserve"> TEXT(FilmaxData[[#This Row],[Show_Date]],"DDD")</f>
        <v>Fri</v>
      </c>
      <c r="F158" t="s">
        <v>11</v>
      </c>
      <c r="G158" t="s">
        <v>17</v>
      </c>
      <c r="H158">
        <v>5</v>
      </c>
      <c r="I158">
        <v>12</v>
      </c>
      <c r="J158" t="s">
        <v>21</v>
      </c>
      <c r="K158" t="s">
        <v>25</v>
      </c>
      <c r="L158">
        <v>60</v>
      </c>
    </row>
    <row r="159" spans="1:12" x14ac:dyDescent="0.3">
      <c r="A159">
        <v>493</v>
      </c>
      <c r="B159" t="s">
        <v>24</v>
      </c>
      <c r="C159" s="1">
        <v>45895</v>
      </c>
      <c r="D159" s="1" t="str">
        <f xml:space="preserve"> TEXT(FilmaxData[[#This Row],[Show_Date]],"MMM")</f>
        <v>Aug</v>
      </c>
      <c r="E159" s="1" t="str">
        <f xml:space="preserve"> TEXT(FilmaxData[[#This Row],[Show_Date]],"DDD")</f>
        <v>Tue</v>
      </c>
      <c r="F159" t="s">
        <v>11</v>
      </c>
      <c r="G159" t="s">
        <v>30</v>
      </c>
      <c r="H159">
        <v>5</v>
      </c>
      <c r="I159">
        <v>8</v>
      </c>
      <c r="J159" t="s">
        <v>13</v>
      </c>
      <c r="K159" t="s">
        <v>27</v>
      </c>
      <c r="L159">
        <v>40</v>
      </c>
    </row>
    <row r="160" spans="1:12" x14ac:dyDescent="0.3">
      <c r="A160">
        <v>1033</v>
      </c>
      <c r="B160" t="s">
        <v>24</v>
      </c>
      <c r="C160" s="1">
        <v>45862</v>
      </c>
      <c r="D160" s="1" t="str">
        <f xml:space="preserve"> TEXT(FilmaxData[[#This Row],[Show_Date]],"MMM")</f>
        <v>Jul</v>
      </c>
      <c r="E160" s="1" t="str">
        <f xml:space="preserve"> TEXT(FilmaxData[[#This Row],[Show_Date]],"DDD")</f>
        <v>Thu</v>
      </c>
      <c r="F160" t="s">
        <v>11</v>
      </c>
      <c r="G160" t="s">
        <v>30</v>
      </c>
      <c r="H160">
        <v>4</v>
      </c>
      <c r="I160">
        <v>8</v>
      </c>
      <c r="J160" t="s">
        <v>13</v>
      </c>
      <c r="K160" t="s">
        <v>27</v>
      </c>
      <c r="L160">
        <v>32</v>
      </c>
    </row>
    <row r="161" spans="1:12" x14ac:dyDescent="0.3">
      <c r="A161">
        <v>1209</v>
      </c>
      <c r="B161" t="s">
        <v>24</v>
      </c>
      <c r="C161" s="1">
        <v>45917</v>
      </c>
      <c r="D161" s="1" t="str">
        <f xml:space="preserve"> TEXT(FilmaxData[[#This Row],[Show_Date]],"MMM")</f>
        <v>Sep</v>
      </c>
      <c r="E161" s="1" t="str">
        <f xml:space="preserve"> TEXT(FilmaxData[[#This Row],[Show_Date]],"DDD")</f>
        <v>Wed</v>
      </c>
      <c r="F161" t="s">
        <v>11</v>
      </c>
      <c r="G161" t="s">
        <v>17</v>
      </c>
      <c r="H161">
        <v>4</v>
      </c>
      <c r="I161">
        <v>12</v>
      </c>
      <c r="J161" t="s">
        <v>21</v>
      </c>
      <c r="K161" t="s">
        <v>27</v>
      </c>
      <c r="L161">
        <v>48</v>
      </c>
    </row>
    <row r="162" spans="1:12" x14ac:dyDescent="0.3">
      <c r="A162">
        <v>1862</v>
      </c>
      <c r="B162" t="s">
        <v>10</v>
      </c>
      <c r="C162" s="1">
        <v>45901</v>
      </c>
      <c r="D162" s="1" t="str">
        <f xml:space="preserve"> TEXT(FilmaxData[[#This Row],[Show_Date]],"MMM")</f>
        <v>Sep</v>
      </c>
      <c r="E162" s="1" t="str">
        <f xml:space="preserve"> TEXT(FilmaxData[[#This Row],[Show_Date]],"DDD")</f>
        <v>Mon</v>
      </c>
      <c r="F162" t="s">
        <v>11</v>
      </c>
      <c r="G162" t="s">
        <v>12</v>
      </c>
      <c r="H162">
        <v>4</v>
      </c>
      <c r="I162">
        <v>25</v>
      </c>
      <c r="J162" t="s">
        <v>23</v>
      </c>
      <c r="K162" t="s">
        <v>14</v>
      </c>
      <c r="L162">
        <v>100</v>
      </c>
    </row>
    <row r="163" spans="1:12" x14ac:dyDescent="0.3">
      <c r="A163">
        <v>710</v>
      </c>
      <c r="B163" t="s">
        <v>19</v>
      </c>
      <c r="C163" s="1">
        <v>45854</v>
      </c>
      <c r="D163" s="1" t="str">
        <f xml:space="preserve"> TEXT(FilmaxData[[#This Row],[Show_Date]],"MMM")</f>
        <v>Jul</v>
      </c>
      <c r="E163" s="1" t="str">
        <f xml:space="preserve"> TEXT(FilmaxData[[#This Row],[Show_Date]],"DDD")</f>
        <v>Wed</v>
      </c>
      <c r="F163" t="s">
        <v>11</v>
      </c>
      <c r="G163" t="s">
        <v>17</v>
      </c>
      <c r="H163">
        <v>5</v>
      </c>
      <c r="I163">
        <v>12</v>
      </c>
      <c r="J163" t="s">
        <v>23</v>
      </c>
      <c r="K163" t="s">
        <v>25</v>
      </c>
      <c r="L163">
        <v>60</v>
      </c>
    </row>
    <row r="164" spans="1:12" x14ac:dyDescent="0.3">
      <c r="A164">
        <v>720</v>
      </c>
      <c r="B164" t="s">
        <v>31</v>
      </c>
      <c r="C164" s="1">
        <v>45928</v>
      </c>
      <c r="D164" s="1" t="str">
        <f xml:space="preserve"> TEXT(FilmaxData[[#This Row],[Show_Date]],"MMM")</f>
        <v>Sep</v>
      </c>
      <c r="E164" s="1" t="str">
        <f xml:space="preserve"> TEXT(FilmaxData[[#This Row],[Show_Date]],"DDD")</f>
        <v>Sun</v>
      </c>
      <c r="F164" t="s">
        <v>11</v>
      </c>
      <c r="G164" t="s">
        <v>17</v>
      </c>
      <c r="H164">
        <v>3</v>
      </c>
      <c r="I164">
        <v>12</v>
      </c>
      <c r="J164" t="s">
        <v>13</v>
      </c>
      <c r="K164" t="s">
        <v>18</v>
      </c>
      <c r="L164">
        <v>36</v>
      </c>
    </row>
    <row r="165" spans="1:12" x14ac:dyDescent="0.3">
      <c r="A165">
        <v>73</v>
      </c>
      <c r="B165" t="s">
        <v>24</v>
      </c>
      <c r="C165" s="1">
        <v>45919</v>
      </c>
      <c r="D165" s="1" t="str">
        <f xml:space="preserve"> TEXT(FilmaxData[[#This Row],[Show_Date]],"MMM")</f>
        <v>Sep</v>
      </c>
      <c r="E165" s="1" t="str">
        <f xml:space="preserve"> TEXT(FilmaxData[[#This Row],[Show_Date]],"DDD")</f>
        <v>Fri</v>
      </c>
      <c r="F165" t="s">
        <v>11</v>
      </c>
      <c r="G165" t="s">
        <v>17</v>
      </c>
      <c r="H165">
        <v>1</v>
      </c>
      <c r="I165">
        <v>12</v>
      </c>
      <c r="J165" t="s">
        <v>23</v>
      </c>
      <c r="K165" t="s">
        <v>18</v>
      </c>
      <c r="L165">
        <v>12</v>
      </c>
    </row>
    <row r="166" spans="1:12" x14ac:dyDescent="0.3">
      <c r="A166">
        <v>805</v>
      </c>
      <c r="B166" t="s">
        <v>10</v>
      </c>
      <c r="C166" s="1">
        <v>45852</v>
      </c>
      <c r="D166" s="1" t="str">
        <f xml:space="preserve"> TEXT(FilmaxData[[#This Row],[Show_Date]],"MMM")</f>
        <v>Jul</v>
      </c>
      <c r="E166" s="1" t="str">
        <f xml:space="preserve"> TEXT(FilmaxData[[#This Row],[Show_Date]],"DDD")</f>
        <v>Mon</v>
      </c>
      <c r="F166" t="s">
        <v>11</v>
      </c>
      <c r="G166" t="s">
        <v>12</v>
      </c>
      <c r="H166">
        <v>3</v>
      </c>
      <c r="I166">
        <v>25</v>
      </c>
      <c r="J166" t="s">
        <v>21</v>
      </c>
      <c r="K166" t="s">
        <v>18</v>
      </c>
      <c r="L166">
        <v>75</v>
      </c>
    </row>
    <row r="167" spans="1:12" x14ac:dyDescent="0.3">
      <c r="A167">
        <v>301</v>
      </c>
      <c r="B167" t="s">
        <v>24</v>
      </c>
      <c r="C167" s="1">
        <v>45872</v>
      </c>
      <c r="D167" s="1" t="str">
        <f xml:space="preserve"> TEXT(FilmaxData[[#This Row],[Show_Date]],"MMM")</f>
        <v>Aug</v>
      </c>
      <c r="E167" s="1" t="str">
        <f xml:space="preserve"> TEXT(FilmaxData[[#This Row],[Show_Date]],"DDD")</f>
        <v>Sun</v>
      </c>
      <c r="F167" t="s">
        <v>11</v>
      </c>
      <c r="G167" t="s">
        <v>22</v>
      </c>
      <c r="H167">
        <v>5</v>
      </c>
      <c r="I167">
        <v>20</v>
      </c>
      <c r="J167" t="s">
        <v>13</v>
      </c>
      <c r="K167" t="s">
        <v>27</v>
      </c>
      <c r="L167">
        <v>100</v>
      </c>
    </row>
    <row r="168" spans="1:12" x14ac:dyDescent="0.3">
      <c r="A168">
        <v>795</v>
      </c>
      <c r="B168" t="s">
        <v>24</v>
      </c>
      <c r="C168" s="1">
        <v>45844</v>
      </c>
      <c r="D168" s="1" t="str">
        <f xml:space="preserve"> TEXT(FilmaxData[[#This Row],[Show_Date]],"MMM")</f>
        <v>Jul</v>
      </c>
      <c r="E168" s="1" t="str">
        <f xml:space="preserve"> TEXT(FilmaxData[[#This Row],[Show_Date]],"DDD")</f>
        <v>Sun</v>
      </c>
      <c r="F168" t="s">
        <v>11</v>
      </c>
      <c r="G168" t="s">
        <v>17</v>
      </c>
      <c r="H168">
        <v>3</v>
      </c>
      <c r="I168">
        <v>12</v>
      </c>
      <c r="J168" t="s">
        <v>23</v>
      </c>
      <c r="K168" t="s">
        <v>14</v>
      </c>
      <c r="L168">
        <v>36</v>
      </c>
    </row>
    <row r="169" spans="1:12" x14ac:dyDescent="0.3">
      <c r="A169">
        <v>1126</v>
      </c>
      <c r="B169" t="s">
        <v>24</v>
      </c>
      <c r="C169" s="1">
        <v>45909</v>
      </c>
      <c r="D169" s="1" t="str">
        <f xml:space="preserve"> TEXT(FilmaxData[[#This Row],[Show_Date]],"MMM")</f>
        <v>Sep</v>
      </c>
      <c r="E169" s="1" t="str">
        <f xml:space="preserve"> TEXT(FilmaxData[[#This Row],[Show_Date]],"DDD")</f>
        <v>Tue</v>
      </c>
      <c r="F169" t="s">
        <v>11</v>
      </c>
      <c r="G169" t="s">
        <v>12</v>
      </c>
      <c r="H169">
        <v>2</v>
      </c>
      <c r="I169">
        <v>25</v>
      </c>
      <c r="J169" t="s">
        <v>21</v>
      </c>
      <c r="K169" t="s">
        <v>18</v>
      </c>
      <c r="L169">
        <v>50</v>
      </c>
    </row>
    <row r="170" spans="1:12" x14ac:dyDescent="0.3">
      <c r="A170">
        <v>327</v>
      </c>
      <c r="B170" t="s">
        <v>24</v>
      </c>
      <c r="C170" s="1">
        <v>45886</v>
      </c>
      <c r="D170" s="1" t="str">
        <f xml:space="preserve"> TEXT(FilmaxData[[#This Row],[Show_Date]],"MMM")</f>
        <v>Aug</v>
      </c>
      <c r="E170" s="1" t="str">
        <f xml:space="preserve"> TEXT(FilmaxData[[#This Row],[Show_Date]],"DDD")</f>
        <v>Sun</v>
      </c>
      <c r="F170" t="s">
        <v>11</v>
      </c>
      <c r="G170" t="s">
        <v>22</v>
      </c>
      <c r="H170">
        <v>3</v>
      </c>
      <c r="I170">
        <v>20</v>
      </c>
      <c r="J170" t="s">
        <v>23</v>
      </c>
      <c r="K170" t="s">
        <v>18</v>
      </c>
      <c r="L170">
        <v>60</v>
      </c>
    </row>
    <row r="171" spans="1:12" x14ac:dyDescent="0.3">
      <c r="A171">
        <v>744</v>
      </c>
      <c r="B171" t="s">
        <v>24</v>
      </c>
      <c r="C171" s="1">
        <v>45910</v>
      </c>
      <c r="D171" s="1" t="str">
        <f xml:space="preserve"> TEXT(FilmaxData[[#This Row],[Show_Date]],"MMM")</f>
        <v>Sep</v>
      </c>
      <c r="E171" s="1" t="str">
        <f xml:space="preserve"> TEXT(FilmaxData[[#This Row],[Show_Date]],"DDD")</f>
        <v>Wed</v>
      </c>
      <c r="F171" t="s">
        <v>11</v>
      </c>
      <c r="G171" t="s">
        <v>17</v>
      </c>
      <c r="H171">
        <v>4</v>
      </c>
      <c r="I171">
        <v>12</v>
      </c>
      <c r="J171" t="s">
        <v>23</v>
      </c>
      <c r="K171" t="s">
        <v>27</v>
      </c>
      <c r="L171">
        <v>48</v>
      </c>
    </row>
    <row r="172" spans="1:12" x14ac:dyDescent="0.3">
      <c r="A172">
        <v>1539</v>
      </c>
      <c r="B172" t="s">
        <v>24</v>
      </c>
      <c r="C172" s="1">
        <v>45930</v>
      </c>
      <c r="D172" s="1" t="str">
        <f xml:space="preserve"> TEXT(FilmaxData[[#This Row],[Show_Date]],"MMM")</f>
        <v>Sep</v>
      </c>
      <c r="E172" s="1" t="str">
        <f xml:space="preserve"> TEXT(FilmaxData[[#This Row],[Show_Date]],"DDD")</f>
        <v>Tue</v>
      </c>
      <c r="F172" t="s">
        <v>11</v>
      </c>
      <c r="G172" t="s">
        <v>30</v>
      </c>
      <c r="H172">
        <v>2</v>
      </c>
      <c r="I172">
        <v>8</v>
      </c>
      <c r="J172" t="s">
        <v>21</v>
      </c>
      <c r="K172" t="s">
        <v>27</v>
      </c>
      <c r="L172">
        <v>16</v>
      </c>
    </row>
    <row r="173" spans="1:12" x14ac:dyDescent="0.3">
      <c r="A173">
        <v>1094</v>
      </c>
      <c r="B173" t="s">
        <v>24</v>
      </c>
      <c r="C173" s="1">
        <v>45907</v>
      </c>
      <c r="D173" s="1" t="str">
        <f xml:space="preserve"> TEXT(FilmaxData[[#This Row],[Show_Date]],"MMM")</f>
        <v>Sep</v>
      </c>
      <c r="E173" s="1" t="str">
        <f xml:space="preserve"> TEXT(FilmaxData[[#This Row],[Show_Date]],"DDD")</f>
        <v>Sun</v>
      </c>
      <c r="F173" t="s">
        <v>11</v>
      </c>
      <c r="G173" t="s">
        <v>22</v>
      </c>
      <c r="H173">
        <v>4</v>
      </c>
      <c r="I173">
        <v>20</v>
      </c>
      <c r="J173" t="s">
        <v>13</v>
      </c>
      <c r="K173" t="s">
        <v>25</v>
      </c>
      <c r="L173">
        <v>80</v>
      </c>
    </row>
    <row r="174" spans="1:12" x14ac:dyDescent="0.3">
      <c r="A174">
        <v>189</v>
      </c>
      <c r="B174" t="s">
        <v>24</v>
      </c>
      <c r="C174" s="1">
        <v>45907</v>
      </c>
      <c r="D174" s="1" t="str">
        <f xml:space="preserve"> TEXT(FilmaxData[[#This Row],[Show_Date]],"MMM")</f>
        <v>Sep</v>
      </c>
      <c r="E174" s="1" t="str">
        <f xml:space="preserve"> TEXT(FilmaxData[[#This Row],[Show_Date]],"DDD")</f>
        <v>Sun</v>
      </c>
      <c r="F174" t="s">
        <v>11</v>
      </c>
      <c r="G174" t="s">
        <v>30</v>
      </c>
      <c r="H174">
        <v>3</v>
      </c>
      <c r="I174">
        <v>8</v>
      </c>
      <c r="J174" t="s">
        <v>13</v>
      </c>
      <c r="K174" t="s">
        <v>14</v>
      </c>
      <c r="L174">
        <v>24</v>
      </c>
    </row>
    <row r="175" spans="1:12" x14ac:dyDescent="0.3">
      <c r="A175">
        <v>548</v>
      </c>
      <c r="B175" t="s">
        <v>24</v>
      </c>
      <c r="C175" s="1">
        <v>45905</v>
      </c>
      <c r="D175" s="1" t="str">
        <f xml:space="preserve"> TEXT(FilmaxData[[#This Row],[Show_Date]],"MMM")</f>
        <v>Sep</v>
      </c>
      <c r="E175" s="1" t="str">
        <f xml:space="preserve"> TEXT(FilmaxData[[#This Row],[Show_Date]],"DDD")</f>
        <v>Fri</v>
      </c>
      <c r="F175" t="s">
        <v>11</v>
      </c>
      <c r="G175" t="s">
        <v>17</v>
      </c>
      <c r="H175">
        <v>2</v>
      </c>
      <c r="I175">
        <v>12</v>
      </c>
      <c r="J175" t="s">
        <v>21</v>
      </c>
      <c r="K175" t="s">
        <v>18</v>
      </c>
      <c r="L175">
        <v>24</v>
      </c>
    </row>
    <row r="176" spans="1:12" x14ac:dyDescent="0.3">
      <c r="A176">
        <v>496</v>
      </c>
      <c r="B176" t="s">
        <v>24</v>
      </c>
      <c r="C176" s="1">
        <v>45860</v>
      </c>
      <c r="D176" s="1" t="str">
        <f xml:space="preserve"> TEXT(FilmaxData[[#This Row],[Show_Date]],"MMM")</f>
        <v>Jul</v>
      </c>
      <c r="E176" s="1" t="str">
        <f xml:space="preserve"> TEXT(FilmaxData[[#This Row],[Show_Date]],"DDD")</f>
        <v>Tue</v>
      </c>
      <c r="F176" t="s">
        <v>11</v>
      </c>
      <c r="G176" t="s">
        <v>17</v>
      </c>
      <c r="H176">
        <v>1</v>
      </c>
      <c r="I176">
        <v>12</v>
      </c>
      <c r="J176" t="s">
        <v>13</v>
      </c>
      <c r="K176" t="s">
        <v>18</v>
      </c>
      <c r="L176">
        <v>12</v>
      </c>
    </row>
    <row r="177" spans="1:12" x14ac:dyDescent="0.3">
      <c r="A177">
        <v>1134</v>
      </c>
      <c r="B177" t="s">
        <v>24</v>
      </c>
      <c r="C177" s="1">
        <v>45908</v>
      </c>
      <c r="D177" s="1" t="str">
        <f xml:space="preserve"> TEXT(FilmaxData[[#This Row],[Show_Date]],"MMM")</f>
        <v>Sep</v>
      </c>
      <c r="E177" s="1" t="str">
        <f xml:space="preserve"> TEXT(FilmaxData[[#This Row],[Show_Date]],"DDD")</f>
        <v>Mon</v>
      </c>
      <c r="F177" t="s">
        <v>11</v>
      </c>
      <c r="G177" t="s">
        <v>12</v>
      </c>
      <c r="H177">
        <v>5</v>
      </c>
      <c r="I177">
        <v>25</v>
      </c>
      <c r="J177" t="s">
        <v>13</v>
      </c>
      <c r="K177" t="s">
        <v>27</v>
      </c>
      <c r="L177">
        <v>125</v>
      </c>
    </row>
    <row r="178" spans="1:12" x14ac:dyDescent="0.3">
      <c r="A178">
        <v>1563</v>
      </c>
      <c r="B178" t="s">
        <v>24</v>
      </c>
      <c r="C178" s="1">
        <v>45882</v>
      </c>
      <c r="D178" s="1" t="str">
        <f xml:space="preserve"> TEXT(FilmaxData[[#This Row],[Show_Date]],"MMM")</f>
        <v>Aug</v>
      </c>
      <c r="E178" s="1" t="str">
        <f xml:space="preserve"> TEXT(FilmaxData[[#This Row],[Show_Date]],"DDD")</f>
        <v>Wed</v>
      </c>
      <c r="F178" t="s">
        <v>11</v>
      </c>
      <c r="G178" t="s">
        <v>17</v>
      </c>
      <c r="H178">
        <v>2</v>
      </c>
      <c r="I178">
        <v>12</v>
      </c>
      <c r="J178" t="s">
        <v>23</v>
      </c>
      <c r="K178" t="s">
        <v>25</v>
      </c>
      <c r="L178">
        <v>24</v>
      </c>
    </row>
    <row r="179" spans="1:12" x14ac:dyDescent="0.3">
      <c r="A179">
        <v>1936</v>
      </c>
      <c r="B179" t="s">
        <v>24</v>
      </c>
      <c r="C179" s="1">
        <v>45922</v>
      </c>
      <c r="D179" s="1" t="str">
        <f xml:space="preserve"> TEXT(FilmaxData[[#This Row],[Show_Date]],"MMM")</f>
        <v>Sep</v>
      </c>
      <c r="E179" s="1" t="str">
        <f xml:space="preserve"> TEXT(FilmaxData[[#This Row],[Show_Date]],"DDD")</f>
        <v>Mon</v>
      </c>
      <c r="F179" t="s">
        <v>11</v>
      </c>
      <c r="G179" t="s">
        <v>12</v>
      </c>
      <c r="H179">
        <v>5</v>
      </c>
      <c r="I179">
        <v>25</v>
      </c>
      <c r="J179" t="s">
        <v>21</v>
      </c>
      <c r="K179" t="s">
        <v>25</v>
      </c>
      <c r="L179">
        <v>125</v>
      </c>
    </row>
    <row r="180" spans="1:12" x14ac:dyDescent="0.3">
      <c r="A180">
        <v>979</v>
      </c>
      <c r="B180" t="s">
        <v>24</v>
      </c>
      <c r="C180" s="1">
        <v>45851</v>
      </c>
      <c r="D180" s="1" t="str">
        <f xml:space="preserve"> TEXT(FilmaxData[[#This Row],[Show_Date]],"MMM")</f>
        <v>Jul</v>
      </c>
      <c r="E180" s="1" t="str">
        <f xml:space="preserve"> TEXT(FilmaxData[[#This Row],[Show_Date]],"DDD")</f>
        <v>Sun</v>
      </c>
      <c r="F180" t="s">
        <v>11</v>
      </c>
      <c r="G180" t="s">
        <v>30</v>
      </c>
      <c r="H180">
        <v>1</v>
      </c>
      <c r="I180">
        <v>8</v>
      </c>
      <c r="J180" t="s">
        <v>13</v>
      </c>
      <c r="K180" t="s">
        <v>14</v>
      </c>
      <c r="L180">
        <v>8</v>
      </c>
    </row>
    <row r="181" spans="1:12" x14ac:dyDescent="0.3">
      <c r="A181">
        <v>1741</v>
      </c>
      <c r="B181" t="s">
        <v>24</v>
      </c>
      <c r="C181" s="1">
        <v>45917</v>
      </c>
      <c r="D181" s="1" t="str">
        <f xml:space="preserve"> TEXT(FilmaxData[[#This Row],[Show_Date]],"MMM")</f>
        <v>Sep</v>
      </c>
      <c r="E181" s="1" t="str">
        <f xml:space="preserve"> TEXT(FilmaxData[[#This Row],[Show_Date]],"DDD")</f>
        <v>Wed</v>
      </c>
      <c r="F181" t="s">
        <v>11</v>
      </c>
      <c r="G181" t="s">
        <v>29</v>
      </c>
      <c r="H181">
        <v>4</v>
      </c>
      <c r="I181">
        <v>30</v>
      </c>
      <c r="J181" t="s">
        <v>23</v>
      </c>
      <c r="K181" t="s">
        <v>18</v>
      </c>
      <c r="L181">
        <v>120</v>
      </c>
    </row>
    <row r="182" spans="1:12" x14ac:dyDescent="0.3">
      <c r="A182">
        <v>1852</v>
      </c>
      <c r="B182" t="s">
        <v>24</v>
      </c>
      <c r="C182" s="1">
        <v>45915</v>
      </c>
      <c r="D182" s="1" t="str">
        <f xml:space="preserve"> TEXT(FilmaxData[[#This Row],[Show_Date]],"MMM")</f>
        <v>Sep</v>
      </c>
      <c r="E182" s="1" t="str">
        <f xml:space="preserve"> TEXT(FilmaxData[[#This Row],[Show_Date]],"DDD")</f>
        <v>Mon</v>
      </c>
      <c r="F182" t="s">
        <v>11</v>
      </c>
      <c r="G182" t="s">
        <v>17</v>
      </c>
      <c r="H182">
        <v>4</v>
      </c>
      <c r="I182">
        <v>12</v>
      </c>
      <c r="J182" t="s">
        <v>21</v>
      </c>
      <c r="K182" t="s">
        <v>18</v>
      </c>
      <c r="L182">
        <v>48</v>
      </c>
    </row>
    <row r="183" spans="1:12" x14ac:dyDescent="0.3">
      <c r="A183">
        <v>1596</v>
      </c>
      <c r="B183" t="s">
        <v>24</v>
      </c>
      <c r="C183" s="1">
        <v>45869</v>
      </c>
      <c r="D183" s="1" t="str">
        <f xml:space="preserve"> TEXT(FilmaxData[[#This Row],[Show_Date]],"MMM")</f>
        <v>Jul</v>
      </c>
      <c r="E183" s="1" t="str">
        <f xml:space="preserve"> TEXT(FilmaxData[[#This Row],[Show_Date]],"DDD")</f>
        <v>Thu</v>
      </c>
      <c r="F183" t="s">
        <v>11</v>
      </c>
      <c r="G183" t="s">
        <v>12</v>
      </c>
      <c r="H183">
        <v>3</v>
      </c>
      <c r="I183">
        <v>25</v>
      </c>
      <c r="J183" t="s">
        <v>21</v>
      </c>
      <c r="K183" t="s">
        <v>18</v>
      </c>
      <c r="L183">
        <v>75</v>
      </c>
    </row>
    <row r="184" spans="1:12" x14ac:dyDescent="0.3">
      <c r="A184">
        <v>471</v>
      </c>
      <c r="B184" t="s">
        <v>24</v>
      </c>
      <c r="C184" s="1">
        <v>45913</v>
      </c>
      <c r="D184" s="1" t="str">
        <f xml:space="preserve"> TEXT(FilmaxData[[#This Row],[Show_Date]],"MMM")</f>
        <v>Sep</v>
      </c>
      <c r="E184" s="1" t="str">
        <f xml:space="preserve"> TEXT(FilmaxData[[#This Row],[Show_Date]],"DDD")</f>
        <v>Sat</v>
      </c>
      <c r="F184" t="s">
        <v>11</v>
      </c>
      <c r="G184" t="s">
        <v>17</v>
      </c>
      <c r="H184">
        <v>3</v>
      </c>
      <c r="I184">
        <v>12</v>
      </c>
      <c r="J184" t="s">
        <v>23</v>
      </c>
      <c r="K184" t="s">
        <v>25</v>
      </c>
      <c r="L184">
        <v>36</v>
      </c>
    </row>
    <row r="185" spans="1:12" x14ac:dyDescent="0.3">
      <c r="A185">
        <v>123</v>
      </c>
      <c r="B185" t="s">
        <v>24</v>
      </c>
      <c r="C185" s="1">
        <v>45920</v>
      </c>
      <c r="D185" s="1" t="str">
        <f xml:space="preserve"> TEXT(FilmaxData[[#This Row],[Show_Date]],"MMM")</f>
        <v>Sep</v>
      </c>
      <c r="E185" s="1" t="str">
        <f xml:space="preserve"> TEXT(FilmaxData[[#This Row],[Show_Date]],"DDD")</f>
        <v>Sat</v>
      </c>
      <c r="F185" t="s">
        <v>11</v>
      </c>
      <c r="G185" t="s">
        <v>29</v>
      </c>
      <c r="H185">
        <v>1</v>
      </c>
      <c r="I185">
        <v>30</v>
      </c>
      <c r="J185" t="s">
        <v>13</v>
      </c>
      <c r="K185" t="s">
        <v>18</v>
      </c>
      <c r="L185">
        <v>30</v>
      </c>
    </row>
    <row r="186" spans="1:12" x14ac:dyDescent="0.3">
      <c r="A186">
        <v>1579</v>
      </c>
      <c r="B186" t="s">
        <v>24</v>
      </c>
      <c r="C186" s="1">
        <v>45908</v>
      </c>
      <c r="D186" s="1" t="str">
        <f xml:space="preserve"> TEXT(FilmaxData[[#This Row],[Show_Date]],"MMM")</f>
        <v>Sep</v>
      </c>
      <c r="E186" s="1" t="str">
        <f xml:space="preserve"> TEXT(FilmaxData[[#This Row],[Show_Date]],"DDD")</f>
        <v>Mon</v>
      </c>
      <c r="F186" t="s">
        <v>11</v>
      </c>
      <c r="G186" t="s">
        <v>30</v>
      </c>
      <c r="H186">
        <v>2</v>
      </c>
      <c r="I186">
        <v>8</v>
      </c>
      <c r="J186" t="s">
        <v>23</v>
      </c>
      <c r="K186" t="s">
        <v>14</v>
      </c>
      <c r="L186">
        <v>16</v>
      </c>
    </row>
    <row r="187" spans="1:12" x14ac:dyDescent="0.3">
      <c r="A187">
        <v>305</v>
      </c>
      <c r="B187" t="s">
        <v>24</v>
      </c>
      <c r="C187" s="1">
        <v>45859</v>
      </c>
      <c r="D187" s="1" t="str">
        <f xml:space="preserve"> TEXT(FilmaxData[[#This Row],[Show_Date]],"MMM")</f>
        <v>Jul</v>
      </c>
      <c r="E187" s="1" t="str">
        <f xml:space="preserve"> TEXT(FilmaxData[[#This Row],[Show_Date]],"DDD")</f>
        <v>Mon</v>
      </c>
      <c r="F187" t="s">
        <v>11</v>
      </c>
      <c r="G187" t="s">
        <v>29</v>
      </c>
      <c r="H187">
        <v>4</v>
      </c>
      <c r="I187">
        <v>30</v>
      </c>
      <c r="J187" t="s">
        <v>21</v>
      </c>
      <c r="K187" t="s">
        <v>18</v>
      </c>
      <c r="L187">
        <v>120</v>
      </c>
    </row>
    <row r="188" spans="1:12" x14ac:dyDescent="0.3">
      <c r="A188">
        <v>1115</v>
      </c>
      <c r="B188" t="s">
        <v>24</v>
      </c>
      <c r="C188" s="1">
        <v>45850</v>
      </c>
      <c r="D188" s="1" t="str">
        <f xml:space="preserve"> TEXT(FilmaxData[[#This Row],[Show_Date]],"MMM")</f>
        <v>Jul</v>
      </c>
      <c r="E188" s="1" t="str">
        <f xml:space="preserve"> TEXT(FilmaxData[[#This Row],[Show_Date]],"DDD")</f>
        <v>Sat</v>
      </c>
      <c r="F188" t="s">
        <v>11</v>
      </c>
      <c r="G188" t="s">
        <v>17</v>
      </c>
      <c r="H188">
        <v>4</v>
      </c>
      <c r="I188">
        <v>12</v>
      </c>
      <c r="J188" t="s">
        <v>23</v>
      </c>
      <c r="K188" t="s">
        <v>25</v>
      </c>
      <c r="L188">
        <v>48</v>
      </c>
    </row>
    <row r="189" spans="1:12" x14ac:dyDescent="0.3">
      <c r="A189">
        <v>532</v>
      </c>
      <c r="B189" t="s">
        <v>24</v>
      </c>
      <c r="C189" s="1">
        <v>45859</v>
      </c>
      <c r="D189" s="1" t="str">
        <f xml:space="preserve"> TEXT(FilmaxData[[#This Row],[Show_Date]],"MMM")</f>
        <v>Jul</v>
      </c>
      <c r="E189" s="1" t="str">
        <f xml:space="preserve"> TEXT(FilmaxData[[#This Row],[Show_Date]],"DDD")</f>
        <v>Mon</v>
      </c>
      <c r="F189" t="s">
        <v>11</v>
      </c>
      <c r="G189" t="s">
        <v>22</v>
      </c>
      <c r="H189">
        <v>1</v>
      </c>
      <c r="I189">
        <v>20</v>
      </c>
      <c r="J189" t="s">
        <v>23</v>
      </c>
      <c r="K189" t="s">
        <v>27</v>
      </c>
      <c r="L189">
        <v>20</v>
      </c>
    </row>
    <row r="190" spans="1:12" x14ac:dyDescent="0.3">
      <c r="A190">
        <v>1426</v>
      </c>
      <c r="B190" t="s">
        <v>24</v>
      </c>
      <c r="C190" s="1">
        <v>45899</v>
      </c>
      <c r="D190" s="1" t="str">
        <f xml:space="preserve"> TEXT(FilmaxData[[#This Row],[Show_Date]],"MMM")</f>
        <v>Aug</v>
      </c>
      <c r="E190" s="1" t="str">
        <f xml:space="preserve"> TEXT(FilmaxData[[#This Row],[Show_Date]],"DDD")</f>
        <v>Sat</v>
      </c>
      <c r="F190" t="s">
        <v>11</v>
      </c>
      <c r="G190" t="s">
        <v>12</v>
      </c>
      <c r="H190">
        <v>5</v>
      </c>
      <c r="I190">
        <v>25</v>
      </c>
      <c r="J190" t="s">
        <v>13</v>
      </c>
      <c r="K190" t="s">
        <v>27</v>
      </c>
      <c r="L190">
        <v>125</v>
      </c>
    </row>
    <row r="191" spans="1:12" x14ac:dyDescent="0.3">
      <c r="A191">
        <v>504</v>
      </c>
      <c r="B191" t="s">
        <v>24</v>
      </c>
      <c r="C191" s="1">
        <v>45864</v>
      </c>
      <c r="D191" s="1" t="str">
        <f xml:space="preserve"> TEXT(FilmaxData[[#This Row],[Show_Date]],"MMM")</f>
        <v>Jul</v>
      </c>
      <c r="E191" s="1" t="str">
        <f xml:space="preserve"> TEXT(FilmaxData[[#This Row],[Show_Date]],"DDD")</f>
        <v>Sat</v>
      </c>
      <c r="F191" t="s">
        <v>11</v>
      </c>
      <c r="G191" t="s">
        <v>29</v>
      </c>
      <c r="H191">
        <v>1</v>
      </c>
      <c r="I191">
        <v>30</v>
      </c>
      <c r="J191" t="s">
        <v>13</v>
      </c>
      <c r="K191" t="s">
        <v>25</v>
      </c>
      <c r="L191">
        <v>30</v>
      </c>
    </row>
    <row r="192" spans="1:12" x14ac:dyDescent="0.3">
      <c r="A192">
        <v>359</v>
      </c>
      <c r="B192" t="s">
        <v>24</v>
      </c>
      <c r="C192" s="1">
        <v>45867</v>
      </c>
      <c r="D192" s="1" t="str">
        <f xml:space="preserve"> TEXT(FilmaxData[[#This Row],[Show_Date]],"MMM")</f>
        <v>Jul</v>
      </c>
      <c r="E192" s="1" t="str">
        <f xml:space="preserve"> TEXT(FilmaxData[[#This Row],[Show_Date]],"DDD")</f>
        <v>Tue</v>
      </c>
      <c r="F192" t="s">
        <v>11</v>
      </c>
      <c r="G192" t="s">
        <v>12</v>
      </c>
      <c r="H192">
        <v>4</v>
      </c>
      <c r="I192">
        <v>25</v>
      </c>
      <c r="J192" t="s">
        <v>13</v>
      </c>
      <c r="K192" t="s">
        <v>25</v>
      </c>
      <c r="L192">
        <v>100</v>
      </c>
    </row>
    <row r="193" spans="1:12" x14ac:dyDescent="0.3">
      <c r="A193">
        <v>1867</v>
      </c>
      <c r="B193" t="s">
        <v>24</v>
      </c>
      <c r="C193" s="1">
        <v>45847</v>
      </c>
      <c r="D193" s="1" t="str">
        <f xml:space="preserve"> TEXT(FilmaxData[[#This Row],[Show_Date]],"MMM")</f>
        <v>Jul</v>
      </c>
      <c r="E193" s="1" t="str">
        <f xml:space="preserve"> TEXT(FilmaxData[[#This Row],[Show_Date]],"DDD")</f>
        <v>Wed</v>
      </c>
      <c r="F193" t="s">
        <v>11</v>
      </c>
      <c r="G193" t="s">
        <v>17</v>
      </c>
      <c r="H193">
        <v>5</v>
      </c>
      <c r="I193">
        <v>12</v>
      </c>
      <c r="J193" t="s">
        <v>21</v>
      </c>
      <c r="K193" t="s">
        <v>18</v>
      </c>
      <c r="L193">
        <v>60</v>
      </c>
    </row>
    <row r="194" spans="1:12" x14ac:dyDescent="0.3">
      <c r="A194">
        <v>312</v>
      </c>
      <c r="B194" t="s">
        <v>24</v>
      </c>
      <c r="C194" s="1">
        <v>45921</v>
      </c>
      <c r="D194" s="1" t="str">
        <f xml:space="preserve"> TEXT(FilmaxData[[#This Row],[Show_Date]],"MMM")</f>
        <v>Sep</v>
      </c>
      <c r="E194" s="1" t="str">
        <f xml:space="preserve"> TEXT(FilmaxData[[#This Row],[Show_Date]],"DDD")</f>
        <v>Sun</v>
      </c>
      <c r="F194" t="s">
        <v>11</v>
      </c>
      <c r="G194" t="s">
        <v>22</v>
      </c>
      <c r="H194">
        <v>1</v>
      </c>
      <c r="I194">
        <v>20</v>
      </c>
      <c r="J194" t="s">
        <v>23</v>
      </c>
      <c r="K194" t="s">
        <v>18</v>
      </c>
      <c r="L194">
        <v>20</v>
      </c>
    </row>
    <row r="195" spans="1:12" x14ac:dyDescent="0.3">
      <c r="A195">
        <v>1999</v>
      </c>
      <c r="B195" t="s">
        <v>24</v>
      </c>
      <c r="C195" s="1">
        <v>45921</v>
      </c>
      <c r="D195" s="1" t="str">
        <f xml:space="preserve"> TEXT(FilmaxData[[#This Row],[Show_Date]],"MMM")</f>
        <v>Sep</v>
      </c>
      <c r="E195" s="1" t="str">
        <f xml:space="preserve"> TEXT(FilmaxData[[#This Row],[Show_Date]],"DDD")</f>
        <v>Sun</v>
      </c>
      <c r="F195" t="s">
        <v>11</v>
      </c>
      <c r="G195" t="s">
        <v>12</v>
      </c>
      <c r="H195">
        <v>4</v>
      </c>
      <c r="I195">
        <v>25</v>
      </c>
      <c r="J195" t="s">
        <v>13</v>
      </c>
      <c r="K195" t="s">
        <v>14</v>
      </c>
      <c r="L195">
        <v>100</v>
      </c>
    </row>
    <row r="196" spans="1:12" x14ac:dyDescent="0.3">
      <c r="A196">
        <v>291</v>
      </c>
      <c r="B196" t="s">
        <v>24</v>
      </c>
      <c r="C196" s="1">
        <v>45928</v>
      </c>
      <c r="D196" s="1" t="str">
        <f xml:space="preserve"> TEXT(FilmaxData[[#This Row],[Show_Date]],"MMM")</f>
        <v>Sep</v>
      </c>
      <c r="E196" s="1" t="str">
        <f xml:space="preserve"> TEXT(FilmaxData[[#This Row],[Show_Date]],"DDD")</f>
        <v>Sun</v>
      </c>
      <c r="F196" t="s">
        <v>11</v>
      </c>
      <c r="G196" t="s">
        <v>12</v>
      </c>
      <c r="H196">
        <v>1</v>
      </c>
      <c r="I196">
        <v>25</v>
      </c>
      <c r="J196" t="s">
        <v>13</v>
      </c>
      <c r="K196" t="s">
        <v>14</v>
      </c>
      <c r="L196">
        <v>25</v>
      </c>
    </row>
    <row r="197" spans="1:12" x14ac:dyDescent="0.3">
      <c r="A197">
        <v>1708</v>
      </c>
      <c r="B197" t="s">
        <v>24</v>
      </c>
      <c r="C197" s="1">
        <v>45859</v>
      </c>
      <c r="D197" s="1" t="str">
        <f xml:space="preserve"> TEXT(FilmaxData[[#This Row],[Show_Date]],"MMM")</f>
        <v>Jul</v>
      </c>
      <c r="E197" s="1" t="str">
        <f xml:space="preserve"> TEXT(FilmaxData[[#This Row],[Show_Date]],"DDD")</f>
        <v>Mon</v>
      </c>
      <c r="F197" t="s">
        <v>11</v>
      </c>
      <c r="G197" t="s">
        <v>17</v>
      </c>
      <c r="H197">
        <v>4</v>
      </c>
      <c r="I197">
        <v>12</v>
      </c>
      <c r="J197" t="s">
        <v>13</v>
      </c>
      <c r="K197" t="s">
        <v>27</v>
      </c>
      <c r="L197">
        <v>48</v>
      </c>
    </row>
    <row r="198" spans="1:12" x14ac:dyDescent="0.3">
      <c r="A198">
        <v>1345</v>
      </c>
      <c r="B198" t="s">
        <v>24</v>
      </c>
      <c r="C198" s="1">
        <v>45890</v>
      </c>
      <c r="D198" s="1" t="str">
        <f xml:space="preserve"> TEXT(FilmaxData[[#This Row],[Show_Date]],"MMM")</f>
        <v>Aug</v>
      </c>
      <c r="E198" s="1" t="str">
        <f xml:space="preserve"> TEXT(FilmaxData[[#This Row],[Show_Date]],"DDD")</f>
        <v>Thu</v>
      </c>
      <c r="F198" t="s">
        <v>11</v>
      </c>
      <c r="G198" t="s">
        <v>17</v>
      </c>
      <c r="H198">
        <v>2</v>
      </c>
      <c r="I198">
        <v>12</v>
      </c>
      <c r="J198" t="s">
        <v>13</v>
      </c>
      <c r="K198" t="s">
        <v>25</v>
      </c>
      <c r="L198">
        <v>24</v>
      </c>
    </row>
    <row r="199" spans="1:12" x14ac:dyDescent="0.3">
      <c r="A199">
        <v>893</v>
      </c>
      <c r="B199" t="s">
        <v>24</v>
      </c>
      <c r="C199" s="1">
        <v>45892</v>
      </c>
      <c r="D199" s="1" t="str">
        <f xml:space="preserve"> TEXT(FilmaxData[[#This Row],[Show_Date]],"MMM")</f>
        <v>Aug</v>
      </c>
      <c r="E199" s="1" t="str">
        <f xml:space="preserve"> TEXT(FilmaxData[[#This Row],[Show_Date]],"DDD")</f>
        <v>Sat</v>
      </c>
      <c r="F199" t="s">
        <v>11</v>
      </c>
      <c r="G199" t="s">
        <v>30</v>
      </c>
      <c r="H199">
        <v>5</v>
      </c>
      <c r="I199">
        <v>8</v>
      </c>
      <c r="J199" t="s">
        <v>23</v>
      </c>
      <c r="K199" t="s">
        <v>25</v>
      </c>
      <c r="L199">
        <v>40</v>
      </c>
    </row>
    <row r="200" spans="1:12" x14ac:dyDescent="0.3">
      <c r="A200">
        <v>469</v>
      </c>
      <c r="B200" t="s">
        <v>24</v>
      </c>
      <c r="C200" s="1">
        <v>45864</v>
      </c>
      <c r="D200" s="1" t="str">
        <f xml:space="preserve"> TEXT(FilmaxData[[#This Row],[Show_Date]],"MMM")</f>
        <v>Jul</v>
      </c>
      <c r="E200" s="1" t="str">
        <f xml:space="preserve"> TEXT(FilmaxData[[#This Row],[Show_Date]],"DDD")</f>
        <v>Sat</v>
      </c>
      <c r="F200" t="s">
        <v>11</v>
      </c>
      <c r="G200" t="s">
        <v>17</v>
      </c>
      <c r="H200">
        <v>3</v>
      </c>
      <c r="I200">
        <v>12</v>
      </c>
      <c r="J200" t="s">
        <v>13</v>
      </c>
      <c r="K200" t="s">
        <v>18</v>
      </c>
      <c r="L200">
        <v>36</v>
      </c>
    </row>
    <row r="201" spans="1:12" x14ac:dyDescent="0.3">
      <c r="A201">
        <v>1023</v>
      </c>
      <c r="B201" t="s">
        <v>24</v>
      </c>
      <c r="C201" s="1">
        <v>45889</v>
      </c>
      <c r="D201" s="1" t="str">
        <f xml:space="preserve"> TEXT(FilmaxData[[#This Row],[Show_Date]],"MMM")</f>
        <v>Aug</v>
      </c>
      <c r="E201" s="1" t="str">
        <f xml:space="preserve"> TEXT(FilmaxData[[#This Row],[Show_Date]],"DDD")</f>
        <v>Wed</v>
      </c>
      <c r="F201" t="s">
        <v>11</v>
      </c>
      <c r="G201" t="s">
        <v>30</v>
      </c>
      <c r="H201">
        <v>4</v>
      </c>
      <c r="I201">
        <v>8</v>
      </c>
      <c r="J201" t="s">
        <v>21</v>
      </c>
      <c r="K201" t="s">
        <v>25</v>
      </c>
      <c r="L201">
        <v>32</v>
      </c>
    </row>
    <row r="202" spans="1:12" x14ac:dyDescent="0.3">
      <c r="A202">
        <v>75</v>
      </c>
      <c r="B202" t="s">
        <v>24</v>
      </c>
      <c r="C202" s="1">
        <v>45896</v>
      </c>
      <c r="D202" s="1" t="str">
        <f xml:space="preserve"> TEXT(FilmaxData[[#This Row],[Show_Date]],"MMM")</f>
        <v>Aug</v>
      </c>
      <c r="E202" s="1" t="str">
        <f xml:space="preserve"> TEXT(FilmaxData[[#This Row],[Show_Date]],"DDD")</f>
        <v>Wed</v>
      </c>
      <c r="F202" t="s">
        <v>11</v>
      </c>
      <c r="G202" t="s">
        <v>22</v>
      </c>
      <c r="H202">
        <v>3</v>
      </c>
      <c r="I202">
        <v>20</v>
      </c>
      <c r="J202" t="s">
        <v>21</v>
      </c>
      <c r="K202" t="s">
        <v>27</v>
      </c>
      <c r="L202">
        <v>60</v>
      </c>
    </row>
    <row r="203" spans="1:12" x14ac:dyDescent="0.3">
      <c r="A203">
        <v>442</v>
      </c>
      <c r="B203" t="s">
        <v>24</v>
      </c>
      <c r="C203" s="1">
        <v>45878</v>
      </c>
      <c r="D203" s="1" t="str">
        <f xml:space="preserve"> TEXT(FilmaxData[[#This Row],[Show_Date]],"MMM")</f>
        <v>Aug</v>
      </c>
      <c r="E203" s="1" t="str">
        <f xml:space="preserve"> TEXT(FilmaxData[[#This Row],[Show_Date]],"DDD")</f>
        <v>Sat</v>
      </c>
      <c r="F203" t="s">
        <v>11</v>
      </c>
      <c r="G203" t="s">
        <v>12</v>
      </c>
      <c r="H203">
        <v>4</v>
      </c>
      <c r="I203">
        <v>25</v>
      </c>
      <c r="J203" t="s">
        <v>13</v>
      </c>
      <c r="K203" t="s">
        <v>27</v>
      </c>
      <c r="L203">
        <v>100</v>
      </c>
    </row>
    <row r="204" spans="1:12" x14ac:dyDescent="0.3">
      <c r="A204">
        <v>906</v>
      </c>
      <c r="B204" t="s">
        <v>24</v>
      </c>
      <c r="C204" s="1">
        <v>45899</v>
      </c>
      <c r="D204" s="1" t="str">
        <f xml:space="preserve"> TEXT(FilmaxData[[#This Row],[Show_Date]],"MMM")</f>
        <v>Aug</v>
      </c>
      <c r="E204" s="1" t="str">
        <f xml:space="preserve"> TEXT(FilmaxData[[#This Row],[Show_Date]],"DDD")</f>
        <v>Sat</v>
      </c>
      <c r="F204" t="s">
        <v>11</v>
      </c>
      <c r="G204" t="s">
        <v>17</v>
      </c>
      <c r="H204">
        <v>2</v>
      </c>
      <c r="I204">
        <v>12</v>
      </c>
      <c r="J204" t="s">
        <v>13</v>
      </c>
      <c r="K204" t="s">
        <v>18</v>
      </c>
      <c r="L204">
        <v>24</v>
      </c>
    </row>
    <row r="205" spans="1:12" x14ac:dyDescent="0.3">
      <c r="A205">
        <v>1088</v>
      </c>
      <c r="B205" t="s">
        <v>24</v>
      </c>
      <c r="C205" s="1">
        <v>45877</v>
      </c>
      <c r="D205" s="1" t="str">
        <f xml:space="preserve"> TEXT(FilmaxData[[#This Row],[Show_Date]],"MMM")</f>
        <v>Aug</v>
      </c>
      <c r="E205" s="1" t="str">
        <f xml:space="preserve"> TEXT(FilmaxData[[#This Row],[Show_Date]],"DDD")</f>
        <v>Fri</v>
      </c>
      <c r="F205" t="s">
        <v>11</v>
      </c>
      <c r="G205" t="s">
        <v>17</v>
      </c>
      <c r="H205">
        <v>4</v>
      </c>
      <c r="I205">
        <v>12</v>
      </c>
      <c r="J205" t="s">
        <v>21</v>
      </c>
      <c r="K205" t="s">
        <v>25</v>
      </c>
      <c r="L205">
        <v>48</v>
      </c>
    </row>
    <row r="206" spans="1:12" x14ac:dyDescent="0.3">
      <c r="A206">
        <v>1264</v>
      </c>
      <c r="B206" t="s">
        <v>24</v>
      </c>
      <c r="C206" s="1">
        <v>45844</v>
      </c>
      <c r="D206" s="1" t="str">
        <f xml:space="preserve"> TEXT(FilmaxData[[#This Row],[Show_Date]],"MMM")</f>
        <v>Jul</v>
      </c>
      <c r="E206" s="1" t="str">
        <f xml:space="preserve"> TEXT(FilmaxData[[#This Row],[Show_Date]],"DDD")</f>
        <v>Sun</v>
      </c>
      <c r="F206" t="s">
        <v>11</v>
      </c>
      <c r="G206" t="s">
        <v>17</v>
      </c>
      <c r="H206">
        <v>2</v>
      </c>
      <c r="I206">
        <v>12</v>
      </c>
      <c r="J206" t="s">
        <v>23</v>
      </c>
      <c r="K206" t="s">
        <v>27</v>
      </c>
      <c r="L206">
        <v>24</v>
      </c>
    </row>
    <row r="207" spans="1:12" x14ac:dyDescent="0.3">
      <c r="A207">
        <v>964</v>
      </c>
      <c r="B207" t="s">
        <v>24</v>
      </c>
      <c r="C207" s="1">
        <v>45871</v>
      </c>
      <c r="D207" s="1" t="str">
        <f xml:space="preserve"> TEXT(FilmaxData[[#This Row],[Show_Date]],"MMM")</f>
        <v>Aug</v>
      </c>
      <c r="E207" s="1" t="str">
        <f xml:space="preserve"> TEXT(FilmaxData[[#This Row],[Show_Date]],"DDD")</f>
        <v>Sat</v>
      </c>
      <c r="F207" t="s">
        <v>11</v>
      </c>
      <c r="G207" t="s">
        <v>29</v>
      </c>
      <c r="H207">
        <v>3</v>
      </c>
      <c r="I207">
        <v>30</v>
      </c>
      <c r="J207" t="s">
        <v>13</v>
      </c>
      <c r="K207" t="s">
        <v>27</v>
      </c>
      <c r="L207">
        <v>90</v>
      </c>
    </row>
    <row r="208" spans="1:12" x14ac:dyDescent="0.3">
      <c r="A208">
        <v>281</v>
      </c>
      <c r="B208" t="s">
        <v>24</v>
      </c>
      <c r="C208" s="1">
        <v>45894</v>
      </c>
      <c r="D208" s="1" t="str">
        <f xml:space="preserve"> TEXT(FilmaxData[[#This Row],[Show_Date]],"MMM")</f>
        <v>Aug</v>
      </c>
      <c r="E208" s="1" t="str">
        <f xml:space="preserve"> TEXT(FilmaxData[[#This Row],[Show_Date]],"DDD")</f>
        <v>Mon</v>
      </c>
      <c r="F208" t="s">
        <v>11</v>
      </c>
      <c r="G208" t="s">
        <v>17</v>
      </c>
      <c r="H208">
        <v>1</v>
      </c>
      <c r="I208">
        <v>12</v>
      </c>
      <c r="J208" t="s">
        <v>23</v>
      </c>
      <c r="K208" t="s">
        <v>25</v>
      </c>
      <c r="L208">
        <v>12</v>
      </c>
    </row>
    <row r="209" spans="1:12" x14ac:dyDescent="0.3">
      <c r="A209">
        <v>787</v>
      </c>
      <c r="B209" t="s">
        <v>24</v>
      </c>
      <c r="C209" s="1">
        <v>45919</v>
      </c>
      <c r="D209" s="1" t="str">
        <f xml:space="preserve"> TEXT(FilmaxData[[#This Row],[Show_Date]],"MMM")</f>
        <v>Sep</v>
      </c>
      <c r="E209" s="1" t="str">
        <f xml:space="preserve"> TEXT(FilmaxData[[#This Row],[Show_Date]],"DDD")</f>
        <v>Fri</v>
      </c>
      <c r="F209" t="s">
        <v>11</v>
      </c>
      <c r="G209" t="s">
        <v>29</v>
      </c>
      <c r="H209">
        <v>4</v>
      </c>
      <c r="I209">
        <v>30</v>
      </c>
      <c r="J209" t="s">
        <v>21</v>
      </c>
      <c r="K209" t="s">
        <v>18</v>
      </c>
      <c r="L209">
        <v>120</v>
      </c>
    </row>
    <row r="210" spans="1:12" x14ac:dyDescent="0.3">
      <c r="A210">
        <v>814</v>
      </c>
      <c r="B210" t="s">
        <v>24</v>
      </c>
      <c r="C210" s="1">
        <v>45880</v>
      </c>
      <c r="D210" s="1" t="str">
        <f xml:space="preserve"> TEXT(FilmaxData[[#This Row],[Show_Date]],"MMM")</f>
        <v>Aug</v>
      </c>
      <c r="E210" s="1" t="str">
        <f xml:space="preserve"> TEXT(FilmaxData[[#This Row],[Show_Date]],"DDD")</f>
        <v>Mon</v>
      </c>
      <c r="F210" t="s">
        <v>11</v>
      </c>
      <c r="G210" t="s">
        <v>17</v>
      </c>
      <c r="H210">
        <v>3</v>
      </c>
      <c r="I210">
        <v>12</v>
      </c>
      <c r="J210" t="s">
        <v>13</v>
      </c>
      <c r="K210" t="s">
        <v>27</v>
      </c>
      <c r="L210">
        <v>36</v>
      </c>
    </row>
    <row r="211" spans="1:12" x14ac:dyDescent="0.3">
      <c r="A211">
        <v>1634</v>
      </c>
      <c r="B211" t="s">
        <v>24</v>
      </c>
      <c r="C211" s="1">
        <v>45899</v>
      </c>
      <c r="D211" s="1" t="str">
        <f xml:space="preserve"> TEXT(FilmaxData[[#This Row],[Show_Date]],"MMM")</f>
        <v>Aug</v>
      </c>
      <c r="E211" s="1" t="str">
        <f xml:space="preserve"> TEXT(FilmaxData[[#This Row],[Show_Date]],"DDD")</f>
        <v>Sat</v>
      </c>
      <c r="F211" t="s">
        <v>11</v>
      </c>
      <c r="G211" t="s">
        <v>17</v>
      </c>
      <c r="H211">
        <v>1</v>
      </c>
      <c r="I211">
        <v>12</v>
      </c>
      <c r="J211" t="s">
        <v>21</v>
      </c>
      <c r="K211" t="s">
        <v>27</v>
      </c>
      <c r="L211">
        <v>12</v>
      </c>
    </row>
    <row r="212" spans="1:12" x14ac:dyDescent="0.3">
      <c r="A212">
        <v>1371</v>
      </c>
      <c r="B212" t="s">
        <v>24</v>
      </c>
      <c r="C212" s="1">
        <v>45929</v>
      </c>
      <c r="D212" s="1" t="str">
        <f xml:space="preserve"> TEXT(FilmaxData[[#This Row],[Show_Date]],"MMM")</f>
        <v>Sep</v>
      </c>
      <c r="E212" s="1" t="str">
        <f xml:space="preserve"> TEXT(FilmaxData[[#This Row],[Show_Date]],"DDD")</f>
        <v>Mon</v>
      </c>
      <c r="F212" t="s">
        <v>11</v>
      </c>
      <c r="G212" t="s">
        <v>17</v>
      </c>
      <c r="H212">
        <v>4</v>
      </c>
      <c r="I212">
        <v>12</v>
      </c>
      <c r="J212" t="s">
        <v>23</v>
      </c>
      <c r="K212" t="s">
        <v>14</v>
      </c>
      <c r="L212">
        <v>48</v>
      </c>
    </row>
    <row r="213" spans="1:12" x14ac:dyDescent="0.3">
      <c r="A213">
        <v>1268</v>
      </c>
      <c r="B213" t="s">
        <v>24</v>
      </c>
      <c r="C213" s="1">
        <v>45859</v>
      </c>
      <c r="D213" s="1" t="str">
        <f xml:space="preserve"> TEXT(FilmaxData[[#This Row],[Show_Date]],"MMM")</f>
        <v>Jul</v>
      </c>
      <c r="E213" s="1" t="str">
        <f xml:space="preserve"> TEXT(FilmaxData[[#This Row],[Show_Date]],"DDD")</f>
        <v>Mon</v>
      </c>
      <c r="F213" t="s">
        <v>11</v>
      </c>
      <c r="G213" t="s">
        <v>12</v>
      </c>
      <c r="H213">
        <v>3</v>
      </c>
      <c r="I213">
        <v>25</v>
      </c>
      <c r="J213" t="s">
        <v>21</v>
      </c>
      <c r="K213" t="s">
        <v>14</v>
      </c>
      <c r="L213">
        <v>75</v>
      </c>
    </row>
    <row r="214" spans="1:12" x14ac:dyDescent="0.3">
      <c r="A214">
        <v>967</v>
      </c>
      <c r="B214" t="s">
        <v>24</v>
      </c>
      <c r="C214" s="1">
        <v>45893</v>
      </c>
      <c r="D214" s="1" t="str">
        <f xml:space="preserve"> TEXT(FilmaxData[[#This Row],[Show_Date]],"MMM")</f>
        <v>Aug</v>
      </c>
      <c r="E214" s="1" t="str">
        <f xml:space="preserve"> TEXT(FilmaxData[[#This Row],[Show_Date]],"DDD")</f>
        <v>Sun</v>
      </c>
      <c r="F214" t="s">
        <v>11</v>
      </c>
      <c r="G214" t="s">
        <v>30</v>
      </c>
      <c r="H214">
        <v>1</v>
      </c>
      <c r="I214">
        <v>8</v>
      </c>
      <c r="J214" t="s">
        <v>13</v>
      </c>
      <c r="K214" t="s">
        <v>18</v>
      </c>
      <c r="L214">
        <v>8</v>
      </c>
    </row>
    <row r="215" spans="1:12" x14ac:dyDescent="0.3">
      <c r="A215">
        <v>1367</v>
      </c>
      <c r="B215" t="s">
        <v>24</v>
      </c>
      <c r="C215" s="1">
        <v>45854</v>
      </c>
      <c r="D215" s="1" t="str">
        <f xml:space="preserve"> TEXT(FilmaxData[[#This Row],[Show_Date]],"MMM")</f>
        <v>Jul</v>
      </c>
      <c r="E215" s="1" t="str">
        <f xml:space="preserve"> TEXT(FilmaxData[[#This Row],[Show_Date]],"DDD")</f>
        <v>Wed</v>
      </c>
      <c r="F215" t="s">
        <v>11</v>
      </c>
      <c r="G215" t="s">
        <v>17</v>
      </c>
      <c r="H215">
        <v>2</v>
      </c>
      <c r="I215">
        <v>12</v>
      </c>
      <c r="J215" t="s">
        <v>23</v>
      </c>
      <c r="K215" t="s">
        <v>14</v>
      </c>
      <c r="L215">
        <v>24</v>
      </c>
    </row>
    <row r="216" spans="1:12" x14ac:dyDescent="0.3">
      <c r="A216">
        <v>1324</v>
      </c>
      <c r="B216" t="s">
        <v>24</v>
      </c>
      <c r="C216" s="1">
        <v>45922</v>
      </c>
      <c r="D216" s="1" t="str">
        <f xml:space="preserve"> TEXT(FilmaxData[[#This Row],[Show_Date]],"MMM")</f>
        <v>Sep</v>
      </c>
      <c r="E216" s="1" t="str">
        <f xml:space="preserve"> TEXT(FilmaxData[[#This Row],[Show_Date]],"DDD")</f>
        <v>Mon</v>
      </c>
      <c r="F216" t="s">
        <v>11</v>
      </c>
      <c r="G216" t="s">
        <v>12</v>
      </c>
      <c r="H216">
        <v>4</v>
      </c>
      <c r="I216">
        <v>25</v>
      </c>
      <c r="J216" t="s">
        <v>13</v>
      </c>
      <c r="K216" t="s">
        <v>27</v>
      </c>
      <c r="L216">
        <v>100</v>
      </c>
    </row>
    <row r="217" spans="1:12" x14ac:dyDescent="0.3">
      <c r="A217">
        <v>1142</v>
      </c>
      <c r="B217" t="s">
        <v>24</v>
      </c>
      <c r="C217" s="1">
        <v>45871</v>
      </c>
      <c r="D217" s="1" t="str">
        <f xml:space="preserve"> TEXT(FilmaxData[[#This Row],[Show_Date]],"MMM")</f>
        <v>Aug</v>
      </c>
      <c r="E217" s="1" t="str">
        <f xml:space="preserve"> TEXT(FilmaxData[[#This Row],[Show_Date]],"DDD")</f>
        <v>Sat</v>
      </c>
      <c r="F217" t="s">
        <v>11</v>
      </c>
      <c r="G217" t="s">
        <v>29</v>
      </c>
      <c r="H217">
        <v>2</v>
      </c>
      <c r="I217">
        <v>30</v>
      </c>
      <c r="J217" t="s">
        <v>21</v>
      </c>
      <c r="K217" t="s">
        <v>18</v>
      </c>
      <c r="L217">
        <v>60</v>
      </c>
    </row>
    <row r="218" spans="1:12" x14ac:dyDescent="0.3">
      <c r="A218">
        <v>1603</v>
      </c>
      <c r="B218" t="s">
        <v>24</v>
      </c>
      <c r="C218" s="1">
        <v>45878</v>
      </c>
      <c r="D218" s="1" t="str">
        <f xml:space="preserve"> TEXT(FilmaxData[[#This Row],[Show_Date]],"MMM")</f>
        <v>Aug</v>
      </c>
      <c r="E218" s="1" t="str">
        <f xml:space="preserve"> TEXT(FilmaxData[[#This Row],[Show_Date]],"DDD")</f>
        <v>Sat</v>
      </c>
      <c r="F218" t="s">
        <v>11</v>
      </c>
      <c r="G218" t="s">
        <v>17</v>
      </c>
      <c r="H218">
        <v>5</v>
      </c>
      <c r="I218">
        <v>12</v>
      </c>
      <c r="J218" t="s">
        <v>21</v>
      </c>
      <c r="K218" t="s">
        <v>18</v>
      </c>
      <c r="L218">
        <v>60</v>
      </c>
    </row>
    <row r="219" spans="1:12" x14ac:dyDescent="0.3">
      <c r="A219">
        <v>1756</v>
      </c>
      <c r="B219" t="s">
        <v>24</v>
      </c>
      <c r="C219" s="1">
        <v>45920</v>
      </c>
      <c r="D219" s="1" t="str">
        <f xml:space="preserve"> TEXT(FilmaxData[[#This Row],[Show_Date]],"MMM")</f>
        <v>Sep</v>
      </c>
      <c r="E219" s="1" t="str">
        <f xml:space="preserve"> TEXT(FilmaxData[[#This Row],[Show_Date]],"DDD")</f>
        <v>Sat</v>
      </c>
      <c r="F219" t="s">
        <v>11</v>
      </c>
      <c r="G219" t="s">
        <v>17</v>
      </c>
      <c r="H219">
        <v>1</v>
      </c>
      <c r="I219">
        <v>12</v>
      </c>
      <c r="J219" t="s">
        <v>13</v>
      </c>
      <c r="K219" t="s">
        <v>27</v>
      </c>
      <c r="L219">
        <v>12</v>
      </c>
    </row>
    <row r="220" spans="1:12" x14ac:dyDescent="0.3">
      <c r="A220">
        <v>518</v>
      </c>
      <c r="B220" t="s">
        <v>24</v>
      </c>
      <c r="C220" s="1">
        <v>45866</v>
      </c>
      <c r="D220" s="1" t="str">
        <f xml:space="preserve"> TEXT(FilmaxData[[#This Row],[Show_Date]],"MMM")</f>
        <v>Jul</v>
      </c>
      <c r="E220" s="1" t="str">
        <f xml:space="preserve"> TEXT(FilmaxData[[#This Row],[Show_Date]],"DDD")</f>
        <v>Mon</v>
      </c>
      <c r="F220" t="s">
        <v>11</v>
      </c>
      <c r="G220" t="s">
        <v>17</v>
      </c>
      <c r="H220">
        <v>2</v>
      </c>
      <c r="I220">
        <v>12</v>
      </c>
      <c r="J220" t="s">
        <v>23</v>
      </c>
      <c r="K220" t="s">
        <v>14</v>
      </c>
      <c r="L220">
        <v>24</v>
      </c>
    </row>
    <row r="221" spans="1:12" x14ac:dyDescent="0.3">
      <c r="A221">
        <v>1710</v>
      </c>
      <c r="B221" t="s">
        <v>24</v>
      </c>
      <c r="C221" s="1">
        <v>45915</v>
      </c>
      <c r="D221" s="1" t="str">
        <f xml:space="preserve"> TEXT(FilmaxData[[#This Row],[Show_Date]],"MMM")</f>
        <v>Sep</v>
      </c>
      <c r="E221" s="1" t="str">
        <f xml:space="preserve"> TEXT(FilmaxData[[#This Row],[Show_Date]],"DDD")</f>
        <v>Mon</v>
      </c>
      <c r="F221" t="s">
        <v>11</v>
      </c>
      <c r="G221" t="s">
        <v>29</v>
      </c>
      <c r="H221">
        <v>5</v>
      </c>
      <c r="I221">
        <v>30</v>
      </c>
      <c r="J221" t="s">
        <v>23</v>
      </c>
      <c r="K221" t="s">
        <v>25</v>
      </c>
      <c r="L221">
        <v>150</v>
      </c>
    </row>
    <row r="222" spans="1:12" x14ac:dyDescent="0.3">
      <c r="A222">
        <v>1130</v>
      </c>
      <c r="B222" t="s">
        <v>24</v>
      </c>
      <c r="C222" s="1">
        <v>45851</v>
      </c>
      <c r="D222" s="1" t="str">
        <f xml:space="preserve"> TEXT(FilmaxData[[#This Row],[Show_Date]],"MMM")</f>
        <v>Jul</v>
      </c>
      <c r="E222" s="1" t="str">
        <f xml:space="preserve"> TEXT(FilmaxData[[#This Row],[Show_Date]],"DDD")</f>
        <v>Sun</v>
      </c>
      <c r="F222" t="s">
        <v>11</v>
      </c>
      <c r="G222" t="s">
        <v>22</v>
      </c>
      <c r="H222">
        <v>1</v>
      </c>
      <c r="I222">
        <v>20</v>
      </c>
      <c r="J222" t="s">
        <v>23</v>
      </c>
      <c r="K222" t="s">
        <v>14</v>
      </c>
      <c r="L222">
        <v>20</v>
      </c>
    </row>
    <row r="223" spans="1:12" x14ac:dyDescent="0.3">
      <c r="A223">
        <v>1782</v>
      </c>
      <c r="B223" t="s">
        <v>24</v>
      </c>
      <c r="C223" s="1">
        <v>45862</v>
      </c>
      <c r="D223" s="1" t="str">
        <f xml:space="preserve"> TEXT(FilmaxData[[#This Row],[Show_Date]],"MMM")</f>
        <v>Jul</v>
      </c>
      <c r="E223" s="1" t="str">
        <f xml:space="preserve"> TEXT(FilmaxData[[#This Row],[Show_Date]],"DDD")</f>
        <v>Thu</v>
      </c>
      <c r="F223" t="s">
        <v>11</v>
      </c>
      <c r="G223" t="s">
        <v>17</v>
      </c>
      <c r="H223">
        <v>2</v>
      </c>
      <c r="I223">
        <v>12</v>
      </c>
      <c r="J223" t="s">
        <v>23</v>
      </c>
      <c r="K223" t="s">
        <v>18</v>
      </c>
      <c r="L223">
        <v>24</v>
      </c>
    </row>
    <row r="224" spans="1:12" x14ac:dyDescent="0.3">
      <c r="A224">
        <v>355</v>
      </c>
      <c r="B224" t="s">
        <v>24</v>
      </c>
      <c r="C224" s="1">
        <v>45919</v>
      </c>
      <c r="D224" s="1" t="str">
        <f xml:space="preserve"> TEXT(FilmaxData[[#This Row],[Show_Date]],"MMM")</f>
        <v>Sep</v>
      </c>
      <c r="E224" s="1" t="str">
        <f xml:space="preserve"> TEXT(FilmaxData[[#This Row],[Show_Date]],"DDD")</f>
        <v>Fri</v>
      </c>
      <c r="F224" t="s">
        <v>11</v>
      </c>
      <c r="G224" t="s">
        <v>30</v>
      </c>
      <c r="H224">
        <v>4</v>
      </c>
      <c r="I224">
        <v>8</v>
      </c>
      <c r="J224" t="s">
        <v>21</v>
      </c>
      <c r="K224" t="s">
        <v>14</v>
      </c>
      <c r="L224">
        <v>32</v>
      </c>
    </row>
    <row r="225" spans="1:12" x14ac:dyDescent="0.3">
      <c r="A225">
        <v>1499</v>
      </c>
      <c r="B225" t="s">
        <v>24</v>
      </c>
      <c r="C225" s="1">
        <v>45893</v>
      </c>
      <c r="D225" s="1" t="str">
        <f xml:space="preserve"> TEXT(FilmaxData[[#This Row],[Show_Date]],"MMM")</f>
        <v>Aug</v>
      </c>
      <c r="E225" s="1" t="str">
        <f xml:space="preserve"> TEXT(FilmaxData[[#This Row],[Show_Date]],"DDD")</f>
        <v>Sun</v>
      </c>
      <c r="F225" t="s">
        <v>11</v>
      </c>
      <c r="G225" t="s">
        <v>17</v>
      </c>
      <c r="H225">
        <v>3</v>
      </c>
      <c r="I225">
        <v>12</v>
      </c>
      <c r="J225" t="s">
        <v>23</v>
      </c>
      <c r="K225" t="s">
        <v>14</v>
      </c>
      <c r="L225">
        <v>36</v>
      </c>
    </row>
    <row r="226" spans="1:12" x14ac:dyDescent="0.3">
      <c r="A226">
        <v>788</v>
      </c>
      <c r="B226" t="s">
        <v>24</v>
      </c>
      <c r="C226" s="1">
        <v>45930</v>
      </c>
      <c r="D226" s="1" t="str">
        <f xml:space="preserve"> TEXT(FilmaxData[[#This Row],[Show_Date]],"MMM")</f>
        <v>Sep</v>
      </c>
      <c r="E226" s="1" t="str">
        <f xml:space="preserve"> TEXT(FilmaxData[[#This Row],[Show_Date]],"DDD")</f>
        <v>Tue</v>
      </c>
      <c r="F226" t="s">
        <v>11</v>
      </c>
      <c r="G226" t="s">
        <v>17</v>
      </c>
      <c r="H226">
        <v>1</v>
      </c>
      <c r="I226">
        <v>12</v>
      </c>
      <c r="J226" t="s">
        <v>13</v>
      </c>
      <c r="K226" t="s">
        <v>18</v>
      </c>
      <c r="L226">
        <v>12</v>
      </c>
    </row>
    <row r="227" spans="1:12" x14ac:dyDescent="0.3">
      <c r="A227">
        <v>752</v>
      </c>
      <c r="B227" t="s">
        <v>24</v>
      </c>
      <c r="C227" s="1">
        <v>45864</v>
      </c>
      <c r="D227" s="1" t="str">
        <f xml:space="preserve"> TEXT(FilmaxData[[#This Row],[Show_Date]],"MMM")</f>
        <v>Jul</v>
      </c>
      <c r="E227" s="1" t="str">
        <f xml:space="preserve"> TEXT(FilmaxData[[#This Row],[Show_Date]],"DDD")</f>
        <v>Sat</v>
      </c>
      <c r="F227" t="s">
        <v>11</v>
      </c>
      <c r="G227" t="s">
        <v>30</v>
      </c>
      <c r="H227">
        <v>2</v>
      </c>
      <c r="I227">
        <v>8</v>
      </c>
      <c r="J227" t="s">
        <v>21</v>
      </c>
      <c r="K227" t="s">
        <v>18</v>
      </c>
      <c r="L227">
        <v>16</v>
      </c>
    </row>
    <row r="228" spans="1:12" x14ac:dyDescent="0.3">
      <c r="A228">
        <v>1921</v>
      </c>
      <c r="B228" t="s">
        <v>32</v>
      </c>
      <c r="C228" s="1">
        <v>45876</v>
      </c>
      <c r="D228" s="1" t="str">
        <f xml:space="preserve"> TEXT(FilmaxData[[#This Row],[Show_Date]],"MMM")</f>
        <v>Aug</v>
      </c>
      <c r="E228" s="1" t="str">
        <f xml:space="preserve"> TEXT(FilmaxData[[#This Row],[Show_Date]],"DDD")</f>
        <v>Thu</v>
      </c>
      <c r="F228" t="s">
        <v>11</v>
      </c>
      <c r="G228" t="s">
        <v>29</v>
      </c>
      <c r="H228">
        <v>2</v>
      </c>
      <c r="I228">
        <v>30</v>
      </c>
      <c r="J228" t="s">
        <v>23</v>
      </c>
      <c r="K228" t="s">
        <v>27</v>
      </c>
      <c r="L228">
        <v>60</v>
      </c>
    </row>
    <row r="229" spans="1:12" x14ac:dyDescent="0.3">
      <c r="A229">
        <v>1964</v>
      </c>
      <c r="B229" t="s">
        <v>26</v>
      </c>
      <c r="C229" s="1">
        <v>45888</v>
      </c>
      <c r="D229" s="1" t="str">
        <f xml:space="preserve"> TEXT(FilmaxData[[#This Row],[Show_Date]],"MMM")</f>
        <v>Aug</v>
      </c>
      <c r="E229" s="1" t="str">
        <f xml:space="preserve"> TEXT(FilmaxData[[#This Row],[Show_Date]],"DDD")</f>
        <v>Tue</v>
      </c>
      <c r="F229" t="s">
        <v>11</v>
      </c>
      <c r="G229" t="s">
        <v>12</v>
      </c>
      <c r="H229">
        <v>1</v>
      </c>
      <c r="I229">
        <v>25</v>
      </c>
      <c r="J229" t="s">
        <v>13</v>
      </c>
      <c r="K229" t="s">
        <v>25</v>
      </c>
      <c r="L229">
        <v>25</v>
      </c>
    </row>
    <row r="230" spans="1:12" x14ac:dyDescent="0.3">
      <c r="A230">
        <v>1841</v>
      </c>
      <c r="B230" t="s">
        <v>26</v>
      </c>
      <c r="C230" s="1">
        <v>45916</v>
      </c>
      <c r="D230" s="1" t="str">
        <f xml:space="preserve"> TEXT(FilmaxData[[#This Row],[Show_Date]],"MMM")</f>
        <v>Sep</v>
      </c>
      <c r="E230" s="1" t="str">
        <f xml:space="preserve"> TEXT(FilmaxData[[#This Row],[Show_Date]],"DDD")</f>
        <v>Tue</v>
      </c>
      <c r="F230" t="s">
        <v>11</v>
      </c>
      <c r="G230" t="s">
        <v>12</v>
      </c>
      <c r="H230">
        <v>5</v>
      </c>
      <c r="I230">
        <v>25</v>
      </c>
      <c r="J230" t="s">
        <v>13</v>
      </c>
      <c r="K230" t="s">
        <v>27</v>
      </c>
      <c r="L230">
        <v>125</v>
      </c>
    </row>
    <row r="231" spans="1:12" x14ac:dyDescent="0.3">
      <c r="A231">
        <v>48</v>
      </c>
      <c r="B231" t="s">
        <v>28</v>
      </c>
      <c r="C231" s="1">
        <v>45864</v>
      </c>
      <c r="D231" s="1" t="str">
        <f xml:space="preserve"> TEXT(FilmaxData[[#This Row],[Show_Date]],"MMM")</f>
        <v>Jul</v>
      </c>
      <c r="E231" s="1" t="str">
        <f xml:space="preserve"> TEXT(FilmaxData[[#This Row],[Show_Date]],"DDD")</f>
        <v>Sat</v>
      </c>
      <c r="F231" t="s">
        <v>11</v>
      </c>
      <c r="G231" t="s">
        <v>30</v>
      </c>
      <c r="H231">
        <v>3</v>
      </c>
      <c r="I231">
        <v>8</v>
      </c>
      <c r="J231" t="s">
        <v>23</v>
      </c>
      <c r="K231" t="s">
        <v>27</v>
      </c>
      <c r="L231">
        <v>24</v>
      </c>
    </row>
    <row r="232" spans="1:12" x14ac:dyDescent="0.3">
      <c r="A232">
        <v>452</v>
      </c>
      <c r="B232" t="s">
        <v>10</v>
      </c>
      <c r="C232" s="1">
        <v>45907</v>
      </c>
      <c r="D232" s="1" t="str">
        <f xml:space="preserve"> TEXT(FilmaxData[[#This Row],[Show_Date]],"MMM")</f>
        <v>Sep</v>
      </c>
      <c r="E232" s="1" t="str">
        <f xml:space="preserve"> TEXT(FilmaxData[[#This Row],[Show_Date]],"DDD")</f>
        <v>Sun</v>
      </c>
      <c r="F232" t="s">
        <v>11</v>
      </c>
      <c r="G232" t="s">
        <v>29</v>
      </c>
      <c r="H232">
        <v>3</v>
      </c>
      <c r="I232">
        <v>30</v>
      </c>
      <c r="J232" t="s">
        <v>23</v>
      </c>
      <c r="K232" t="s">
        <v>18</v>
      </c>
      <c r="L232">
        <v>90</v>
      </c>
    </row>
    <row r="233" spans="1:12" x14ac:dyDescent="0.3">
      <c r="A233">
        <v>154</v>
      </c>
      <c r="B233" t="s">
        <v>32</v>
      </c>
      <c r="C233" s="1">
        <v>45871</v>
      </c>
      <c r="D233" s="1" t="str">
        <f xml:space="preserve"> TEXT(FilmaxData[[#This Row],[Show_Date]],"MMM")</f>
        <v>Aug</v>
      </c>
      <c r="E233" s="1" t="str">
        <f xml:space="preserve"> TEXT(FilmaxData[[#This Row],[Show_Date]],"DDD")</f>
        <v>Sat</v>
      </c>
      <c r="F233" t="s">
        <v>11</v>
      </c>
      <c r="G233" t="s">
        <v>22</v>
      </c>
      <c r="H233">
        <v>2</v>
      </c>
      <c r="I233">
        <v>20</v>
      </c>
      <c r="J233" t="s">
        <v>13</v>
      </c>
      <c r="K233" t="s">
        <v>27</v>
      </c>
      <c r="L233">
        <v>40</v>
      </c>
    </row>
    <row r="234" spans="1:12" x14ac:dyDescent="0.3">
      <c r="A234">
        <v>1566</v>
      </c>
      <c r="B234" t="s">
        <v>32</v>
      </c>
      <c r="C234" s="1">
        <v>45927</v>
      </c>
      <c r="D234" s="1" t="str">
        <f xml:space="preserve"> TEXT(FilmaxData[[#This Row],[Show_Date]],"MMM")</f>
        <v>Sep</v>
      </c>
      <c r="E234" s="1" t="str">
        <f xml:space="preserve"> TEXT(FilmaxData[[#This Row],[Show_Date]],"DDD")</f>
        <v>Sat</v>
      </c>
      <c r="F234" t="s">
        <v>11</v>
      </c>
      <c r="G234" t="s">
        <v>30</v>
      </c>
      <c r="H234">
        <v>4</v>
      </c>
      <c r="I234">
        <v>8</v>
      </c>
      <c r="J234" t="s">
        <v>13</v>
      </c>
      <c r="K234" t="s">
        <v>18</v>
      </c>
      <c r="L234">
        <v>32</v>
      </c>
    </row>
    <row r="235" spans="1:12" x14ac:dyDescent="0.3">
      <c r="A235">
        <v>1877</v>
      </c>
      <c r="B235" t="s">
        <v>15</v>
      </c>
      <c r="C235" s="1">
        <v>45865</v>
      </c>
      <c r="D235" s="1" t="str">
        <f xml:space="preserve"> TEXT(FilmaxData[[#This Row],[Show_Date]],"MMM")</f>
        <v>Jul</v>
      </c>
      <c r="E235" s="1" t="str">
        <f xml:space="preserve"> TEXT(FilmaxData[[#This Row],[Show_Date]],"DDD")</f>
        <v>Sun</v>
      </c>
      <c r="F235" t="s">
        <v>11</v>
      </c>
      <c r="G235" t="s">
        <v>17</v>
      </c>
      <c r="H235">
        <v>5</v>
      </c>
      <c r="I235">
        <v>12</v>
      </c>
      <c r="J235" t="s">
        <v>21</v>
      </c>
      <c r="K235" t="s">
        <v>27</v>
      </c>
      <c r="L235">
        <v>60</v>
      </c>
    </row>
    <row r="236" spans="1:12" x14ac:dyDescent="0.3">
      <c r="A236">
        <v>817</v>
      </c>
      <c r="B236" t="s">
        <v>24</v>
      </c>
      <c r="C236" s="1">
        <v>45886</v>
      </c>
      <c r="D236" s="1" t="str">
        <f xml:space="preserve"> TEXT(FilmaxData[[#This Row],[Show_Date]],"MMM")</f>
        <v>Aug</v>
      </c>
      <c r="E236" s="1" t="str">
        <f xml:space="preserve"> TEXT(FilmaxData[[#This Row],[Show_Date]],"DDD")</f>
        <v>Sun</v>
      </c>
      <c r="F236" t="s">
        <v>11</v>
      </c>
      <c r="G236" t="s">
        <v>17</v>
      </c>
      <c r="H236">
        <v>3</v>
      </c>
      <c r="I236">
        <v>12</v>
      </c>
      <c r="J236" t="s">
        <v>13</v>
      </c>
      <c r="K236" t="s">
        <v>27</v>
      </c>
      <c r="L236">
        <v>36</v>
      </c>
    </row>
    <row r="237" spans="1:12" x14ac:dyDescent="0.3">
      <c r="A237">
        <v>968</v>
      </c>
      <c r="B237" t="s">
        <v>10</v>
      </c>
      <c r="C237" s="1">
        <v>45924</v>
      </c>
      <c r="D237" s="1" t="str">
        <f xml:space="preserve"> TEXT(FilmaxData[[#This Row],[Show_Date]],"MMM")</f>
        <v>Sep</v>
      </c>
      <c r="E237" s="1" t="str">
        <f xml:space="preserve"> TEXT(FilmaxData[[#This Row],[Show_Date]],"DDD")</f>
        <v>Wed</v>
      </c>
      <c r="F237" t="s">
        <v>11</v>
      </c>
      <c r="G237" t="s">
        <v>12</v>
      </c>
      <c r="H237">
        <v>1</v>
      </c>
      <c r="I237">
        <v>25</v>
      </c>
      <c r="J237" t="s">
        <v>13</v>
      </c>
      <c r="K237" t="s">
        <v>27</v>
      </c>
      <c r="L237">
        <v>25</v>
      </c>
    </row>
    <row r="238" spans="1:12" x14ac:dyDescent="0.3">
      <c r="A238">
        <v>1399</v>
      </c>
      <c r="B238" t="s">
        <v>31</v>
      </c>
      <c r="C238" s="1">
        <v>45922</v>
      </c>
      <c r="D238" s="1" t="str">
        <f xml:space="preserve"> TEXT(FilmaxData[[#This Row],[Show_Date]],"MMM")</f>
        <v>Sep</v>
      </c>
      <c r="E238" s="1" t="str">
        <f xml:space="preserve"> TEXT(FilmaxData[[#This Row],[Show_Date]],"DDD")</f>
        <v>Mon</v>
      </c>
      <c r="F238" t="s">
        <v>11</v>
      </c>
      <c r="G238" t="s">
        <v>17</v>
      </c>
      <c r="H238">
        <v>1</v>
      </c>
      <c r="I238">
        <v>12</v>
      </c>
      <c r="J238" t="s">
        <v>13</v>
      </c>
      <c r="K238" t="s">
        <v>14</v>
      </c>
      <c r="L238">
        <v>12</v>
      </c>
    </row>
    <row r="239" spans="1:12" x14ac:dyDescent="0.3">
      <c r="A239">
        <v>980</v>
      </c>
      <c r="B239" t="s">
        <v>10</v>
      </c>
      <c r="C239" s="1">
        <v>45912</v>
      </c>
      <c r="D239" s="1" t="str">
        <f xml:space="preserve"> TEXT(FilmaxData[[#This Row],[Show_Date]],"MMM")</f>
        <v>Sep</v>
      </c>
      <c r="E239" s="1" t="str">
        <f xml:space="preserve"> TEXT(FilmaxData[[#This Row],[Show_Date]],"DDD")</f>
        <v>Fri</v>
      </c>
      <c r="F239" t="s">
        <v>11</v>
      </c>
      <c r="G239" t="s">
        <v>29</v>
      </c>
      <c r="H239">
        <v>2</v>
      </c>
      <c r="I239">
        <v>30</v>
      </c>
      <c r="J239" t="s">
        <v>13</v>
      </c>
      <c r="K239" t="s">
        <v>25</v>
      </c>
      <c r="L239">
        <v>60</v>
      </c>
    </row>
    <row r="240" spans="1:12" x14ac:dyDescent="0.3">
      <c r="A240">
        <v>174</v>
      </c>
      <c r="B240" t="s">
        <v>31</v>
      </c>
      <c r="C240" s="1">
        <v>45911</v>
      </c>
      <c r="D240" s="1" t="str">
        <f xml:space="preserve"> TEXT(FilmaxData[[#This Row],[Show_Date]],"MMM")</f>
        <v>Sep</v>
      </c>
      <c r="E240" s="1" t="str">
        <f xml:space="preserve"> TEXT(FilmaxData[[#This Row],[Show_Date]],"DDD")</f>
        <v>Thu</v>
      </c>
      <c r="F240" t="s">
        <v>11</v>
      </c>
      <c r="G240" t="s">
        <v>22</v>
      </c>
      <c r="H240">
        <v>5</v>
      </c>
      <c r="I240">
        <v>20</v>
      </c>
      <c r="J240" t="s">
        <v>21</v>
      </c>
      <c r="K240" t="s">
        <v>18</v>
      </c>
      <c r="L240">
        <v>100</v>
      </c>
    </row>
    <row r="241" spans="1:12" x14ac:dyDescent="0.3">
      <c r="A241">
        <v>1810</v>
      </c>
      <c r="B241" t="s">
        <v>26</v>
      </c>
      <c r="C241" s="1">
        <v>45905</v>
      </c>
      <c r="D241" s="1" t="str">
        <f xml:space="preserve"> TEXT(FilmaxData[[#This Row],[Show_Date]],"MMM")</f>
        <v>Sep</v>
      </c>
      <c r="E241" s="1" t="str">
        <f xml:space="preserve"> TEXT(FilmaxData[[#This Row],[Show_Date]],"DDD")</f>
        <v>Fri</v>
      </c>
      <c r="F241" t="s">
        <v>11</v>
      </c>
      <c r="G241" t="s">
        <v>17</v>
      </c>
      <c r="H241">
        <v>3</v>
      </c>
      <c r="I241">
        <v>12</v>
      </c>
      <c r="J241" t="s">
        <v>21</v>
      </c>
      <c r="K241" t="s">
        <v>14</v>
      </c>
      <c r="L241">
        <v>36</v>
      </c>
    </row>
    <row r="242" spans="1:12" x14ac:dyDescent="0.3">
      <c r="A242">
        <v>1089</v>
      </c>
      <c r="B242" t="s">
        <v>19</v>
      </c>
      <c r="C242" s="1">
        <v>45846</v>
      </c>
      <c r="D242" s="1" t="str">
        <f xml:space="preserve"> TEXT(FilmaxData[[#This Row],[Show_Date]],"MMM")</f>
        <v>Jul</v>
      </c>
      <c r="E242" s="1" t="str">
        <f xml:space="preserve"> TEXT(FilmaxData[[#This Row],[Show_Date]],"DDD")</f>
        <v>Tue</v>
      </c>
      <c r="F242" t="s">
        <v>11</v>
      </c>
      <c r="G242" t="s">
        <v>12</v>
      </c>
      <c r="H242">
        <v>1</v>
      </c>
      <c r="I242">
        <v>25</v>
      </c>
      <c r="J242" t="s">
        <v>21</v>
      </c>
      <c r="K242" t="s">
        <v>25</v>
      </c>
      <c r="L242">
        <v>25</v>
      </c>
    </row>
    <row r="243" spans="1:12" x14ac:dyDescent="0.3">
      <c r="A243">
        <v>1001</v>
      </c>
      <c r="B243" t="s">
        <v>10</v>
      </c>
      <c r="C243" s="1">
        <v>45927</v>
      </c>
      <c r="D243" s="1" t="str">
        <f xml:space="preserve"> TEXT(FilmaxData[[#This Row],[Show_Date]],"MMM")</f>
        <v>Sep</v>
      </c>
      <c r="E243" s="1" t="str">
        <f xml:space="preserve"> TEXT(FilmaxData[[#This Row],[Show_Date]],"DDD")</f>
        <v>Sat</v>
      </c>
      <c r="F243" t="s">
        <v>11</v>
      </c>
      <c r="G243" t="s">
        <v>30</v>
      </c>
      <c r="H243">
        <v>3</v>
      </c>
      <c r="I243">
        <v>8</v>
      </c>
      <c r="J243" t="s">
        <v>23</v>
      </c>
      <c r="K243" t="s">
        <v>25</v>
      </c>
      <c r="L243">
        <v>24</v>
      </c>
    </row>
    <row r="244" spans="1:12" x14ac:dyDescent="0.3">
      <c r="A244">
        <v>444</v>
      </c>
      <c r="B244" t="s">
        <v>19</v>
      </c>
      <c r="C244" s="1">
        <v>45903</v>
      </c>
      <c r="D244" s="1" t="str">
        <f xml:space="preserve"> TEXT(FilmaxData[[#This Row],[Show_Date]],"MMM")</f>
        <v>Sep</v>
      </c>
      <c r="E244" s="1" t="str">
        <f xml:space="preserve"> TEXT(FilmaxData[[#This Row],[Show_Date]],"DDD")</f>
        <v>Wed</v>
      </c>
      <c r="F244" t="s">
        <v>11</v>
      </c>
      <c r="G244" t="s">
        <v>22</v>
      </c>
      <c r="H244">
        <v>2</v>
      </c>
      <c r="I244">
        <v>20</v>
      </c>
      <c r="J244" t="s">
        <v>13</v>
      </c>
      <c r="K244" t="s">
        <v>14</v>
      </c>
      <c r="L244">
        <v>40</v>
      </c>
    </row>
    <row r="245" spans="1:12" x14ac:dyDescent="0.3">
      <c r="A245">
        <v>1683</v>
      </c>
      <c r="B245" t="s">
        <v>15</v>
      </c>
      <c r="C245" s="1">
        <v>45862</v>
      </c>
      <c r="D245" s="1" t="str">
        <f xml:space="preserve"> TEXT(FilmaxData[[#This Row],[Show_Date]],"MMM")</f>
        <v>Jul</v>
      </c>
      <c r="E245" s="1" t="str">
        <f xml:space="preserve"> TEXT(FilmaxData[[#This Row],[Show_Date]],"DDD")</f>
        <v>Thu</v>
      </c>
      <c r="F245" t="s">
        <v>11</v>
      </c>
      <c r="G245" t="s">
        <v>30</v>
      </c>
      <c r="H245">
        <v>2</v>
      </c>
      <c r="I245">
        <v>8</v>
      </c>
      <c r="J245" t="s">
        <v>21</v>
      </c>
      <c r="K245" t="s">
        <v>27</v>
      </c>
      <c r="L245">
        <v>16</v>
      </c>
    </row>
    <row r="246" spans="1:12" x14ac:dyDescent="0.3">
      <c r="A246">
        <v>625</v>
      </c>
      <c r="B246" t="s">
        <v>15</v>
      </c>
      <c r="C246" s="1">
        <v>45927</v>
      </c>
      <c r="D246" s="1" t="str">
        <f xml:space="preserve"> TEXT(FilmaxData[[#This Row],[Show_Date]],"MMM")</f>
        <v>Sep</v>
      </c>
      <c r="E246" s="1" t="str">
        <f xml:space="preserve"> TEXT(FilmaxData[[#This Row],[Show_Date]],"DDD")</f>
        <v>Sat</v>
      </c>
      <c r="F246" t="s">
        <v>11</v>
      </c>
      <c r="G246" t="s">
        <v>17</v>
      </c>
      <c r="H246">
        <v>4</v>
      </c>
      <c r="I246">
        <v>12</v>
      </c>
      <c r="J246" t="s">
        <v>23</v>
      </c>
      <c r="K246" t="s">
        <v>14</v>
      </c>
      <c r="L246">
        <v>48</v>
      </c>
    </row>
    <row r="247" spans="1:12" x14ac:dyDescent="0.3">
      <c r="A247">
        <v>1781</v>
      </c>
      <c r="B247" t="s">
        <v>10</v>
      </c>
      <c r="C247" s="1">
        <v>45884</v>
      </c>
      <c r="D247" s="1" t="str">
        <f xml:space="preserve"> TEXT(FilmaxData[[#This Row],[Show_Date]],"MMM")</f>
        <v>Aug</v>
      </c>
      <c r="E247" s="1" t="str">
        <f xml:space="preserve"> TEXT(FilmaxData[[#This Row],[Show_Date]],"DDD")</f>
        <v>Fri</v>
      </c>
      <c r="F247" t="s">
        <v>11</v>
      </c>
      <c r="G247" t="s">
        <v>17</v>
      </c>
      <c r="H247">
        <v>2</v>
      </c>
      <c r="I247">
        <v>12</v>
      </c>
      <c r="J247" t="s">
        <v>21</v>
      </c>
      <c r="K247" t="s">
        <v>27</v>
      </c>
      <c r="L247">
        <v>24</v>
      </c>
    </row>
    <row r="248" spans="1:12" x14ac:dyDescent="0.3">
      <c r="A248">
        <v>366</v>
      </c>
      <c r="B248" t="s">
        <v>28</v>
      </c>
      <c r="C248" s="1">
        <v>45849</v>
      </c>
      <c r="D248" s="1" t="str">
        <f xml:space="preserve"> TEXT(FilmaxData[[#This Row],[Show_Date]],"MMM")</f>
        <v>Jul</v>
      </c>
      <c r="E248" s="1" t="str">
        <f xml:space="preserve"> TEXT(FilmaxData[[#This Row],[Show_Date]],"DDD")</f>
        <v>Fri</v>
      </c>
      <c r="F248" t="s">
        <v>11</v>
      </c>
      <c r="G248" t="s">
        <v>17</v>
      </c>
      <c r="H248">
        <v>5</v>
      </c>
      <c r="I248">
        <v>12</v>
      </c>
      <c r="J248" t="s">
        <v>21</v>
      </c>
      <c r="K248" t="s">
        <v>25</v>
      </c>
      <c r="L248">
        <v>60</v>
      </c>
    </row>
    <row r="249" spans="1:12" x14ac:dyDescent="0.3">
      <c r="A249">
        <v>404</v>
      </c>
      <c r="B249" t="s">
        <v>24</v>
      </c>
      <c r="C249" s="1">
        <v>45914</v>
      </c>
      <c r="D249" s="1" t="str">
        <f xml:space="preserve"> TEXT(FilmaxData[[#This Row],[Show_Date]],"MMM")</f>
        <v>Sep</v>
      </c>
      <c r="E249" s="1" t="str">
        <f xml:space="preserve"> TEXT(FilmaxData[[#This Row],[Show_Date]],"DDD")</f>
        <v>Sun</v>
      </c>
      <c r="F249" t="s">
        <v>11</v>
      </c>
      <c r="G249" t="s">
        <v>17</v>
      </c>
      <c r="H249">
        <v>4</v>
      </c>
      <c r="I249">
        <v>12</v>
      </c>
      <c r="J249" t="s">
        <v>23</v>
      </c>
      <c r="K249" t="s">
        <v>18</v>
      </c>
      <c r="L249">
        <v>48</v>
      </c>
    </row>
    <row r="250" spans="1:12" x14ac:dyDescent="0.3">
      <c r="A250">
        <v>1619</v>
      </c>
      <c r="B250" t="s">
        <v>10</v>
      </c>
      <c r="C250" s="1">
        <v>45906</v>
      </c>
      <c r="D250" s="1" t="str">
        <f xml:space="preserve"> TEXT(FilmaxData[[#This Row],[Show_Date]],"MMM")</f>
        <v>Sep</v>
      </c>
      <c r="E250" s="1" t="str">
        <f xml:space="preserve"> TEXT(FilmaxData[[#This Row],[Show_Date]],"DDD")</f>
        <v>Sat</v>
      </c>
      <c r="F250" t="s">
        <v>11</v>
      </c>
      <c r="G250" t="s">
        <v>30</v>
      </c>
      <c r="H250">
        <v>1</v>
      </c>
      <c r="I250">
        <v>8</v>
      </c>
      <c r="J250" t="s">
        <v>21</v>
      </c>
      <c r="K250" t="s">
        <v>25</v>
      </c>
      <c r="L250">
        <v>8</v>
      </c>
    </row>
    <row r="251" spans="1:12" x14ac:dyDescent="0.3">
      <c r="A251">
        <v>983</v>
      </c>
      <c r="B251" t="s">
        <v>31</v>
      </c>
      <c r="C251" s="1">
        <v>45900</v>
      </c>
      <c r="D251" s="1" t="str">
        <f xml:space="preserve"> TEXT(FilmaxData[[#This Row],[Show_Date]],"MMM")</f>
        <v>Aug</v>
      </c>
      <c r="E251" s="1" t="str">
        <f xml:space="preserve"> TEXT(FilmaxData[[#This Row],[Show_Date]],"DDD")</f>
        <v>Sun</v>
      </c>
      <c r="F251" t="s">
        <v>11</v>
      </c>
      <c r="G251" t="s">
        <v>30</v>
      </c>
      <c r="H251">
        <v>2</v>
      </c>
      <c r="I251">
        <v>8</v>
      </c>
      <c r="J251" t="s">
        <v>21</v>
      </c>
      <c r="K251" t="s">
        <v>14</v>
      </c>
      <c r="L251">
        <v>16</v>
      </c>
    </row>
    <row r="252" spans="1:12" x14ac:dyDescent="0.3">
      <c r="A252">
        <v>1774</v>
      </c>
      <c r="B252" t="s">
        <v>31</v>
      </c>
      <c r="C252" s="1">
        <v>45911</v>
      </c>
      <c r="D252" s="1" t="str">
        <f xml:space="preserve"> TEXT(FilmaxData[[#This Row],[Show_Date]],"MMM")</f>
        <v>Sep</v>
      </c>
      <c r="E252" s="1" t="str">
        <f xml:space="preserve"> TEXT(FilmaxData[[#This Row],[Show_Date]],"DDD")</f>
        <v>Thu</v>
      </c>
      <c r="F252" t="s">
        <v>11</v>
      </c>
      <c r="G252" t="s">
        <v>30</v>
      </c>
      <c r="H252">
        <v>1</v>
      </c>
      <c r="I252">
        <v>8</v>
      </c>
      <c r="J252" t="s">
        <v>23</v>
      </c>
      <c r="K252" t="s">
        <v>27</v>
      </c>
      <c r="L252">
        <v>8</v>
      </c>
    </row>
    <row r="253" spans="1:12" x14ac:dyDescent="0.3">
      <c r="A253">
        <v>569</v>
      </c>
      <c r="B253" t="s">
        <v>28</v>
      </c>
      <c r="C253" s="1">
        <v>45853</v>
      </c>
      <c r="D253" s="1" t="str">
        <f xml:space="preserve"> TEXT(FilmaxData[[#This Row],[Show_Date]],"MMM")</f>
        <v>Jul</v>
      </c>
      <c r="E253" s="1" t="str">
        <f xml:space="preserve"> TEXT(FilmaxData[[#This Row],[Show_Date]],"DDD")</f>
        <v>Tue</v>
      </c>
      <c r="F253" t="s">
        <v>11</v>
      </c>
      <c r="G253" t="s">
        <v>22</v>
      </c>
      <c r="H253">
        <v>4</v>
      </c>
      <c r="I253">
        <v>20</v>
      </c>
      <c r="J253" t="s">
        <v>23</v>
      </c>
      <c r="K253" t="s">
        <v>27</v>
      </c>
      <c r="L253">
        <v>80</v>
      </c>
    </row>
    <row r="254" spans="1:12" x14ac:dyDescent="0.3">
      <c r="A254">
        <v>1114</v>
      </c>
      <c r="B254" t="s">
        <v>28</v>
      </c>
      <c r="C254" s="1">
        <v>45927</v>
      </c>
      <c r="D254" s="1" t="str">
        <f xml:space="preserve"> TEXT(FilmaxData[[#This Row],[Show_Date]],"MMM")</f>
        <v>Sep</v>
      </c>
      <c r="E254" s="1" t="str">
        <f xml:space="preserve"> TEXT(FilmaxData[[#This Row],[Show_Date]],"DDD")</f>
        <v>Sat</v>
      </c>
      <c r="F254" t="s">
        <v>11</v>
      </c>
      <c r="G254" t="s">
        <v>17</v>
      </c>
      <c r="H254">
        <v>1</v>
      </c>
      <c r="I254">
        <v>12</v>
      </c>
      <c r="J254" t="s">
        <v>23</v>
      </c>
      <c r="K254" t="s">
        <v>14</v>
      </c>
      <c r="L254">
        <v>12</v>
      </c>
    </row>
    <row r="255" spans="1:12" x14ac:dyDescent="0.3">
      <c r="A255">
        <v>1938</v>
      </c>
      <c r="B255" t="s">
        <v>10</v>
      </c>
      <c r="C255" s="1">
        <v>45872</v>
      </c>
      <c r="D255" s="1" t="str">
        <f xml:space="preserve"> TEXT(FilmaxData[[#This Row],[Show_Date]],"MMM")</f>
        <v>Aug</v>
      </c>
      <c r="E255" s="1" t="str">
        <f xml:space="preserve"> TEXT(FilmaxData[[#This Row],[Show_Date]],"DDD")</f>
        <v>Sun</v>
      </c>
      <c r="F255" t="s">
        <v>11</v>
      </c>
      <c r="G255" t="s">
        <v>17</v>
      </c>
      <c r="H255">
        <v>4</v>
      </c>
      <c r="I255">
        <v>12</v>
      </c>
      <c r="J255" t="s">
        <v>13</v>
      </c>
      <c r="K255" t="s">
        <v>18</v>
      </c>
      <c r="L255">
        <v>48</v>
      </c>
    </row>
    <row r="256" spans="1:12" x14ac:dyDescent="0.3">
      <c r="A256">
        <v>804</v>
      </c>
      <c r="B256" t="s">
        <v>24</v>
      </c>
      <c r="C256" s="1">
        <v>45891</v>
      </c>
      <c r="D256" s="1" t="str">
        <f xml:space="preserve"> TEXT(FilmaxData[[#This Row],[Show_Date]],"MMM")</f>
        <v>Aug</v>
      </c>
      <c r="E256" s="1" t="str">
        <f xml:space="preserve"> TEXT(FilmaxData[[#This Row],[Show_Date]],"DDD")</f>
        <v>Fri</v>
      </c>
      <c r="F256" t="s">
        <v>11</v>
      </c>
      <c r="G256" t="s">
        <v>29</v>
      </c>
      <c r="H256">
        <v>3</v>
      </c>
      <c r="I256">
        <v>30</v>
      </c>
      <c r="J256" t="s">
        <v>21</v>
      </c>
      <c r="K256" t="s">
        <v>14</v>
      </c>
      <c r="L256">
        <v>90</v>
      </c>
    </row>
    <row r="257" spans="1:12" x14ac:dyDescent="0.3">
      <c r="A257">
        <v>1051</v>
      </c>
      <c r="B257" t="s">
        <v>26</v>
      </c>
      <c r="C257" s="1">
        <v>45896</v>
      </c>
      <c r="D257" s="1" t="str">
        <f xml:space="preserve"> TEXT(FilmaxData[[#This Row],[Show_Date]],"MMM")</f>
        <v>Aug</v>
      </c>
      <c r="E257" s="1" t="str">
        <f xml:space="preserve"> TEXT(FilmaxData[[#This Row],[Show_Date]],"DDD")</f>
        <v>Wed</v>
      </c>
      <c r="F257" t="s">
        <v>11</v>
      </c>
      <c r="G257" t="s">
        <v>17</v>
      </c>
      <c r="H257">
        <v>5</v>
      </c>
      <c r="I257">
        <v>12</v>
      </c>
      <c r="J257" t="s">
        <v>21</v>
      </c>
      <c r="K257" t="s">
        <v>14</v>
      </c>
      <c r="L257">
        <v>60</v>
      </c>
    </row>
    <row r="258" spans="1:12" x14ac:dyDescent="0.3">
      <c r="A258">
        <v>1186</v>
      </c>
      <c r="B258" t="s">
        <v>31</v>
      </c>
      <c r="C258" s="1">
        <v>45919</v>
      </c>
      <c r="D258" s="1" t="str">
        <f xml:space="preserve"> TEXT(FilmaxData[[#This Row],[Show_Date]],"MMM")</f>
        <v>Sep</v>
      </c>
      <c r="E258" s="1" t="str">
        <f xml:space="preserve"> TEXT(FilmaxData[[#This Row],[Show_Date]],"DDD")</f>
        <v>Fri</v>
      </c>
      <c r="F258" t="s">
        <v>11</v>
      </c>
      <c r="G258" t="s">
        <v>12</v>
      </c>
      <c r="H258">
        <v>2</v>
      </c>
      <c r="I258">
        <v>25</v>
      </c>
      <c r="J258" t="s">
        <v>23</v>
      </c>
      <c r="K258" t="s">
        <v>27</v>
      </c>
      <c r="L258">
        <v>50</v>
      </c>
    </row>
    <row r="259" spans="1:12" x14ac:dyDescent="0.3">
      <c r="A259">
        <v>1174</v>
      </c>
      <c r="B259" t="s">
        <v>28</v>
      </c>
      <c r="C259" s="1">
        <v>45868</v>
      </c>
      <c r="D259" s="1" t="str">
        <f xml:space="preserve"> TEXT(FilmaxData[[#This Row],[Show_Date]],"MMM")</f>
        <v>Jul</v>
      </c>
      <c r="E259" s="1" t="str">
        <f xml:space="preserve"> TEXT(FilmaxData[[#This Row],[Show_Date]],"DDD")</f>
        <v>Wed</v>
      </c>
      <c r="F259" t="s">
        <v>11</v>
      </c>
      <c r="G259" t="s">
        <v>17</v>
      </c>
      <c r="H259">
        <v>3</v>
      </c>
      <c r="I259">
        <v>12</v>
      </c>
      <c r="J259" t="s">
        <v>21</v>
      </c>
      <c r="K259" t="s">
        <v>14</v>
      </c>
      <c r="L259">
        <v>36</v>
      </c>
    </row>
    <row r="260" spans="1:12" x14ac:dyDescent="0.3">
      <c r="A260">
        <v>694</v>
      </c>
      <c r="B260" t="s">
        <v>31</v>
      </c>
      <c r="C260" s="1">
        <v>45901</v>
      </c>
      <c r="D260" s="1" t="str">
        <f xml:space="preserve"> TEXT(FilmaxData[[#This Row],[Show_Date]],"MMM")</f>
        <v>Sep</v>
      </c>
      <c r="E260" s="1" t="str">
        <f xml:space="preserve"> TEXT(FilmaxData[[#This Row],[Show_Date]],"DDD")</f>
        <v>Mon</v>
      </c>
      <c r="F260" t="s">
        <v>11</v>
      </c>
      <c r="G260" t="s">
        <v>17</v>
      </c>
      <c r="H260">
        <v>4</v>
      </c>
      <c r="I260">
        <v>12</v>
      </c>
      <c r="J260" t="s">
        <v>13</v>
      </c>
      <c r="K260" t="s">
        <v>18</v>
      </c>
      <c r="L260">
        <v>48</v>
      </c>
    </row>
    <row r="261" spans="1:12" x14ac:dyDescent="0.3">
      <c r="A261">
        <v>663</v>
      </c>
      <c r="B261" t="s">
        <v>15</v>
      </c>
      <c r="C261" s="1">
        <v>45909</v>
      </c>
      <c r="D261" s="1" t="str">
        <f xml:space="preserve"> TEXT(FilmaxData[[#This Row],[Show_Date]],"MMM")</f>
        <v>Sep</v>
      </c>
      <c r="E261" s="1" t="str">
        <f xml:space="preserve"> TEXT(FilmaxData[[#This Row],[Show_Date]],"DDD")</f>
        <v>Tue</v>
      </c>
      <c r="F261" t="s">
        <v>11</v>
      </c>
      <c r="G261" t="s">
        <v>17</v>
      </c>
      <c r="H261">
        <v>2</v>
      </c>
      <c r="I261">
        <v>12</v>
      </c>
      <c r="J261" t="s">
        <v>21</v>
      </c>
      <c r="K261" t="s">
        <v>18</v>
      </c>
      <c r="L261">
        <v>24</v>
      </c>
    </row>
    <row r="262" spans="1:12" x14ac:dyDescent="0.3">
      <c r="A262">
        <v>854</v>
      </c>
      <c r="B262" t="s">
        <v>32</v>
      </c>
      <c r="C262" s="1">
        <v>45860</v>
      </c>
      <c r="D262" s="1" t="str">
        <f xml:space="preserve"> TEXT(FilmaxData[[#This Row],[Show_Date]],"MMM")</f>
        <v>Jul</v>
      </c>
      <c r="E262" s="1" t="str">
        <f xml:space="preserve"> TEXT(FilmaxData[[#This Row],[Show_Date]],"DDD")</f>
        <v>Tue</v>
      </c>
      <c r="F262" t="s">
        <v>11</v>
      </c>
      <c r="G262" t="s">
        <v>29</v>
      </c>
      <c r="H262">
        <v>5</v>
      </c>
      <c r="I262">
        <v>30</v>
      </c>
      <c r="J262" t="s">
        <v>21</v>
      </c>
      <c r="K262" t="s">
        <v>14</v>
      </c>
      <c r="L262">
        <v>150</v>
      </c>
    </row>
    <row r="263" spans="1:12" x14ac:dyDescent="0.3">
      <c r="A263">
        <v>1299</v>
      </c>
      <c r="B263" t="s">
        <v>15</v>
      </c>
      <c r="C263" s="1">
        <v>45850</v>
      </c>
      <c r="D263" s="1" t="str">
        <f xml:space="preserve"> TEXT(FilmaxData[[#This Row],[Show_Date]],"MMM")</f>
        <v>Jul</v>
      </c>
      <c r="E263" s="1" t="str">
        <f xml:space="preserve"> TEXT(FilmaxData[[#This Row],[Show_Date]],"DDD")</f>
        <v>Sat</v>
      </c>
      <c r="F263" t="s">
        <v>11</v>
      </c>
      <c r="G263" t="s">
        <v>17</v>
      </c>
      <c r="H263">
        <v>2</v>
      </c>
      <c r="I263">
        <v>12</v>
      </c>
      <c r="J263" t="s">
        <v>21</v>
      </c>
      <c r="K263" t="s">
        <v>14</v>
      </c>
      <c r="L263">
        <v>24</v>
      </c>
    </row>
    <row r="264" spans="1:12" x14ac:dyDescent="0.3">
      <c r="A264">
        <v>845</v>
      </c>
      <c r="B264" t="s">
        <v>15</v>
      </c>
      <c r="C264" s="1">
        <v>45885</v>
      </c>
      <c r="D264" s="1" t="str">
        <f xml:space="preserve"> TEXT(FilmaxData[[#This Row],[Show_Date]],"MMM")</f>
        <v>Aug</v>
      </c>
      <c r="E264" s="1" t="str">
        <f xml:space="preserve"> TEXT(FilmaxData[[#This Row],[Show_Date]],"DDD")</f>
        <v>Sat</v>
      </c>
      <c r="F264" t="s">
        <v>11</v>
      </c>
      <c r="G264" t="s">
        <v>12</v>
      </c>
      <c r="H264">
        <v>2</v>
      </c>
      <c r="I264">
        <v>25</v>
      </c>
      <c r="J264" t="s">
        <v>13</v>
      </c>
      <c r="K264" t="s">
        <v>25</v>
      </c>
      <c r="L264">
        <v>50</v>
      </c>
    </row>
    <row r="265" spans="1:12" x14ac:dyDescent="0.3">
      <c r="A265">
        <v>136</v>
      </c>
      <c r="B265" t="s">
        <v>15</v>
      </c>
      <c r="C265" s="1">
        <v>45893</v>
      </c>
      <c r="D265" s="1" t="str">
        <f xml:space="preserve"> TEXT(FilmaxData[[#This Row],[Show_Date]],"MMM")</f>
        <v>Aug</v>
      </c>
      <c r="E265" s="1" t="str">
        <f xml:space="preserve"> TEXT(FilmaxData[[#This Row],[Show_Date]],"DDD")</f>
        <v>Sun</v>
      </c>
      <c r="F265" t="s">
        <v>11</v>
      </c>
      <c r="G265" t="s">
        <v>22</v>
      </c>
      <c r="H265">
        <v>1</v>
      </c>
      <c r="I265">
        <v>20</v>
      </c>
      <c r="J265" t="s">
        <v>23</v>
      </c>
      <c r="K265" t="s">
        <v>27</v>
      </c>
      <c r="L265">
        <v>20</v>
      </c>
    </row>
    <row r="266" spans="1:12" x14ac:dyDescent="0.3">
      <c r="A266">
        <v>1620</v>
      </c>
      <c r="B266" t="s">
        <v>15</v>
      </c>
      <c r="C266" s="1">
        <v>45891</v>
      </c>
      <c r="D266" s="1" t="str">
        <f xml:space="preserve"> TEXT(FilmaxData[[#This Row],[Show_Date]],"MMM")</f>
        <v>Aug</v>
      </c>
      <c r="E266" s="1" t="str">
        <f xml:space="preserve"> TEXT(FilmaxData[[#This Row],[Show_Date]],"DDD")</f>
        <v>Fri</v>
      </c>
      <c r="F266" t="s">
        <v>11</v>
      </c>
      <c r="G266" t="s">
        <v>17</v>
      </c>
      <c r="H266">
        <v>5</v>
      </c>
      <c r="I266">
        <v>12</v>
      </c>
      <c r="J266" t="s">
        <v>21</v>
      </c>
      <c r="K266" t="s">
        <v>14</v>
      </c>
      <c r="L266">
        <v>60</v>
      </c>
    </row>
    <row r="267" spans="1:12" x14ac:dyDescent="0.3">
      <c r="A267">
        <v>963</v>
      </c>
      <c r="B267" t="s">
        <v>10</v>
      </c>
      <c r="C267" s="1">
        <v>45846</v>
      </c>
      <c r="D267" s="1" t="str">
        <f xml:space="preserve"> TEXT(FilmaxData[[#This Row],[Show_Date]],"MMM")</f>
        <v>Jul</v>
      </c>
      <c r="E267" s="1" t="str">
        <f xml:space="preserve"> TEXT(FilmaxData[[#This Row],[Show_Date]],"DDD")</f>
        <v>Tue</v>
      </c>
      <c r="F267" t="s">
        <v>11</v>
      </c>
      <c r="G267" t="s">
        <v>17</v>
      </c>
      <c r="H267">
        <v>3</v>
      </c>
      <c r="I267">
        <v>12</v>
      </c>
      <c r="J267" t="s">
        <v>13</v>
      </c>
      <c r="K267" t="s">
        <v>18</v>
      </c>
      <c r="L267">
        <v>36</v>
      </c>
    </row>
    <row r="268" spans="1:12" x14ac:dyDescent="0.3">
      <c r="A268">
        <v>957</v>
      </c>
      <c r="B268" t="s">
        <v>31</v>
      </c>
      <c r="C268" s="1">
        <v>45889</v>
      </c>
      <c r="D268" s="1" t="str">
        <f xml:space="preserve"> TEXT(FilmaxData[[#This Row],[Show_Date]],"MMM")</f>
        <v>Aug</v>
      </c>
      <c r="E268" s="1" t="str">
        <f xml:space="preserve"> TEXT(FilmaxData[[#This Row],[Show_Date]],"DDD")</f>
        <v>Wed</v>
      </c>
      <c r="F268" t="s">
        <v>11</v>
      </c>
      <c r="G268" t="s">
        <v>30</v>
      </c>
      <c r="H268">
        <v>5</v>
      </c>
      <c r="I268">
        <v>8</v>
      </c>
      <c r="J268" t="s">
        <v>13</v>
      </c>
      <c r="K268" t="s">
        <v>18</v>
      </c>
      <c r="L268">
        <v>40</v>
      </c>
    </row>
    <row r="269" spans="1:12" x14ac:dyDescent="0.3">
      <c r="A269">
        <v>1909</v>
      </c>
      <c r="B269" t="s">
        <v>26</v>
      </c>
      <c r="C269" s="1">
        <v>45898</v>
      </c>
      <c r="D269" s="1" t="str">
        <f xml:space="preserve"> TEXT(FilmaxData[[#This Row],[Show_Date]],"MMM")</f>
        <v>Aug</v>
      </c>
      <c r="E269" s="1" t="str">
        <f xml:space="preserve"> TEXT(FilmaxData[[#This Row],[Show_Date]],"DDD")</f>
        <v>Fri</v>
      </c>
      <c r="F269" t="s">
        <v>11</v>
      </c>
      <c r="G269" t="s">
        <v>12</v>
      </c>
      <c r="H269">
        <v>1</v>
      </c>
      <c r="I269">
        <v>25</v>
      </c>
      <c r="J269" t="s">
        <v>13</v>
      </c>
      <c r="K269" t="s">
        <v>25</v>
      </c>
      <c r="L269">
        <v>25</v>
      </c>
    </row>
    <row r="270" spans="1:12" x14ac:dyDescent="0.3">
      <c r="A270">
        <v>512</v>
      </c>
      <c r="B270" t="s">
        <v>26</v>
      </c>
      <c r="C270" s="1">
        <v>45857</v>
      </c>
      <c r="D270" s="1" t="str">
        <f xml:space="preserve"> TEXT(FilmaxData[[#This Row],[Show_Date]],"MMM")</f>
        <v>Jul</v>
      </c>
      <c r="E270" s="1" t="str">
        <f xml:space="preserve"> TEXT(FilmaxData[[#This Row],[Show_Date]],"DDD")</f>
        <v>Sat</v>
      </c>
      <c r="F270" t="s">
        <v>11</v>
      </c>
      <c r="G270" t="s">
        <v>22</v>
      </c>
      <c r="H270">
        <v>4</v>
      </c>
      <c r="I270">
        <v>20</v>
      </c>
      <c r="J270" t="s">
        <v>23</v>
      </c>
      <c r="K270" t="s">
        <v>18</v>
      </c>
      <c r="L270">
        <v>80</v>
      </c>
    </row>
    <row r="271" spans="1:12" x14ac:dyDescent="0.3">
      <c r="A271">
        <v>921</v>
      </c>
      <c r="B271" t="s">
        <v>15</v>
      </c>
      <c r="C271" s="1">
        <v>45870</v>
      </c>
      <c r="D271" s="1" t="str">
        <f xml:space="preserve"> TEXT(FilmaxData[[#This Row],[Show_Date]],"MMM")</f>
        <v>Aug</v>
      </c>
      <c r="E271" s="1" t="str">
        <f xml:space="preserve"> TEXT(FilmaxData[[#This Row],[Show_Date]],"DDD")</f>
        <v>Fri</v>
      </c>
      <c r="F271" t="s">
        <v>11</v>
      </c>
      <c r="G271" t="s">
        <v>17</v>
      </c>
      <c r="H271">
        <v>1</v>
      </c>
      <c r="I271">
        <v>12</v>
      </c>
      <c r="J271" t="s">
        <v>21</v>
      </c>
      <c r="K271" t="s">
        <v>14</v>
      </c>
      <c r="L271">
        <v>12</v>
      </c>
    </row>
    <row r="272" spans="1:12" x14ac:dyDescent="0.3">
      <c r="A272">
        <v>1630</v>
      </c>
      <c r="B272" t="s">
        <v>10</v>
      </c>
      <c r="C272" s="1">
        <v>45845</v>
      </c>
      <c r="D272" s="1" t="str">
        <f xml:space="preserve"> TEXT(FilmaxData[[#This Row],[Show_Date]],"MMM")</f>
        <v>Jul</v>
      </c>
      <c r="E272" s="1" t="str">
        <f xml:space="preserve"> TEXT(FilmaxData[[#This Row],[Show_Date]],"DDD")</f>
        <v>Mon</v>
      </c>
      <c r="F272" t="s">
        <v>11</v>
      </c>
      <c r="G272" t="s">
        <v>12</v>
      </c>
      <c r="H272">
        <v>5</v>
      </c>
      <c r="I272">
        <v>25</v>
      </c>
      <c r="J272" t="s">
        <v>13</v>
      </c>
      <c r="K272" t="s">
        <v>18</v>
      </c>
      <c r="L272">
        <v>125</v>
      </c>
    </row>
    <row r="273" spans="1:12" x14ac:dyDescent="0.3">
      <c r="A273">
        <v>1969</v>
      </c>
      <c r="B273" t="s">
        <v>24</v>
      </c>
      <c r="C273" s="1">
        <v>45900</v>
      </c>
      <c r="D273" s="1" t="str">
        <f xml:space="preserve"> TEXT(FilmaxData[[#This Row],[Show_Date]],"MMM")</f>
        <v>Aug</v>
      </c>
      <c r="E273" s="1" t="str">
        <f xml:space="preserve"> TEXT(FilmaxData[[#This Row],[Show_Date]],"DDD")</f>
        <v>Sun</v>
      </c>
      <c r="F273" t="s">
        <v>11</v>
      </c>
      <c r="G273" t="s">
        <v>12</v>
      </c>
      <c r="H273">
        <v>5</v>
      </c>
      <c r="I273">
        <v>25</v>
      </c>
      <c r="J273" t="s">
        <v>13</v>
      </c>
      <c r="K273" t="s">
        <v>18</v>
      </c>
      <c r="L273">
        <v>125</v>
      </c>
    </row>
    <row r="274" spans="1:12" x14ac:dyDescent="0.3">
      <c r="A274">
        <v>1326</v>
      </c>
      <c r="B274" t="s">
        <v>24</v>
      </c>
      <c r="C274" s="1">
        <v>45922</v>
      </c>
      <c r="D274" s="1" t="str">
        <f xml:space="preserve"> TEXT(FilmaxData[[#This Row],[Show_Date]],"MMM")</f>
        <v>Sep</v>
      </c>
      <c r="E274" s="1" t="str">
        <f xml:space="preserve"> TEXT(FilmaxData[[#This Row],[Show_Date]],"DDD")</f>
        <v>Mon</v>
      </c>
      <c r="F274" t="s">
        <v>11</v>
      </c>
      <c r="G274" t="s">
        <v>30</v>
      </c>
      <c r="H274">
        <v>4</v>
      </c>
      <c r="I274">
        <v>8</v>
      </c>
      <c r="J274" t="s">
        <v>21</v>
      </c>
      <c r="K274" t="s">
        <v>18</v>
      </c>
      <c r="L274">
        <v>32</v>
      </c>
    </row>
    <row r="275" spans="1:12" x14ac:dyDescent="0.3">
      <c r="A275">
        <v>630</v>
      </c>
      <c r="B275" t="s">
        <v>28</v>
      </c>
      <c r="C275" s="1">
        <v>45873</v>
      </c>
      <c r="D275" s="1" t="str">
        <f xml:space="preserve"> TEXT(FilmaxData[[#This Row],[Show_Date]],"MMM")</f>
        <v>Aug</v>
      </c>
      <c r="E275" s="1" t="str">
        <f xml:space="preserve"> TEXT(FilmaxData[[#This Row],[Show_Date]],"DDD")</f>
        <v>Mon</v>
      </c>
      <c r="F275" t="s">
        <v>11</v>
      </c>
      <c r="G275" t="s">
        <v>17</v>
      </c>
      <c r="H275">
        <v>4</v>
      </c>
      <c r="I275">
        <v>12</v>
      </c>
      <c r="J275" t="s">
        <v>23</v>
      </c>
      <c r="K275" t="s">
        <v>14</v>
      </c>
      <c r="L275">
        <v>48</v>
      </c>
    </row>
    <row r="276" spans="1:12" x14ac:dyDescent="0.3">
      <c r="A276">
        <v>2</v>
      </c>
      <c r="B276" t="s">
        <v>31</v>
      </c>
      <c r="C276" s="1">
        <v>45885</v>
      </c>
      <c r="D276" s="1" t="str">
        <f xml:space="preserve"> TEXT(FilmaxData[[#This Row],[Show_Date]],"MMM")</f>
        <v>Aug</v>
      </c>
      <c r="E276" s="1" t="str">
        <f xml:space="preserve"> TEXT(FilmaxData[[#This Row],[Show_Date]],"DDD")</f>
        <v>Sat</v>
      </c>
      <c r="F276" t="s">
        <v>11</v>
      </c>
      <c r="G276" t="s">
        <v>17</v>
      </c>
      <c r="H276">
        <v>5</v>
      </c>
      <c r="I276">
        <v>12</v>
      </c>
      <c r="J276" t="s">
        <v>23</v>
      </c>
      <c r="K276" t="s">
        <v>14</v>
      </c>
      <c r="L276">
        <v>60</v>
      </c>
    </row>
    <row r="277" spans="1:12" x14ac:dyDescent="0.3">
      <c r="A277">
        <v>1034</v>
      </c>
      <c r="B277" t="s">
        <v>10</v>
      </c>
      <c r="C277" s="1">
        <v>45899</v>
      </c>
      <c r="D277" s="1" t="str">
        <f xml:space="preserve"> TEXT(FilmaxData[[#This Row],[Show_Date]],"MMM")</f>
        <v>Aug</v>
      </c>
      <c r="E277" s="1" t="str">
        <f xml:space="preserve"> TEXT(FilmaxData[[#This Row],[Show_Date]],"DDD")</f>
        <v>Sat</v>
      </c>
      <c r="F277" t="s">
        <v>11</v>
      </c>
      <c r="G277" t="s">
        <v>17</v>
      </c>
      <c r="H277">
        <v>1</v>
      </c>
      <c r="I277">
        <v>12</v>
      </c>
      <c r="J277" t="s">
        <v>13</v>
      </c>
      <c r="K277" t="s">
        <v>18</v>
      </c>
      <c r="L277">
        <v>12</v>
      </c>
    </row>
    <row r="278" spans="1:12" x14ac:dyDescent="0.3">
      <c r="A278">
        <v>1409</v>
      </c>
      <c r="B278" t="s">
        <v>28</v>
      </c>
      <c r="C278" s="1">
        <v>45891</v>
      </c>
      <c r="D278" s="1" t="str">
        <f xml:space="preserve"> TEXT(FilmaxData[[#This Row],[Show_Date]],"MMM")</f>
        <v>Aug</v>
      </c>
      <c r="E278" s="1" t="str">
        <f xml:space="preserve"> TEXT(FilmaxData[[#This Row],[Show_Date]],"DDD")</f>
        <v>Fri</v>
      </c>
      <c r="F278" t="s">
        <v>11</v>
      </c>
      <c r="G278" t="s">
        <v>17</v>
      </c>
      <c r="H278">
        <v>3</v>
      </c>
      <c r="I278">
        <v>12</v>
      </c>
      <c r="J278" t="s">
        <v>13</v>
      </c>
      <c r="K278" t="s">
        <v>18</v>
      </c>
      <c r="L278">
        <v>36</v>
      </c>
    </row>
    <row r="279" spans="1:12" x14ac:dyDescent="0.3">
      <c r="A279">
        <v>721</v>
      </c>
      <c r="B279" t="s">
        <v>26</v>
      </c>
      <c r="C279" s="1">
        <v>45922</v>
      </c>
      <c r="D279" s="1" t="str">
        <f xml:space="preserve"> TEXT(FilmaxData[[#This Row],[Show_Date]],"MMM")</f>
        <v>Sep</v>
      </c>
      <c r="E279" s="1" t="str">
        <f xml:space="preserve"> TEXT(FilmaxData[[#This Row],[Show_Date]],"DDD")</f>
        <v>Mon</v>
      </c>
      <c r="F279" t="s">
        <v>11</v>
      </c>
      <c r="G279" t="s">
        <v>22</v>
      </c>
      <c r="H279">
        <v>3</v>
      </c>
      <c r="I279">
        <v>20</v>
      </c>
      <c r="J279" t="s">
        <v>21</v>
      </c>
      <c r="K279" t="s">
        <v>14</v>
      </c>
      <c r="L279">
        <v>60</v>
      </c>
    </row>
    <row r="280" spans="1:12" x14ac:dyDescent="0.3">
      <c r="A280">
        <v>400</v>
      </c>
      <c r="B280" t="s">
        <v>24</v>
      </c>
      <c r="C280" s="1">
        <v>45880</v>
      </c>
      <c r="D280" s="1" t="str">
        <f xml:space="preserve"> TEXT(FilmaxData[[#This Row],[Show_Date]],"MMM")</f>
        <v>Aug</v>
      </c>
      <c r="E280" s="1" t="str">
        <f xml:space="preserve"> TEXT(FilmaxData[[#This Row],[Show_Date]],"DDD")</f>
        <v>Mon</v>
      </c>
      <c r="F280" t="s">
        <v>11</v>
      </c>
      <c r="G280" t="s">
        <v>12</v>
      </c>
      <c r="H280">
        <v>2</v>
      </c>
      <c r="I280">
        <v>25</v>
      </c>
      <c r="J280" t="s">
        <v>23</v>
      </c>
      <c r="K280" t="s">
        <v>25</v>
      </c>
      <c r="L280">
        <v>50</v>
      </c>
    </row>
    <row r="281" spans="1:12" x14ac:dyDescent="0.3">
      <c r="A281">
        <v>896</v>
      </c>
      <c r="B281" t="s">
        <v>31</v>
      </c>
      <c r="C281" s="1">
        <v>45890</v>
      </c>
      <c r="D281" s="1" t="str">
        <f xml:space="preserve"> TEXT(FilmaxData[[#This Row],[Show_Date]],"MMM")</f>
        <v>Aug</v>
      </c>
      <c r="E281" s="1" t="str">
        <f xml:space="preserve"> TEXT(FilmaxData[[#This Row],[Show_Date]],"DDD")</f>
        <v>Thu</v>
      </c>
      <c r="F281" t="s">
        <v>11</v>
      </c>
      <c r="G281" t="s">
        <v>22</v>
      </c>
      <c r="H281">
        <v>1</v>
      </c>
      <c r="I281">
        <v>20</v>
      </c>
      <c r="J281" t="s">
        <v>13</v>
      </c>
      <c r="K281" t="s">
        <v>27</v>
      </c>
      <c r="L281">
        <v>20</v>
      </c>
    </row>
    <row r="282" spans="1:12" x14ac:dyDescent="0.3">
      <c r="A282">
        <v>1891</v>
      </c>
      <c r="B282" t="s">
        <v>26</v>
      </c>
      <c r="C282" s="1">
        <v>45860</v>
      </c>
      <c r="D282" s="1" t="str">
        <f xml:space="preserve"> TEXT(FilmaxData[[#This Row],[Show_Date]],"MMM")</f>
        <v>Jul</v>
      </c>
      <c r="E282" s="1" t="str">
        <f xml:space="preserve"> TEXT(FilmaxData[[#This Row],[Show_Date]],"DDD")</f>
        <v>Tue</v>
      </c>
      <c r="F282" t="s">
        <v>11</v>
      </c>
      <c r="G282" t="s">
        <v>30</v>
      </c>
      <c r="H282">
        <v>5</v>
      </c>
      <c r="I282">
        <v>8</v>
      </c>
      <c r="J282" t="s">
        <v>21</v>
      </c>
      <c r="K282" t="s">
        <v>18</v>
      </c>
      <c r="L282">
        <v>40</v>
      </c>
    </row>
    <row r="283" spans="1:12" x14ac:dyDescent="0.3">
      <c r="A283">
        <v>1054</v>
      </c>
      <c r="B283" t="s">
        <v>28</v>
      </c>
      <c r="C283" s="1">
        <v>45839</v>
      </c>
      <c r="D283" s="1" t="str">
        <f xml:space="preserve"> TEXT(FilmaxData[[#This Row],[Show_Date]],"MMM")</f>
        <v>Jul</v>
      </c>
      <c r="E283" s="1" t="str">
        <f xml:space="preserve"> TEXT(FilmaxData[[#This Row],[Show_Date]],"DDD")</f>
        <v>Tue</v>
      </c>
      <c r="F283" t="s">
        <v>11</v>
      </c>
      <c r="G283" t="s">
        <v>17</v>
      </c>
      <c r="H283">
        <v>2</v>
      </c>
      <c r="I283">
        <v>12</v>
      </c>
      <c r="J283" t="s">
        <v>13</v>
      </c>
      <c r="K283" t="s">
        <v>14</v>
      </c>
      <c r="L283">
        <v>24</v>
      </c>
    </row>
    <row r="284" spans="1:12" x14ac:dyDescent="0.3">
      <c r="A284">
        <v>251</v>
      </c>
      <c r="B284" t="s">
        <v>10</v>
      </c>
      <c r="C284" s="1">
        <v>45869</v>
      </c>
      <c r="D284" s="1" t="str">
        <f xml:space="preserve"> TEXT(FilmaxData[[#This Row],[Show_Date]],"MMM")</f>
        <v>Jul</v>
      </c>
      <c r="E284" s="1" t="str">
        <f xml:space="preserve"> TEXT(FilmaxData[[#This Row],[Show_Date]],"DDD")</f>
        <v>Thu</v>
      </c>
      <c r="F284" t="s">
        <v>11</v>
      </c>
      <c r="G284" t="s">
        <v>17</v>
      </c>
      <c r="H284">
        <v>4</v>
      </c>
      <c r="I284">
        <v>12</v>
      </c>
      <c r="J284" t="s">
        <v>23</v>
      </c>
      <c r="K284" t="s">
        <v>14</v>
      </c>
      <c r="L284">
        <v>48</v>
      </c>
    </row>
    <row r="285" spans="1:12" x14ac:dyDescent="0.3">
      <c r="A285">
        <v>1125</v>
      </c>
      <c r="B285" t="s">
        <v>10</v>
      </c>
      <c r="C285" s="1">
        <v>45923</v>
      </c>
      <c r="D285" s="1" t="str">
        <f xml:space="preserve"> TEXT(FilmaxData[[#This Row],[Show_Date]],"MMM")</f>
        <v>Sep</v>
      </c>
      <c r="E285" s="1" t="str">
        <f xml:space="preserve"> TEXT(FilmaxData[[#This Row],[Show_Date]],"DDD")</f>
        <v>Tue</v>
      </c>
      <c r="F285" t="s">
        <v>11</v>
      </c>
      <c r="G285" t="s">
        <v>30</v>
      </c>
      <c r="H285">
        <v>5</v>
      </c>
      <c r="I285">
        <v>8</v>
      </c>
      <c r="J285" t="s">
        <v>13</v>
      </c>
      <c r="K285" t="s">
        <v>25</v>
      </c>
      <c r="L285">
        <v>40</v>
      </c>
    </row>
    <row r="286" spans="1:12" x14ac:dyDescent="0.3">
      <c r="A286">
        <v>1881</v>
      </c>
      <c r="B286" t="s">
        <v>10</v>
      </c>
      <c r="C286" s="1">
        <v>45876</v>
      </c>
      <c r="D286" s="1" t="str">
        <f xml:space="preserve"> TEXT(FilmaxData[[#This Row],[Show_Date]],"MMM")</f>
        <v>Aug</v>
      </c>
      <c r="E286" s="1" t="str">
        <f xml:space="preserve"> TEXT(FilmaxData[[#This Row],[Show_Date]],"DDD")</f>
        <v>Thu</v>
      </c>
      <c r="F286" t="s">
        <v>11</v>
      </c>
      <c r="G286" t="s">
        <v>12</v>
      </c>
      <c r="H286">
        <v>2</v>
      </c>
      <c r="I286">
        <v>25</v>
      </c>
      <c r="J286" t="s">
        <v>21</v>
      </c>
      <c r="K286" t="s">
        <v>27</v>
      </c>
      <c r="L286">
        <v>50</v>
      </c>
    </row>
    <row r="287" spans="1:12" x14ac:dyDescent="0.3">
      <c r="A287">
        <v>1570</v>
      </c>
      <c r="B287" t="s">
        <v>10</v>
      </c>
      <c r="C287" s="1">
        <v>45903</v>
      </c>
      <c r="D287" s="1" t="str">
        <f xml:space="preserve"> TEXT(FilmaxData[[#This Row],[Show_Date]],"MMM")</f>
        <v>Sep</v>
      </c>
      <c r="E287" s="1" t="str">
        <f xml:space="preserve"> TEXT(FilmaxData[[#This Row],[Show_Date]],"DDD")</f>
        <v>Wed</v>
      </c>
      <c r="F287" t="s">
        <v>11</v>
      </c>
      <c r="G287" t="s">
        <v>22</v>
      </c>
      <c r="H287">
        <v>4</v>
      </c>
      <c r="I287">
        <v>20</v>
      </c>
      <c r="J287" t="s">
        <v>21</v>
      </c>
      <c r="K287" t="s">
        <v>18</v>
      </c>
      <c r="L287">
        <v>80</v>
      </c>
    </row>
    <row r="288" spans="1:12" x14ac:dyDescent="0.3">
      <c r="A288">
        <v>908</v>
      </c>
      <c r="B288" t="s">
        <v>32</v>
      </c>
      <c r="C288" s="1">
        <v>45906</v>
      </c>
      <c r="D288" s="1" t="str">
        <f xml:space="preserve"> TEXT(FilmaxData[[#This Row],[Show_Date]],"MMM")</f>
        <v>Sep</v>
      </c>
      <c r="E288" s="1" t="str">
        <f xml:space="preserve"> TEXT(FilmaxData[[#This Row],[Show_Date]],"DDD")</f>
        <v>Sat</v>
      </c>
      <c r="F288" t="s">
        <v>11</v>
      </c>
      <c r="G288" t="s">
        <v>17</v>
      </c>
      <c r="H288">
        <v>3</v>
      </c>
      <c r="I288">
        <v>12</v>
      </c>
      <c r="J288" t="s">
        <v>23</v>
      </c>
      <c r="K288" t="s">
        <v>18</v>
      </c>
      <c r="L288">
        <v>36</v>
      </c>
    </row>
    <row r="289" spans="1:12" x14ac:dyDescent="0.3">
      <c r="A289">
        <v>1516</v>
      </c>
      <c r="B289" t="s">
        <v>10</v>
      </c>
      <c r="C289" s="1">
        <v>45849</v>
      </c>
      <c r="D289" s="1" t="str">
        <f xml:space="preserve"> TEXT(FilmaxData[[#This Row],[Show_Date]],"MMM")</f>
        <v>Jul</v>
      </c>
      <c r="E289" s="1" t="str">
        <f xml:space="preserve"> TEXT(FilmaxData[[#This Row],[Show_Date]],"DDD")</f>
        <v>Fri</v>
      </c>
      <c r="F289" t="s">
        <v>11</v>
      </c>
      <c r="G289" t="s">
        <v>29</v>
      </c>
      <c r="H289">
        <v>3</v>
      </c>
      <c r="I289">
        <v>30</v>
      </c>
      <c r="J289" t="s">
        <v>13</v>
      </c>
      <c r="K289" t="s">
        <v>14</v>
      </c>
      <c r="L289">
        <v>90</v>
      </c>
    </row>
    <row r="290" spans="1:12" x14ac:dyDescent="0.3">
      <c r="A290">
        <v>277</v>
      </c>
      <c r="B290" t="s">
        <v>24</v>
      </c>
      <c r="C290" s="1">
        <v>45889</v>
      </c>
      <c r="D290" s="1" t="str">
        <f xml:space="preserve"> TEXT(FilmaxData[[#This Row],[Show_Date]],"MMM")</f>
        <v>Aug</v>
      </c>
      <c r="E290" s="1" t="str">
        <f xml:space="preserve"> TEXT(FilmaxData[[#This Row],[Show_Date]],"DDD")</f>
        <v>Wed</v>
      </c>
      <c r="F290" t="s">
        <v>11</v>
      </c>
      <c r="G290" t="s">
        <v>30</v>
      </c>
      <c r="H290">
        <v>2</v>
      </c>
      <c r="I290">
        <v>8</v>
      </c>
      <c r="J290" t="s">
        <v>23</v>
      </c>
      <c r="K290" t="s">
        <v>18</v>
      </c>
      <c r="L290">
        <v>16</v>
      </c>
    </row>
    <row r="291" spans="1:12" x14ac:dyDescent="0.3">
      <c r="A291">
        <v>1355</v>
      </c>
      <c r="B291" t="s">
        <v>26</v>
      </c>
      <c r="C291" s="1">
        <v>45927</v>
      </c>
      <c r="D291" s="1" t="str">
        <f xml:space="preserve"> TEXT(FilmaxData[[#This Row],[Show_Date]],"MMM")</f>
        <v>Sep</v>
      </c>
      <c r="E291" s="1" t="str">
        <f xml:space="preserve"> TEXT(FilmaxData[[#This Row],[Show_Date]],"DDD")</f>
        <v>Sat</v>
      </c>
      <c r="F291" t="s">
        <v>11</v>
      </c>
      <c r="G291" t="s">
        <v>17</v>
      </c>
      <c r="H291">
        <v>2</v>
      </c>
      <c r="I291">
        <v>12</v>
      </c>
      <c r="J291" t="s">
        <v>23</v>
      </c>
      <c r="K291" t="s">
        <v>14</v>
      </c>
      <c r="L291">
        <v>24</v>
      </c>
    </row>
    <row r="292" spans="1:12" x14ac:dyDescent="0.3">
      <c r="A292">
        <v>124</v>
      </c>
      <c r="B292" t="s">
        <v>28</v>
      </c>
      <c r="C292" s="1">
        <v>45849</v>
      </c>
      <c r="D292" s="1" t="str">
        <f xml:space="preserve"> TEXT(FilmaxData[[#This Row],[Show_Date]],"MMM")</f>
        <v>Jul</v>
      </c>
      <c r="E292" s="1" t="str">
        <f xml:space="preserve"> TEXT(FilmaxData[[#This Row],[Show_Date]],"DDD")</f>
        <v>Fri</v>
      </c>
      <c r="F292" t="s">
        <v>11</v>
      </c>
      <c r="G292" t="s">
        <v>17</v>
      </c>
      <c r="H292">
        <v>2</v>
      </c>
      <c r="I292">
        <v>12</v>
      </c>
      <c r="J292" t="s">
        <v>21</v>
      </c>
      <c r="K292" t="s">
        <v>14</v>
      </c>
      <c r="L292">
        <v>24</v>
      </c>
    </row>
    <row r="293" spans="1:12" x14ac:dyDescent="0.3">
      <c r="A293">
        <v>1728</v>
      </c>
      <c r="B293" t="s">
        <v>24</v>
      </c>
      <c r="C293" s="1">
        <v>45840</v>
      </c>
      <c r="D293" s="1" t="str">
        <f xml:space="preserve"> TEXT(FilmaxData[[#This Row],[Show_Date]],"MMM")</f>
        <v>Jul</v>
      </c>
      <c r="E293" s="1" t="str">
        <f xml:space="preserve"> TEXT(FilmaxData[[#This Row],[Show_Date]],"DDD")</f>
        <v>Wed</v>
      </c>
      <c r="F293" t="s">
        <v>11</v>
      </c>
      <c r="G293" t="s">
        <v>17</v>
      </c>
      <c r="H293">
        <v>3</v>
      </c>
      <c r="I293">
        <v>12</v>
      </c>
      <c r="J293" t="s">
        <v>13</v>
      </c>
      <c r="K293" t="s">
        <v>25</v>
      </c>
      <c r="L293">
        <v>36</v>
      </c>
    </row>
    <row r="294" spans="1:12" x14ac:dyDescent="0.3">
      <c r="A294">
        <v>1696</v>
      </c>
      <c r="B294" t="s">
        <v>19</v>
      </c>
      <c r="C294" s="1">
        <v>45914</v>
      </c>
      <c r="D294" s="1" t="str">
        <f xml:space="preserve"> TEXT(FilmaxData[[#This Row],[Show_Date]],"MMM")</f>
        <v>Sep</v>
      </c>
      <c r="E294" s="1" t="str">
        <f xml:space="preserve"> TEXT(FilmaxData[[#This Row],[Show_Date]],"DDD")</f>
        <v>Sun</v>
      </c>
      <c r="F294" t="s">
        <v>11</v>
      </c>
      <c r="G294" t="s">
        <v>17</v>
      </c>
      <c r="H294">
        <v>5</v>
      </c>
      <c r="I294">
        <v>12</v>
      </c>
      <c r="J294" t="s">
        <v>23</v>
      </c>
      <c r="K294" t="s">
        <v>27</v>
      </c>
      <c r="L294">
        <v>60</v>
      </c>
    </row>
    <row r="295" spans="1:12" x14ac:dyDescent="0.3">
      <c r="A295">
        <v>1086</v>
      </c>
      <c r="B295" t="s">
        <v>24</v>
      </c>
      <c r="C295" s="1">
        <v>45927</v>
      </c>
      <c r="D295" s="1" t="str">
        <f xml:space="preserve"> TEXT(FilmaxData[[#This Row],[Show_Date]],"MMM")</f>
        <v>Sep</v>
      </c>
      <c r="E295" s="1" t="str">
        <f xml:space="preserve"> TEXT(FilmaxData[[#This Row],[Show_Date]],"DDD")</f>
        <v>Sat</v>
      </c>
      <c r="F295" t="s">
        <v>11</v>
      </c>
      <c r="G295" t="s">
        <v>30</v>
      </c>
      <c r="H295">
        <v>1</v>
      </c>
      <c r="I295">
        <v>8</v>
      </c>
      <c r="J295" t="s">
        <v>13</v>
      </c>
      <c r="K295" t="s">
        <v>14</v>
      </c>
      <c r="L295">
        <v>8</v>
      </c>
    </row>
    <row r="296" spans="1:12" x14ac:dyDescent="0.3">
      <c r="A296">
        <v>1065</v>
      </c>
      <c r="B296" t="s">
        <v>10</v>
      </c>
      <c r="C296" s="1">
        <v>45893</v>
      </c>
      <c r="D296" s="1" t="str">
        <f xml:space="preserve"> TEXT(FilmaxData[[#This Row],[Show_Date]],"MMM")</f>
        <v>Aug</v>
      </c>
      <c r="E296" s="1" t="str">
        <f xml:space="preserve"> TEXT(FilmaxData[[#This Row],[Show_Date]],"DDD")</f>
        <v>Sun</v>
      </c>
      <c r="F296" t="s">
        <v>11</v>
      </c>
      <c r="G296" t="s">
        <v>12</v>
      </c>
      <c r="H296">
        <v>3</v>
      </c>
      <c r="I296">
        <v>25</v>
      </c>
      <c r="J296" t="s">
        <v>21</v>
      </c>
      <c r="K296" t="s">
        <v>14</v>
      </c>
      <c r="L296">
        <v>75</v>
      </c>
    </row>
    <row r="297" spans="1:12" x14ac:dyDescent="0.3">
      <c r="A297">
        <v>1199</v>
      </c>
      <c r="B297" t="s">
        <v>32</v>
      </c>
      <c r="C297" s="1">
        <v>45892</v>
      </c>
      <c r="D297" s="1" t="str">
        <f xml:space="preserve"> TEXT(FilmaxData[[#This Row],[Show_Date]],"MMM")</f>
        <v>Aug</v>
      </c>
      <c r="E297" s="1" t="str">
        <f xml:space="preserve"> TEXT(FilmaxData[[#This Row],[Show_Date]],"DDD")</f>
        <v>Sat</v>
      </c>
      <c r="F297" t="s">
        <v>11</v>
      </c>
      <c r="G297" t="s">
        <v>17</v>
      </c>
      <c r="H297">
        <v>4</v>
      </c>
      <c r="I297">
        <v>12</v>
      </c>
      <c r="J297" t="s">
        <v>21</v>
      </c>
      <c r="K297" t="s">
        <v>18</v>
      </c>
      <c r="L297">
        <v>48</v>
      </c>
    </row>
    <row r="298" spans="1:12" x14ac:dyDescent="0.3">
      <c r="A298">
        <v>118</v>
      </c>
      <c r="B298" t="s">
        <v>10</v>
      </c>
      <c r="C298" s="1">
        <v>45905</v>
      </c>
      <c r="D298" s="1" t="str">
        <f xml:space="preserve"> TEXT(FilmaxData[[#This Row],[Show_Date]],"MMM")</f>
        <v>Sep</v>
      </c>
      <c r="E298" s="1" t="str">
        <f xml:space="preserve"> TEXT(FilmaxData[[#This Row],[Show_Date]],"DDD")</f>
        <v>Fri</v>
      </c>
      <c r="F298" t="s">
        <v>11</v>
      </c>
      <c r="G298" t="s">
        <v>12</v>
      </c>
      <c r="H298">
        <v>3</v>
      </c>
      <c r="I298">
        <v>25</v>
      </c>
      <c r="J298" t="s">
        <v>23</v>
      </c>
      <c r="K298" t="s">
        <v>25</v>
      </c>
      <c r="L298">
        <v>75</v>
      </c>
    </row>
    <row r="299" spans="1:12" x14ac:dyDescent="0.3">
      <c r="A299">
        <v>988</v>
      </c>
      <c r="B299" t="s">
        <v>31</v>
      </c>
      <c r="C299" s="1">
        <v>45892</v>
      </c>
      <c r="D299" s="1" t="str">
        <f xml:space="preserve"> TEXT(FilmaxData[[#This Row],[Show_Date]],"MMM")</f>
        <v>Aug</v>
      </c>
      <c r="E299" s="1" t="str">
        <f xml:space="preserve"> TEXT(FilmaxData[[#This Row],[Show_Date]],"DDD")</f>
        <v>Sat</v>
      </c>
      <c r="F299" t="s">
        <v>11</v>
      </c>
      <c r="G299" t="s">
        <v>12</v>
      </c>
      <c r="H299">
        <v>3</v>
      </c>
      <c r="I299">
        <v>25</v>
      </c>
      <c r="J299" t="s">
        <v>13</v>
      </c>
      <c r="K299" t="s">
        <v>14</v>
      </c>
      <c r="L299">
        <v>75</v>
      </c>
    </row>
    <row r="300" spans="1:12" x14ac:dyDescent="0.3">
      <c r="A300">
        <v>1797</v>
      </c>
      <c r="B300" t="s">
        <v>28</v>
      </c>
      <c r="C300" s="1">
        <v>45879</v>
      </c>
      <c r="D300" s="1" t="str">
        <f xml:space="preserve"> TEXT(FilmaxData[[#This Row],[Show_Date]],"MMM")</f>
        <v>Aug</v>
      </c>
      <c r="E300" s="1" t="str">
        <f xml:space="preserve"> TEXT(FilmaxData[[#This Row],[Show_Date]],"DDD")</f>
        <v>Sun</v>
      </c>
      <c r="F300" t="s">
        <v>11</v>
      </c>
      <c r="G300" t="s">
        <v>12</v>
      </c>
      <c r="H300">
        <v>2</v>
      </c>
      <c r="I300">
        <v>25</v>
      </c>
      <c r="J300" t="s">
        <v>23</v>
      </c>
      <c r="K300" t="s">
        <v>25</v>
      </c>
      <c r="L300">
        <v>50</v>
      </c>
    </row>
    <row r="301" spans="1:12" x14ac:dyDescent="0.3">
      <c r="A301">
        <v>428</v>
      </c>
      <c r="B301" t="s">
        <v>31</v>
      </c>
      <c r="C301" s="1">
        <v>45898</v>
      </c>
      <c r="D301" s="1" t="str">
        <f xml:space="preserve"> TEXT(FilmaxData[[#This Row],[Show_Date]],"MMM")</f>
        <v>Aug</v>
      </c>
      <c r="E301" s="1" t="str">
        <f xml:space="preserve"> TEXT(FilmaxData[[#This Row],[Show_Date]],"DDD")</f>
        <v>Fri</v>
      </c>
      <c r="F301" t="s">
        <v>11</v>
      </c>
      <c r="G301" t="s">
        <v>29</v>
      </c>
      <c r="H301">
        <v>3</v>
      </c>
      <c r="I301">
        <v>30</v>
      </c>
      <c r="J301" t="s">
        <v>13</v>
      </c>
      <c r="K301" t="s">
        <v>27</v>
      </c>
      <c r="L301">
        <v>90</v>
      </c>
    </row>
    <row r="302" spans="1:12" x14ac:dyDescent="0.3">
      <c r="A302">
        <v>956</v>
      </c>
      <c r="B302" t="s">
        <v>32</v>
      </c>
      <c r="C302" s="1">
        <v>45844</v>
      </c>
      <c r="D302" s="1" t="str">
        <f xml:space="preserve"> TEXT(FilmaxData[[#This Row],[Show_Date]],"MMM")</f>
        <v>Jul</v>
      </c>
      <c r="E302" s="1" t="str">
        <f xml:space="preserve"> TEXT(FilmaxData[[#This Row],[Show_Date]],"DDD")</f>
        <v>Sun</v>
      </c>
      <c r="F302" t="s">
        <v>11</v>
      </c>
      <c r="G302" t="s">
        <v>30</v>
      </c>
      <c r="H302">
        <v>5</v>
      </c>
      <c r="I302">
        <v>8</v>
      </c>
      <c r="J302" t="s">
        <v>13</v>
      </c>
      <c r="K302" t="s">
        <v>25</v>
      </c>
      <c r="L302">
        <v>40</v>
      </c>
    </row>
    <row r="303" spans="1:12" x14ac:dyDescent="0.3">
      <c r="A303">
        <v>1035</v>
      </c>
      <c r="B303" t="s">
        <v>24</v>
      </c>
      <c r="C303" s="1">
        <v>45843</v>
      </c>
      <c r="D303" s="1" t="str">
        <f xml:space="preserve"> TEXT(FilmaxData[[#This Row],[Show_Date]],"MMM")</f>
        <v>Jul</v>
      </c>
      <c r="E303" s="1" t="str">
        <f xml:space="preserve"> TEXT(FilmaxData[[#This Row],[Show_Date]],"DDD")</f>
        <v>Sat</v>
      </c>
      <c r="F303" t="s">
        <v>11</v>
      </c>
      <c r="G303" t="s">
        <v>17</v>
      </c>
      <c r="H303">
        <v>5</v>
      </c>
      <c r="I303">
        <v>12</v>
      </c>
      <c r="J303" t="s">
        <v>23</v>
      </c>
      <c r="K303" t="s">
        <v>27</v>
      </c>
      <c r="L303">
        <v>60</v>
      </c>
    </row>
    <row r="304" spans="1:12" x14ac:dyDescent="0.3">
      <c r="A304">
        <v>606</v>
      </c>
      <c r="B304" t="s">
        <v>32</v>
      </c>
      <c r="C304" s="1">
        <v>45928</v>
      </c>
      <c r="D304" s="1" t="str">
        <f xml:space="preserve"> TEXT(FilmaxData[[#This Row],[Show_Date]],"MMM")</f>
        <v>Sep</v>
      </c>
      <c r="E304" s="1" t="str">
        <f xml:space="preserve"> TEXT(FilmaxData[[#This Row],[Show_Date]],"DDD")</f>
        <v>Sun</v>
      </c>
      <c r="F304" t="s">
        <v>11</v>
      </c>
      <c r="G304" t="s">
        <v>12</v>
      </c>
      <c r="H304">
        <v>5</v>
      </c>
      <c r="I304">
        <v>25</v>
      </c>
      <c r="J304" t="s">
        <v>21</v>
      </c>
      <c r="K304" t="s">
        <v>25</v>
      </c>
      <c r="L304">
        <v>125</v>
      </c>
    </row>
    <row r="305" spans="1:12" x14ac:dyDescent="0.3">
      <c r="A305">
        <v>1931</v>
      </c>
      <c r="B305" t="s">
        <v>19</v>
      </c>
      <c r="C305" s="1">
        <v>45906</v>
      </c>
      <c r="D305" s="1" t="str">
        <f xml:space="preserve"> TEXT(FilmaxData[[#This Row],[Show_Date]],"MMM")</f>
        <v>Sep</v>
      </c>
      <c r="E305" s="1" t="str">
        <f xml:space="preserve"> TEXT(FilmaxData[[#This Row],[Show_Date]],"DDD")</f>
        <v>Sat</v>
      </c>
      <c r="F305" t="s">
        <v>11</v>
      </c>
      <c r="G305" t="s">
        <v>29</v>
      </c>
      <c r="H305">
        <v>5</v>
      </c>
      <c r="I305">
        <v>30</v>
      </c>
      <c r="J305" t="s">
        <v>21</v>
      </c>
      <c r="K305" t="s">
        <v>27</v>
      </c>
      <c r="L305">
        <v>150</v>
      </c>
    </row>
    <row r="306" spans="1:12" x14ac:dyDescent="0.3">
      <c r="A306">
        <v>1477</v>
      </c>
      <c r="B306" t="s">
        <v>28</v>
      </c>
      <c r="C306" s="1">
        <v>45927</v>
      </c>
      <c r="D306" s="1" t="str">
        <f xml:space="preserve"> TEXT(FilmaxData[[#This Row],[Show_Date]],"MMM")</f>
        <v>Sep</v>
      </c>
      <c r="E306" s="1" t="str">
        <f xml:space="preserve"> TEXT(FilmaxData[[#This Row],[Show_Date]],"DDD")</f>
        <v>Sat</v>
      </c>
      <c r="F306" t="s">
        <v>11</v>
      </c>
      <c r="G306" t="s">
        <v>29</v>
      </c>
      <c r="H306">
        <v>4</v>
      </c>
      <c r="I306">
        <v>30</v>
      </c>
      <c r="J306" t="s">
        <v>21</v>
      </c>
      <c r="K306" t="s">
        <v>14</v>
      </c>
      <c r="L306">
        <v>120</v>
      </c>
    </row>
    <row r="307" spans="1:12" x14ac:dyDescent="0.3">
      <c r="A307">
        <v>1338</v>
      </c>
      <c r="B307" t="s">
        <v>10</v>
      </c>
      <c r="C307" s="1">
        <v>45844</v>
      </c>
      <c r="D307" s="1" t="str">
        <f xml:space="preserve"> TEXT(FilmaxData[[#This Row],[Show_Date]],"MMM")</f>
        <v>Jul</v>
      </c>
      <c r="E307" s="1" t="str">
        <f xml:space="preserve"> TEXT(FilmaxData[[#This Row],[Show_Date]],"DDD")</f>
        <v>Sun</v>
      </c>
      <c r="F307" t="s">
        <v>11</v>
      </c>
      <c r="G307" t="s">
        <v>30</v>
      </c>
      <c r="H307">
        <v>3</v>
      </c>
      <c r="I307">
        <v>8</v>
      </c>
      <c r="J307" t="s">
        <v>13</v>
      </c>
      <c r="K307" t="s">
        <v>27</v>
      </c>
      <c r="L307">
        <v>24</v>
      </c>
    </row>
    <row r="308" spans="1:12" x14ac:dyDescent="0.3">
      <c r="A308">
        <v>152</v>
      </c>
      <c r="B308" t="s">
        <v>32</v>
      </c>
      <c r="C308" s="1">
        <v>45927</v>
      </c>
      <c r="D308" s="1" t="str">
        <f xml:space="preserve"> TEXT(FilmaxData[[#This Row],[Show_Date]],"MMM")</f>
        <v>Sep</v>
      </c>
      <c r="E308" s="1" t="str">
        <f xml:space="preserve"> TEXT(FilmaxData[[#This Row],[Show_Date]],"DDD")</f>
        <v>Sat</v>
      </c>
      <c r="F308" t="s">
        <v>11</v>
      </c>
      <c r="G308" t="s">
        <v>17</v>
      </c>
      <c r="H308">
        <v>5</v>
      </c>
      <c r="I308">
        <v>12</v>
      </c>
      <c r="J308" t="s">
        <v>13</v>
      </c>
      <c r="K308" t="s">
        <v>27</v>
      </c>
      <c r="L308">
        <v>60</v>
      </c>
    </row>
    <row r="309" spans="1:12" x14ac:dyDescent="0.3">
      <c r="A309">
        <v>1833</v>
      </c>
      <c r="B309" t="s">
        <v>31</v>
      </c>
      <c r="C309" s="1">
        <v>45849</v>
      </c>
      <c r="D309" s="1" t="str">
        <f xml:space="preserve"> TEXT(FilmaxData[[#This Row],[Show_Date]],"MMM")</f>
        <v>Jul</v>
      </c>
      <c r="E309" s="1" t="str">
        <f xml:space="preserve"> TEXT(FilmaxData[[#This Row],[Show_Date]],"DDD")</f>
        <v>Fri</v>
      </c>
      <c r="F309" t="s">
        <v>11</v>
      </c>
      <c r="G309" t="s">
        <v>22</v>
      </c>
      <c r="H309">
        <v>4</v>
      </c>
      <c r="I309">
        <v>20</v>
      </c>
      <c r="J309" t="s">
        <v>21</v>
      </c>
      <c r="K309" t="s">
        <v>18</v>
      </c>
      <c r="L309">
        <v>80</v>
      </c>
    </row>
    <row r="310" spans="1:12" x14ac:dyDescent="0.3">
      <c r="A310">
        <v>209</v>
      </c>
      <c r="B310" t="s">
        <v>10</v>
      </c>
      <c r="C310" s="1">
        <v>45915</v>
      </c>
      <c r="D310" s="1" t="str">
        <f xml:space="preserve"> TEXT(FilmaxData[[#This Row],[Show_Date]],"MMM")</f>
        <v>Sep</v>
      </c>
      <c r="E310" s="1" t="str">
        <f xml:space="preserve"> TEXT(FilmaxData[[#This Row],[Show_Date]],"DDD")</f>
        <v>Mon</v>
      </c>
      <c r="F310" t="s">
        <v>11</v>
      </c>
      <c r="G310" t="s">
        <v>17</v>
      </c>
      <c r="H310">
        <v>3</v>
      </c>
      <c r="I310">
        <v>12</v>
      </c>
      <c r="J310" t="s">
        <v>23</v>
      </c>
      <c r="K310" t="s">
        <v>14</v>
      </c>
      <c r="L310">
        <v>36</v>
      </c>
    </row>
    <row r="311" spans="1:12" x14ac:dyDescent="0.3">
      <c r="A311">
        <v>290</v>
      </c>
      <c r="B311" t="s">
        <v>19</v>
      </c>
      <c r="C311" s="1">
        <v>45900</v>
      </c>
      <c r="D311" s="1" t="str">
        <f xml:space="preserve"> TEXT(FilmaxData[[#This Row],[Show_Date]],"MMM")</f>
        <v>Aug</v>
      </c>
      <c r="E311" s="1" t="str">
        <f xml:space="preserve"> TEXT(FilmaxData[[#This Row],[Show_Date]],"DDD")</f>
        <v>Sun</v>
      </c>
      <c r="F311" t="s">
        <v>11</v>
      </c>
      <c r="G311" t="s">
        <v>17</v>
      </c>
      <c r="H311">
        <v>4</v>
      </c>
      <c r="I311">
        <v>12</v>
      </c>
      <c r="J311" t="s">
        <v>21</v>
      </c>
      <c r="K311" t="s">
        <v>27</v>
      </c>
      <c r="L311">
        <v>48</v>
      </c>
    </row>
    <row r="312" spans="1:12" x14ac:dyDescent="0.3">
      <c r="A312">
        <v>340</v>
      </c>
      <c r="B312" t="s">
        <v>31</v>
      </c>
      <c r="C312" s="1">
        <v>45851</v>
      </c>
      <c r="D312" s="1" t="str">
        <f xml:space="preserve"> TEXT(FilmaxData[[#This Row],[Show_Date]],"MMM")</f>
        <v>Jul</v>
      </c>
      <c r="E312" s="1" t="str">
        <f xml:space="preserve"> TEXT(FilmaxData[[#This Row],[Show_Date]],"DDD")</f>
        <v>Sun</v>
      </c>
      <c r="F312" t="s">
        <v>11</v>
      </c>
      <c r="G312" t="s">
        <v>17</v>
      </c>
      <c r="H312">
        <v>1</v>
      </c>
      <c r="I312">
        <v>12</v>
      </c>
      <c r="J312" t="s">
        <v>13</v>
      </c>
      <c r="K312" t="s">
        <v>14</v>
      </c>
      <c r="L312">
        <v>12</v>
      </c>
    </row>
    <row r="313" spans="1:12" x14ac:dyDescent="0.3">
      <c r="A313">
        <v>1719</v>
      </c>
      <c r="B313" t="s">
        <v>26</v>
      </c>
      <c r="C313" s="1">
        <v>45892</v>
      </c>
      <c r="D313" s="1" t="str">
        <f xml:space="preserve"> TEXT(FilmaxData[[#This Row],[Show_Date]],"MMM")</f>
        <v>Aug</v>
      </c>
      <c r="E313" s="1" t="str">
        <f xml:space="preserve"> TEXT(FilmaxData[[#This Row],[Show_Date]],"DDD")</f>
        <v>Sat</v>
      </c>
      <c r="F313" t="s">
        <v>11</v>
      </c>
      <c r="G313" t="s">
        <v>17</v>
      </c>
      <c r="H313">
        <v>3</v>
      </c>
      <c r="I313">
        <v>12</v>
      </c>
      <c r="J313" t="s">
        <v>23</v>
      </c>
      <c r="K313" t="s">
        <v>25</v>
      </c>
      <c r="L313">
        <v>36</v>
      </c>
    </row>
    <row r="314" spans="1:12" x14ac:dyDescent="0.3">
      <c r="A314">
        <v>799</v>
      </c>
      <c r="B314" t="s">
        <v>24</v>
      </c>
      <c r="C314" s="1">
        <v>45900</v>
      </c>
      <c r="D314" s="1" t="str">
        <f xml:space="preserve"> TEXT(FilmaxData[[#This Row],[Show_Date]],"MMM")</f>
        <v>Aug</v>
      </c>
      <c r="E314" s="1" t="str">
        <f xml:space="preserve"> TEXT(FilmaxData[[#This Row],[Show_Date]],"DDD")</f>
        <v>Sun</v>
      </c>
      <c r="F314" t="s">
        <v>11</v>
      </c>
      <c r="G314" t="s">
        <v>29</v>
      </c>
      <c r="H314">
        <v>3</v>
      </c>
      <c r="I314">
        <v>30</v>
      </c>
      <c r="J314" t="s">
        <v>13</v>
      </c>
      <c r="K314" t="s">
        <v>27</v>
      </c>
      <c r="L314">
        <v>90</v>
      </c>
    </row>
    <row r="315" spans="1:12" x14ac:dyDescent="0.3">
      <c r="A315">
        <v>825</v>
      </c>
      <c r="B315" t="s">
        <v>19</v>
      </c>
      <c r="C315" s="1">
        <v>45900</v>
      </c>
      <c r="D315" s="1" t="str">
        <f xml:space="preserve"> TEXT(FilmaxData[[#This Row],[Show_Date]],"MMM")</f>
        <v>Aug</v>
      </c>
      <c r="E315" s="1" t="str">
        <f xml:space="preserve"> TEXT(FilmaxData[[#This Row],[Show_Date]],"DDD")</f>
        <v>Sun</v>
      </c>
      <c r="F315" t="s">
        <v>11</v>
      </c>
      <c r="G315" t="s">
        <v>17</v>
      </c>
      <c r="H315">
        <v>5</v>
      </c>
      <c r="I315">
        <v>12</v>
      </c>
      <c r="J315" t="s">
        <v>13</v>
      </c>
      <c r="K315" t="s">
        <v>18</v>
      </c>
      <c r="L315">
        <v>60</v>
      </c>
    </row>
    <row r="316" spans="1:12" x14ac:dyDescent="0.3">
      <c r="A316">
        <v>1188</v>
      </c>
      <c r="B316" t="s">
        <v>24</v>
      </c>
      <c r="C316" s="1">
        <v>45912</v>
      </c>
      <c r="D316" s="1" t="str">
        <f xml:space="preserve"> TEXT(FilmaxData[[#This Row],[Show_Date]],"MMM")</f>
        <v>Sep</v>
      </c>
      <c r="E316" s="1" t="str">
        <f xml:space="preserve"> TEXT(FilmaxData[[#This Row],[Show_Date]],"DDD")</f>
        <v>Fri</v>
      </c>
      <c r="F316" t="s">
        <v>11</v>
      </c>
      <c r="G316" t="s">
        <v>17</v>
      </c>
      <c r="H316">
        <v>5</v>
      </c>
      <c r="I316">
        <v>12</v>
      </c>
      <c r="J316" t="s">
        <v>21</v>
      </c>
      <c r="K316" t="s">
        <v>27</v>
      </c>
      <c r="L316">
        <v>60</v>
      </c>
    </row>
    <row r="317" spans="1:12" x14ac:dyDescent="0.3">
      <c r="A317">
        <v>690</v>
      </c>
      <c r="B317" t="s">
        <v>26</v>
      </c>
      <c r="C317" s="1">
        <v>45908</v>
      </c>
      <c r="D317" s="1" t="str">
        <f xml:space="preserve"> TEXT(FilmaxData[[#This Row],[Show_Date]],"MMM")</f>
        <v>Sep</v>
      </c>
      <c r="E317" s="1" t="str">
        <f xml:space="preserve"> TEXT(FilmaxData[[#This Row],[Show_Date]],"DDD")</f>
        <v>Mon</v>
      </c>
      <c r="F317" t="s">
        <v>11</v>
      </c>
      <c r="G317" t="s">
        <v>17</v>
      </c>
      <c r="H317">
        <v>4</v>
      </c>
      <c r="I317">
        <v>12</v>
      </c>
      <c r="J317" t="s">
        <v>13</v>
      </c>
      <c r="K317" t="s">
        <v>14</v>
      </c>
      <c r="L317">
        <v>48</v>
      </c>
    </row>
    <row r="318" spans="1:12" x14ac:dyDescent="0.3">
      <c r="A318">
        <v>1953</v>
      </c>
      <c r="B318" t="s">
        <v>32</v>
      </c>
      <c r="C318" s="1">
        <v>45877</v>
      </c>
      <c r="D318" s="1" t="str">
        <f xml:space="preserve"> TEXT(FilmaxData[[#This Row],[Show_Date]],"MMM")</f>
        <v>Aug</v>
      </c>
      <c r="E318" s="1" t="str">
        <f xml:space="preserve"> TEXT(FilmaxData[[#This Row],[Show_Date]],"DDD")</f>
        <v>Fri</v>
      </c>
      <c r="F318" t="s">
        <v>11</v>
      </c>
      <c r="G318" t="s">
        <v>29</v>
      </c>
      <c r="H318">
        <v>3</v>
      </c>
      <c r="I318">
        <v>30</v>
      </c>
      <c r="J318" t="s">
        <v>13</v>
      </c>
      <c r="K318" t="s">
        <v>18</v>
      </c>
      <c r="L318">
        <v>90</v>
      </c>
    </row>
    <row r="319" spans="1:12" x14ac:dyDescent="0.3">
      <c r="A319">
        <v>192</v>
      </c>
      <c r="B319" t="s">
        <v>32</v>
      </c>
      <c r="C319" s="1">
        <v>45864</v>
      </c>
      <c r="D319" s="1" t="str">
        <f xml:space="preserve"> TEXT(FilmaxData[[#This Row],[Show_Date]],"MMM")</f>
        <v>Jul</v>
      </c>
      <c r="E319" s="1" t="str">
        <f xml:space="preserve"> TEXT(FilmaxData[[#This Row],[Show_Date]],"DDD")</f>
        <v>Sat</v>
      </c>
      <c r="F319" t="s">
        <v>11</v>
      </c>
      <c r="G319" t="s">
        <v>29</v>
      </c>
      <c r="H319">
        <v>5</v>
      </c>
      <c r="I319">
        <v>30</v>
      </c>
      <c r="J319" t="s">
        <v>23</v>
      </c>
      <c r="K319" t="s">
        <v>25</v>
      </c>
      <c r="L319">
        <v>150</v>
      </c>
    </row>
    <row r="320" spans="1:12" x14ac:dyDescent="0.3">
      <c r="A320">
        <v>53</v>
      </c>
      <c r="B320" t="s">
        <v>32</v>
      </c>
      <c r="C320" s="1">
        <v>45899</v>
      </c>
      <c r="D320" s="1" t="str">
        <f xml:space="preserve"> TEXT(FilmaxData[[#This Row],[Show_Date]],"MMM")</f>
        <v>Aug</v>
      </c>
      <c r="E320" s="1" t="str">
        <f xml:space="preserve"> TEXT(FilmaxData[[#This Row],[Show_Date]],"DDD")</f>
        <v>Sat</v>
      </c>
      <c r="F320" t="s">
        <v>11</v>
      </c>
      <c r="G320" t="s">
        <v>17</v>
      </c>
      <c r="H320">
        <v>5</v>
      </c>
      <c r="I320">
        <v>12</v>
      </c>
      <c r="J320" t="s">
        <v>21</v>
      </c>
      <c r="K320" t="s">
        <v>25</v>
      </c>
      <c r="L320">
        <v>60</v>
      </c>
    </row>
    <row r="321" spans="1:12" x14ac:dyDescent="0.3">
      <c r="A321">
        <v>295</v>
      </c>
      <c r="B321" t="s">
        <v>26</v>
      </c>
      <c r="C321" s="1">
        <v>45907</v>
      </c>
      <c r="D321" s="1" t="str">
        <f xml:space="preserve"> TEXT(FilmaxData[[#This Row],[Show_Date]],"MMM")</f>
        <v>Sep</v>
      </c>
      <c r="E321" s="1" t="str">
        <f xml:space="preserve"> TEXT(FilmaxData[[#This Row],[Show_Date]],"DDD")</f>
        <v>Sun</v>
      </c>
      <c r="F321" t="s">
        <v>11</v>
      </c>
      <c r="G321" t="s">
        <v>17</v>
      </c>
      <c r="H321">
        <v>3</v>
      </c>
      <c r="I321">
        <v>12</v>
      </c>
      <c r="J321" t="s">
        <v>21</v>
      </c>
      <c r="K321" t="s">
        <v>25</v>
      </c>
      <c r="L321">
        <v>36</v>
      </c>
    </row>
    <row r="322" spans="1:12" x14ac:dyDescent="0.3">
      <c r="A322">
        <v>1267</v>
      </c>
      <c r="B322" t="s">
        <v>28</v>
      </c>
      <c r="C322" s="1">
        <v>45876</v>
      </c>
      <c r="D322" s="1" t="str">
        <f xml:space="preserve"> TEXT(FilmaxData[[#This Row],[Show_Date]],"MMM")</f>
        <v>Aug</v>
      </c>
      <c r="E322" s="1" t="str">
        <f xml:space="preserve"> TEXT(FilmaxData[[#This Row],[Show_Date]],"DDD")</f>
        <v>Thu</v>
      </c>
      <c r="F322" t="s">
        <v>11</v>
      </c>
      <c r="G322" t="s">
        <v>17</v>
      </c>
      <c r="H322">
        <v>1</v>
      </c>
      <c r="I322">
        <v>12</v>
      </c>
      <c r="J322" t="s">
        <v>21</v>
      </c>
      <c r="K322" t="s">
        <v>14</v>
      </c>
      <c r="L322">
        <v>12</v>
      </c>
    </row>
    <row r="323" spans="1:12" x14ac:dyDescent="0.3">
      <c r="A323">
        <v>377</v>
      </c>
      <c r="B323" t="s">
        <v>31</v>
      </c>
      <c r="C323" s="1">
        <v>45899</v>
      </c>
      <c r="D323" s="1" t="str">
        <f xml:space="preserve"> TEXT(FilmaxData[[#This Row],[Show_Date]],"MMM")</f>
        <v>Aug</v>
      </c>
      <c r="E323" s="1" t="str">
        <f xml:space="preserve"> TEXT(FilmaxData[[#This Row],[Show_Date]],"DDD")</f>
        <v>Sat</v>
      </c>
      <c r="F323" t="s">
        <v>11</v>
      </c>
      <c r="G323" t="s">
        <v>17</v>
      </c>
      <c r="H323">
        <v>2</v>
      </c>
      <c r="I323">
        <v>12</v>
      </c>
      <c r="J323" t="s">
        <v>13</v>
      </c>
      <c r="K323" t="s">
        <v>25</v>
      </c>
      <c r="L323">
        <v>24</v>
      </c>
    </row>
    <row r="324" spans="1:12" x14ac:dyDescent="0.3">
      <c r="A324">
        <v>588</v>
      </c>
      <c r="B324" t="s">
        <v>32</v>
      </c>
      <c r="C324" s="1">
        <v>45927</v>
      </c>
      <c r="D324" s="1" t="str">
        <f xml:space="preserve"> TEXT(FilmaxData[[#This Row],[Show_Date]],"MMM")</f>
        <v>Sep</v>
      </c>
      <c r="E324" s="1" t="str">
        <f xml:space="preserve"> TEXT(FilmaxData[[#This Row],[Show_Date]],"DDD")</f>
        <v>Sat</v>
      </c>
      <c r="F324" t="s">
        <v>11</v>
      </c>
      <c r="G324" t="s">
        <v>30</v>
      </c>
      <c r="H324">
        <v>5</v>
      </c>
      <c r="I324">
        <v>8</v>
      </c>
      <c r="J324" t="s">
        <v>21</v>
      </c>
      <c r="K324" t="s">
        <v>18</v>
      </c>
      <c r="L324">
        <v>40</v>
      </c>
    </row>
    <row r="325" spans="1:12" x14ac:dyDescent="0.3">
      <c r="A325">
        <v>1907</v>
      </c>
      <c r="B325" t="s">
        <v>15</v>
      </c>
      <c r="C325" s="1">
        <v>45914</v>
      </c>
      <c r="D325" s="1" t="str">
        <f xml:space="preserve"> TEXT(FilmaxData[[#This Row],[Show_Date]],"MMM")</f>
        <v>Sep</v>
      </c>
      <c r="E325" s="1" t="str">
        <f xml:space="preserve"> TEXT(FilmaxData[[#This Row],[Show_Date]],"DDD")</f>
        <v>Sun</v>
      </c>
      <c r="F325" t="s">
        <v>11</v>
      </c>
      <c r="G325" t="s">
        <v>12</v>
      </c>
      <c r="H325">
        <v>1</v>
      </c>
      <c r="I325">
        <v>25</v>
      </c>
      <c r="J325" t="s">
        <v>13</v>
      </c>
      <c r="K325" t="s">
        <v>25</v>
      </c>
      <c r="L325">
        <v>25</v>
      </c>
    </row>
    <row r="326" spans="1:12" x14ac:dyDescent="0.3">
      <c r="A326">
        <v>1744</v>
      </c>
      <c r="B326" t="s">
        <v>32</v>
      </c>
      <c r="C326" s="1">
        <v>45841</v>
      </c>
      <c r="D326" s="1" t="str">
        <f xml:space="preserve"> TEXT(FilmaxData[[#This Row],[Show_Date]],"MMM")</f>
        <v>Jul</v>
      </c>
      <c r="E326" s="1" t="str">
        <f xml:space="preserve"> TEXT(FilmaxData[[#This Row],[Show_Date]],"DDD")</f>
        <v>Thu</v>
      </c>
      <c r="F326" t="s">
        <v>11</v>
      </c>
      <c r="G326" t="s">
        <v>17</v>
      </c>
      <c r="H326">
        <v>4</v>
      </c>
      <c r="I326">
        <v>12</v>
      </c>
      <c r="J326" t="s">
        <v>23</v>
      </c>
      <c r="K326" t="s">
        <v>25</v>
      </c>
      <c r="L326">
        <v>48</v>
      </c>
    </row>
    <row r="327" spans="1:12" x14ac:dyDescent="0.3">
      <c r="A327">
        <v>1823</v>
      </c>
      <c r="B327" t="s">
        <v>31</v>
      </c>
      <c r="C327" s="1">
        <v>45901</v>
      </c>
      <c r="D327" s="1" t="str">
        <f xml:space="preserve"> TEXT(FilmaxData[[#This Row],[Show_Date]],"MMM")</f>
        <v>Sep</v>
      </c>
      <c r="E327" s="1" t="str">
        <f xml:space="preserve"> TEXT(FilmaxData[[#This Row],[Show_Date]],"DDD")</f>
        <v>Mon</v>
      </c>
      <c r="F327" t="s">
        <v>11</v>
      </c>
      <c r="G327" t="s">
        <v>22</v>
      </c>
      <c r="H327">
        <v>2</v>
      </c>
      <c r="I327">
        <v>20</v>
      </c>
      <c r="J327" t="s">
        <v>23</v>
      </c>
      <c r="K327" t="s">
        <v>18</v>
      </c>
      <c r="L327">
        <v>40</v>
      </c>
    </row>
    <row r="328" spans="1:12" x14ac:dyDescent="0.3">
      <c r="A328">
        <v>143</v>
      </c>
      <c r="B328" t="s">
        <v>31</v>
      </c>
      <c r="C328" s="1">
        <v>45865</v>
      </c>
      <c r="D328" s="1" t="str">
        <f xml:space="preserve"> TEXT(FilmaxData[[#This Row],[Show_Date]],"MMM")</f>
        <v>Jul</v>
      </c>
      <c r="E328" s="1" t="str">
        <f xml:space="preserve"> TEXT(FilmaxData[[#This Row],[Show_Date]],"DDD")</f>
        <v>Sun</v>
      </c>
      <c r="F328" t="s">
        <v>11</v>
      </c>
      <c r="G328" t="s">
        <v>30</v>
      </c>
      <c r="H328">
        <v>2</v>
      </c>
      <c r="I328">
        <v>8</v>
      </c>
      <c r="J328" t="s">
        <v>23</v>
      </c>
      <c r="K328" t="s">
        <v>18</v>
      </c>
      <c r="L328">
        <v>16</v>
      </c>
    </row>
    <row r="329" spans="1:12" x14ac:dyDescent="0.3">
      <c r="A329">
        <v>591</v>
      </c>
      <c r="B329" t="s">
        <v>24</v>
      </c>
      <c r="C329" s="1">
        <v>45905</v>
      </c>
      <c r="D329" s="1" t="str">
        <f xml:space="preserve"> TEXT(FilmaxData[[#This Row],[Show_Date]],"MMM")</f>
        <v>Sep</v>
      </c>
      <c r="E329" s="1" t="str">
        <f xml:space="preserve"> TEXT(FilmaxData[[#This Row],[Show_Date]],"DDD")</f>
        <v>Fri</v>
      </c>
      <c r="F329" t="s">
        <v>11</v>
      </c>
      <c r="G329" t="s">
        <v>22</v>
      </c>
      <c r="H329">
        <v>2</v>
      </c>
      <c r="I329">
        <v>20</v>
      </c>
      <c r="J329" t="s">
        <v>13</v>
      </c>
      <c r="K329" t="s">
        <v>25</v>
      </c>
      <c r="L329">
        <v>40</v>
      </c>
    </row>
    <row r="330" spans="1:12" x14ac:dyDescent="0.3">
      <c r="A330">
        <v>1442</v>
      </c>
      <c r="B330" t="s">
        <v>26</v>
      </c>
      <c r="C330" s="1">
        <v>45880</v>
      </c>
      <c r="D330" s="1" t="str">
        <f xml:space="preserve"> TEXT(FilmaxData[[#This Row],[Show_Date]],"MMM")</f>
        <v>Aug</v>
      </c>
      <c r="E330" s="1" t="str">
        <f xml:space="preserve"> TEXT(FilmaxData[[#This Row],[Show_Date]],"DDD")</f>
        <v>Mon</v>
      </c>
      <c r="F330" t="s">
        <v>11</v>
      </c>
      <c r="G330" t="s">
        <v>12</v>
      </c>
      <c r="H330">
        <v>2</v>
      </c>
      <c r="I330">
        <v>25</v>
      </c>
      <c r="J330" t="s">
        <v>23</v>
      </c>
      <c r="K330" t="s">
        <v>27</v>
      </c>
      <c r="L330">
        <v>50</v>
      </c>
    </row>
    <row r="331" spans="1:12" x14ac:dyDescent="0.3">
      <c r="A331">
        <v>633</v>
      </c>
      <c r="B331" t="s">
        <v>15</v>
      </c>
      <c r="C331" s="1">
        <v>45922</v>
      </c>
      <c r="D331" s="1" t="str">
        <f xml:space="preserve"> TEXT(FilmaxData[[#This Row],[Show_Date]],"MMM")</f>
        <v>Sep</v>
      </c>
      <c r="E331" s="1" t="str">
        <f xml:space="preserve"> TEXT(FilmaxData[[#This Row],[Show_Date]],"DDD")</f>
        <v>Mon</v>
      </c>
      <c r="F331" t="s">
        <v>11</v>
      </c>
      <c r="G331" t="s">
        <v>17</v>
      </c>
      <c r="H331">
        <v>1</v>
      </c>
      <c r="I331">
        <v>12</v>
      </c>
      <c r="J331" t="s">
        <v>21</v>
      </c>
      <c r="K331" t="s">
        <v>14</v>
      </c>
      <c r="L331">
        <v>12</v>
      </c>
    </row>
    <row r="332" spans="1:12" x14ac:dyDescent="0.3">
      <c r="A332">
        <v>1365</v>
      </c>
      <c r="B332" t="s">
        <v>19</v>
      </c>
      <c r="C332" s="1">
        <v>45853</v>
      </c>
      <c r="D332" s="1" t="str">
        <f xml:space="preserve"> TEXT(FilmaxData[[#This Row],[Show_Date]],"MMM")</f>
        <v>Jul</v>
      </c>
      <c r="E332" s="1" t="str">
        <f xml:space="preserve"> TEXT(FilmaxData[[#This Row],[Show_Date]],"DDD")</f>
        <v>Tue</v>
      </c>
      <c r="F332" t="s">
        <v>11</v>
      </c>
      <c r="G332" t="s">
        <v>29</v>
      </c>
      <c r="H332">
        <v>5</v>
      </c>
      <c r="I332">
        <v>30</v>
      </c>
      <c r="J332" t="s">
        <v>23</v>
      </c>
      <c r="K332" t="s">
        <v>14</v>
      </c>
      <c r="L332">
        <v>150</v>
      </c>
    </row>
    <row r="333" spans="1:12" x14ac:dyDescent="0.3">
      <c r="A333">
        <v>1980</v>
      </c>
      <c r="B333" t="s">
        <v>26</v>
      </c>
      <c r="C333" s="1">
        <v>45921</v>
      </c>
      <c r="D333" s="1" t="str">
        <f xml:space="preserve"> TEXT(FilmaxData[[#This Row],[Show_Date]],"MMM")</f>
        <v>Sep</v>
      </c>
      <c r="E333" s="1" t="str">
        <f xml:space="preserve"> TEXT(FilmaxData[[#This Row],[Show_Date]],"DDD")</f>
        <v>Sun</v>
      </c>
      <c r="F333" t="s">
        <v>11</v>
      </c>
      <c r="G333" t="s">
        <v>17</v>
      </c>
      <c r="H333">
        <v>1</v>
      </c>
      <c r="I333">
        <v>12</v>
      </c>
      <c r="J333" t="s">
        <v>23</v>
      </c>
      <c r="K333" t="s">
        <v>27</v>
      </c>
      <c r="L333">
        <v>12</v>
      </c>
    </row>
    <row r="334" spans="1:12" x14ac:dyDescent="0.3">
      <c r="A334">
        <v>1274</v>
      </c>
      <c r="B334" t="s">
        <v>32</v>
      </c>
      <c r="C334" s="1">
        <v>45879</v>
      </c>
      <c r="D334" s="1" t="str">
        <f xml:space="preserve"> TEXT(FilmaxData[[#This Row],[Show_Date]],"MMM")</f>
        <v>Aug</v>
      </c>
      <c r="E334" s="1" t="str">
        <f xml:space="preserve"> TEXT(FilmaxData[[#This Row],[Show_Date]],"DDD")</f>
        <v>Sun</v>
      </c>
      <c r="F334" t="s">
        <v>11</v>
      </c>
      <c r="G334" t="s">
        <v>12</v>
      </c>
      <c r="H334">
        <v>4</v>
      </c>
      <c r="I334">
        <v>25</v>
      </c>
      <c r="J334" t="s">
        <v>23</v>
      </c>
      <c r="K334" t="s">
        <v>18</v>
      </c>
      <c r="L334">
        <v>100</v>
      </c>
    </row>
    <row r="335" spans="1:12" x14ac:dyDescent="0.3">
      <c r="A335">
        <v>1072</v>
      </c>
      <c r="B335" t="s">
        <v>26</v>
      </c>
      <c r="C335" s="1">
        <v>45864</v>
      </c>
      <c r="D335" s="1" t="str">
        <f xml:space="preserve"> TEXT(FilmaxData[[#This Row],[Show_Date]],"MMM")</f>
        <v>Jul</v>
      </c>
      <c r="E335" s="1" t="str">
        <f xml:space="preserve"> TEXT(FilmaxData[[#This Row],[Show_Date]],"DDD")</f>
        <v>Sat</v>
      </c>
      <c r="F335" t="s">
        <v>11</v>
      </c>
      <c r="G335" t="s">
        <v>12</v>
      </c>
      <c r="H335">
        <v>4</v>
      </c>
      <c r="I335">
        <v>25</v>
      </c>
      <c r="J335" t="s">
        <v>23</v>
      </c>
      <c r="K335" t="s">
        <v>27</v>
      </c>
      <c r="L335">
        <v>100</v>
      </c>
    </row>
    <row r="336" spans="1:12" x14ac:dyDescent="0.3">
      <c r="A336">
        <v>346</v>
      </c>
      <c r="B336" t="s">
        <v>28</v>
      </c>
      <c r="C336" s="1">
        <v>45921</v>
      </c>
      <c r="D336" s="1" t="str">
        <f xml:space="preserve"> TEXT(FilmaxData[[#This Row],[Show_Date]],"MMM")</f>
        <v>Sep</v>
      </c>
      <c r="E336" s="1" t="str">
        <f xml:space="preserve"> TEXT(FilmaxData[[#This Row],[Show_Date]],"DDD")</f>
        <v>Sun</v>
      </c>
      <c r="F336" t="s">
        <v>11</v>
      </c>
      <c r="G336" t="s">
        <v>30</v>
      </c>
      <c r="H336">
        <v>1</v>
      </c>
      <c r="I336">
        <v>8</v>
      </c>
      <c r="J336" t="s">
        <v>21</v>
      </c>
      <c r="K336" t="s">
        <v>14</v>
      </c>
      <c r="L336">
        <v>8</v>
      </c>
    </row>
    <row r="337" spans="1:12" x14ac:dyDescent="0.3">
      <c r="A337">
        <v>832</v>
      </c>
      <c r="B337" t="s">
        <v>15</v>
      </c>
      <c r="C337" s="1">
        <v>45914</v>
      </c>
      <c r="D337" s="1" t="str">
        <f xml:space="preserve"> TEXT(FilmaxData[[#This Row],[Show_Date]],"MMM")</f>
        <v>Sep</v>
      </c>
      <c r="E337" s="1" t="str">
        <f xml:space="preserve"> TEXT(FilmaxData[[#This Row],[Show_Date]],"DDD")</f>
        <v>Sun</v>
      </c>
      <c r="F337" t="s">
        <v>11</v>
      </c>
      <c r="G337" t="s">
        <v>30</v>
      </c>
      <c r="H337">
        <v>1</v>
      </c>
      <c r="I337">
        <v>8</v>
      </c>
      <c r="J337" t="s">
        <v>13</v>
      </c>
      <c r="K337" t="s">
        <v>14</v>
      </c>
      <c r="L337">
        <v>8</v>
      </c>
    </row>
    <row r="338" spans="1:12" x14ac:dyDescent="0.3">
      <c r="A338">
        <v>338</v>
      </c>
      <c r="B338" t="s">
        <v>32</v>
      </c>
      <c r="C338" s="1">
        <v>45886</v>
      </c>
      <c r="D338" s="1" t="str">
        <f xml:space="preserve"> TEXT(FilmaxData[[#This Row],[Show_Date]],"MMM")</f>
        <v>Aug</v>
      </c>
      <c r="E338" s="1" t="str">
        <f xml:space="preserve"> TEXT(FilmaxData[[#This Row],[Show_Date]],"DDD")</f>
        <v>Sun</v>
      </c>
      <c r="F338" t="s">
        <v>11</v>
      </c>
      <c r="G338" t="s">
        <v>17</v>
      </c>
      <c r="H338">
        <v>1</v>
      </c>
      <c r="I338">
        <v>12</v>
      </c>
      <c r="J338" t="s">
        <v>23</v>
      </c>
      <c r="K338" t="s">
        <v>18</v>
      </c>
      <c r="L338">
        <v>12</v>
      </c>
    </row>
    <row r="339" spans="1:12" x14ac:dyDescent="0.3">
      <c r="A339">
        <v>361</v>
      </c>
      <c r="B339" t="s">
        <v>31</v>
      </c>
      <c r="C339" s="1">
        <v>45843</v>
      </c>
      <c r="D339" s="1" t="str">
        <f xml:space="preserve"> TEXT(FilmaxData[[#This Row],[Show_Date]],"MMM")</f>
        <v>Jul</v>
      </c>
      <c r="E339" s="1" t="str">
        <f xml:space="preserve"> TEXT(FilmaxData[[#This Row],[Show_Date]],"DDD")</f>
        <v>Sat</v>
      </c>
      <c r="F339" t="s">
        <v>11</v>
      </c>
      <c r="G339" t="s">
        <v>17</v>
      </c>
      <c r="H339">
        <v>2</v>
      </c>
      <c r="I339">
        <v>12</v>
      </c>
      <c r="J339" t="s">
        <v>21</v>
      </c>
      <c r="K339" t="s">
        <v>14</v>
      </c>
      <c r="L339">
        <v>24</v>
      </c>
    </row>
    <row r="340" spans="1:12" x14ac:dyDescent="0.3">
      <c r="A340">
        <v>1025</v>
      </c>
      <c r="B340" t="s">
        <v>19</v>
      </c>
      <c r="C340" s="1">
        <v>45909</v>
      </c>
      <c r="D340" s="1" t="str">
        <f xml:space="preserve"> TEXT(FilmaxData[[#This Row],[Show_Date]],"MMM")</f>
        <v>Sep</v>
      </c>
      <c r="E340" s="1" t="str">
        <f xml:space="preserve"> TEXT(FilmaxData[[#This Row],[Show_Date]],"DDD")</f>
        <v>Tue</v>
      </c>
      <c r="F340" t="s">
        <v>11</v>
      </c>
      <c r="G340" t="s">
        <v>17</v>
      </c>
      <c r="H340">
        <v>2</v>
      </c>
      <c r="I340">
        <v>12</v>
      </c>
      <c r="J340" t="s">
        <v>13</v>
      </c>
      <c r="K340" t="s">
        <v>14</v>
      </c>
      <c r="L340">
        <v>24</v>
      </c>
    </row>
    <row r="341" spans="1:12" x14ac:dyDescent="0.3">
      <c r="A341">
        <v>358</v>
      </c>
      <c r="B341" t="s">
        <v>19</v>
      </c>
      <c r="C341" s="1">
        <v>45888</v>
      </c>
      <c r="D341" s="1" t="str">
        <f xml:space="preserve"> TEXT(FilmaxData[[#This Row],[Show_Date]],"MMM")</f>
        <v>Aug</v>
      </c>
      <c r="E341" s="1" t="str">
        <f xml:space="preserve"> TEXT(FilmaxData[[#This Row],[Show_Date]],"DDD")</f>
        <v>Tue</v>
      </c>
      <c r="F341" t="s">
        <v>11</v>
      </c>
      <c r="G341" t="s">
        <v>17</v>
      </c>
      <c r="H341">
        <v>1</v>
      </c>
      <c r="I341">
        <v>12</v>
      </c>
      <c r="J341" t="s">
        <v>13</v>
      </c>
      <c r="K341" t="s">
        <v>27</v>
      </c>
      <c r="L341">
        <v>12</v>
      </c>
    </row>
    <row r="342" spans="1:12" x14ac:dyDescent="0.3">
      <c r="A342">
        <v>1617</v>
      </c>
      <c r="B342" t="s">
        <v>28</v>
      </c>
      <c r="C342" s="1">
        <v>45842</v>
      </c>
      <c r="D342" s="1" t="str">
        <f xml:space="preserve"> TEXT(FilmaxData[[#This Row],[Show_Date]],"MMM")</f>
        <v>Jul</v>
      </c>
      <c r="E342" s="1" t="str">
        <f xml:space="preserve"> TEXT(FilmaxData[[#This Row],[Show_Date]],"DDD")</f>
        <v>Fri</v>
      </c>
      <c r="F342" t="s">
        <v>11</v>
      </c>
      <c r="G342" t="s">
        <v>12</v>
      </c>
      <c r="H342">
        <v>1</v>
      </c>
      <c r="I342">
        <v>25</v>
      </c>
      <c r="J342" t="s">
        <v>13</v>
      </c>
      <c r="K342" t="s">
        <v>18</v>
      </c>
      <c r="L342">
        <v>25</v>
      </c>
    </row>
    <row r="343" spans="1:12" x14ac:dyDescent="0.3">
      <c r="A343">
        <v>1830</v>
      </c>
      <c r="B343" t="s">
        <v>24</v>
      </c>
      <c r="C343" s="1">
        <v>45866</v>
      </c>
      <c r="D343" s="1" t="str">
        <f xml:space="preserve"> TEXT(FilmaxData[[#This Row],[Show_Date]],"MMM")</f>
        <v>Jul</v>
      </c>
      <c r="E343" s="1" t="str">
        <f xml:space="preserve"> TEXT(FilmaxData[[#This Row],[Show_Date]],"DDD")</f>
        <v>Mon</v>
      </c>
      <c r="F343" t="s">
        <v>11</v>
      </c>
      <c r="G343" t="s">
        <v>17</v>
      </c>
      <c r="H343">
        <v>3</v>
      </c>
      <c r="I343">
        <v>12</v>
      </c>
      <c r="J343" t="s">
        <v>13</v>
      </c>
      <c r="K343" t="s">
        <v>27</v>
      </c>
      <c r="L343">
        <v>36</v>
      </c>
    </row>
    <row r="344" spans="1:12" x14ac:dyDescent="0.3">
      <c r="A344">
        <v>1064</v>
      </c>
      <c r="B344" t="s">
        <v>15</v>
      </c>
      <c r="C344" s="1">
        <v>45906</v>
      </c>
      <c r="D344" s="1" t="str">
        <f xml:space="preserve"> TEXT(FilmaxData[[#This Row],[Show_Date]],"MMM")</f>
        <v>Sep</v>
      </c>
      <c r="E344" s="1" t="str">
        <f xml:space="preserve"> TEXT(FilmaxData[[#This Row],[Show_Date]],"DDD")</f>
        <v>Sat</v>
      </c>
      <c r="F344" t="s">
        <v>11</v>
      </c>
      <c r="G344" t="s">
        <v>12</v>
      </c>
      <c r="H344">
        <v>1</v>
      </c>
      <c r="I344">
        <v>25</v>
      </c>
      <c r="J344" t="s">
        <v>21</v>
      </c>
      <c r="K344" t="s">
        <v>14</v>
      </c>
      <c r="L344">
        <v>25</v>
      </c>
    </row>
    <row r="345" spans="1:12" x14ac:dyDescent="0.3">
      <c r="A345">
        <v>1755</v>
      </c>
      <c r="B345" t="s">
        <v>15</v>
      </c>
      <c r="C345" s="1">
        <v>45921</v>
      </c>
      <c r="D345" s="1" t="str">
        <f xml:space="preserve"> TEXT(FilmaxData[[#This Row],[Show_Date]],"MMM")</f>
        <v>Sep</v>
      </c>
      <c r="E345" s="1" t="str">
        <f xml:space="preserve"> TEXT(FilmaxData[[#This Row],[Show_Date]],"DDD")</f>
        <v>Sun</v>
      </c>
      <c r="F345" t="s">
        <v>11</v>
      </c>
      <c r="G345" t="s">
        <v>17</v>
      </c>
      <c r="H345">
        <v>3</v>
      </c>
      <c r="I345">
        <v>12</v>
      </c>
      <c r="J345" t="s">
        <v>13</v>
      </c>
      <c r="K345" t="s">
        <v>27</v>
      </c>
      <c r="L345">
        <v>36</v>
      </c>
    </row>
    <row r="346" spans="1:12" x14ac:dyDescent="0.3">
      <c r="A346">
        <v>888</v>
      </c>
      <c r="B346" t="s">
        <v>10</v>
      </c>
      <c r="C346" s="1">
        <v>45843</v>
      </c>
      <c r="D346" s="1" t="str">
        <f xml:space="preserve"> TEXT(FilmaxData[[#This Row],[Show_Date]],"MMM")</f>
        <v>Jul</v>
      </c>
      <c r="E346" s="1" t="str">
        <f xml:space="preserve"> TEXT(FilmaxData[[#This Row],[Show_Date]],"DDD")</f>
        <v>Sat</v>
      </c>
      <c r="F346" t="s">
        <v>11</v>
      </c>
      <c r="G346" t="s">
        <v>17</v>
      </c>
      <c r="H346">
        <v>5</v>
      </c>
      <c r="I346">
        <v>12</v>
      </c>
      <c r="J346" t="s">
        <v>23</v>
      </c>
      <c r="K346" t="s">
        <v>25</v>
      </c>
      <c r="L346">
        <v>60</v>
      </c>
    </row>
    <row r="347" spans="1:12" x14ac:dyDescent="0.3">
      <c r="A347">
        <v>1449</v>
      </c>
      <c r="B347" t="s">
        <v>10</v>
      </c>
      <c r="C347" s="1">
        <v>45874</v>
      </c>
      <c r="D347" s="1" t="str">
        <f xml:space="preserve"> TEXT(FilmaxData[[#This Row],[Show_Date]],"MMM")</f>
        <v>Aug</v>
      </c>
      <c r="E347" s="1" t="str">
        <f xml:space="preserve"> TEXT(FilmaxData[[#This Row],[Show_Date]],"DDD")</f>
        <v>Tue</v>
      </c>
      <c r="F347" t="s">
        <v>11</v>
      </c>
      <c r="G347" t="s">
        <v>12</v>
      </c>
      <c r="H347">
        <v>3</v>
      </c>
      <c r="I347">
        <v>25</v>
      </c>
      <c r="J347" t="s">
        <v>23</v>
      </c>
      <c r="K347" t="s">
        <v>25</v>
      </c>
      <c r="L347">
        <v>75</v>
      </c>
    </row>
    <row r="348" spans="1:12" x14ac:dyDescent="0.3">
      <c r="A348">
        <v>715</v>
      </c>
      <c r="B348" t="s">
        <v>19</v>
      </c>
      <c r="C348" s="1">
        <v>45888</v>
      </c>
      <c r="D348" s="1" t="str">
        <f xml:space="preserve"> TEXT(FilmaxData[[#This Row],[Show_Date]],"MMM")</f>
        <v>Aug</v>
      </c>
      <c r="E348" s="1" t="str">
        <f xml:space="preserve"> TEXT(FilmaxData[[#This Row],[Show_Date]],"DDD")</f>
        <v>Tue</v>
      </c>
      <c r="F348" t="s">
        <v>11</v>
      </c>
      <c r="G348" t="s">
        <v>17</v>
      </c>
      <c r="H348">
        <v>5</v>
      </c>
      <c r="I348">
        <v>12</v>
      </c>
      <c r="J348" t="s">
        <v>13</v>
      </c>
      <c r="K348" t="s">
        <v>18</v>
      </c>
      <c r="L348">
        <v>60</v>
      </c>
    </row>
    <row r="349" spans="1:12" x14ac:dyDescent="0.3">
      <c r="A349">
        <v>1585</v>
      </c>
      <c r="B349" t="s">
        <v>10</v>
      </c>
      <c r="C349" s="1">
        <v>45840</v>
      </c>
      <c r="D349" s="1" t="str">
        <f xml:space="preserve"> TEXT(FilmaxData[[#This Row],[Show_Date]],"MMM")</f>
        <v>Jul</v>
      </c>
      <c r="E349" s="1" t="str">
        <f xml:space="preserve"> TEXT(FilmaxData[[#This Row],[Show_Date]],"DDD")</f>
        <v>Wed</v>
      </c>
      <c r="F349" t="s">
        <v>33</v>
      </c>
      <c r="G349" t="s">
        <v>17</v>
      </c>
      <c r="H349">
        <v>4</v>
      </c>
      <c r="I349">
        <v>12</v>
      </c>
      <c r="J349" t="s">
        <v>13</v>
      </c>
      <c r="K349" t="s">
        <v>27</v>
      </c>
      <c r="L349">
        <v>48</v>
      </c>
    </row>
    <row r="350" spans="1:12" x14ac:dyDescent="0.3">
      <c r="A350">
        <v>1519</v>
      </c>
      <c r="B350" t="s">
        <v>31</v>
      </c>
      <c r="C350" s="1">
        <v>45906</v>
      </c>
      <c r="D350" s="1" t="str">
        <f xml:space="preserve"> TEXT(FilmaxData[[#This Row],[Show_Date]],"MMM")</f>
        <v>Sep</v>
      </c>
      <c r="E350" s="1" t="str">
        <f xml:space="preserve"> TEXT(FilmaxData[[#This Row],[Show_Date]],"DDD")</f>
        <v>Sat</v>
      </c>
      <c r="F350" t="s">
        <v>16</v>
      </c>
      <c r="G350" t="s">
        <v>17</v>
      </c>
      <c r="H350">
        <v>2</v>
      </c>
      <c r="I350">
        <v>12</v>
      </c>
      <c r="J350" t="s">
        <v>13</v>
      </c>
      <c r="K350" t="s">
        <v>18</v>
      </c>
      <c r="L350">
        <v>24</v>
      </c>
    </row>
    <row r="351" spans="1:12" x14ac:dyDescent="0.3">
      <c r="A351">
        <v>1960</v>
      </c>
      <c r="B351" t="s">
        <v>32</v>
      </c>
      <c r="C351" s="1">
        <v>45879</v>
      </c>
      <c r="D351" s="1" t="str">
        <f xml:space="preserve"> TEXT(FilmaxData[[#This Row],[Show_Date]],"MMM")</f>
        <v>Aug</v>
      </c>
      <c r="E351" s="1" t="str">
        <f xml:space="preserve"> TEXT(FilmaxData[[#This Row],[Show_Date]],"DDD")</f>
        <v>Sun</v>
      </c>
      <c r="F351" t="s">
        <v>16</v>
      </c>
      <c r="G351" t="s">
        <v>17</v>
      </c>
      <c r="H351">
        <v>3</v>
      </c>
      <c r="I351">
        <v>12</v>
      </c>
      <c r="J351" t="s">
        <v>23</v>
      </c>
      <c r="K351" t="s">
        <v>18</v>
      </c>
      <c r="L351">
        <v>36</v>
      </c>
    </row>
    <row r="352" spans="1:12" x14ac:dyDescent="0.3">
      <c r="A352">
        <v>1962</v>
      </c>
      <c r="B352" t="s">
        <v>24</v>
      </c>
      <c r="C352" s="1">
        <v>45872</v>
      </c>
      <c r="D352" s="1" t="str">
        <f xml:space="preserve"> TEXT(FilmaxData[[#This Row],[Show_Date]],"MMM")</f>
        <v>Aug</v>
      </c>
      <c r="E352" s="1" t="str">
        <f xml:space="preserve"> TEXT(FilmaxData[[#This Row],[Show_Date]],"DDD")</f>
        <v>Sun</v>
      </c>
      <c r="F352" t="s">
        <v>16</v>
      </c>
      <c r="G352" t="s">
        <v>17</v>
      </c>
      <c r="H352">
        <v>4</v>
      </c>
      <c r="I352">
        <v>12</v>
      </c>
      <c r="J352" t="s">
        <v>23</v>
      </c>
      <c r="K352" t="s">
        <v>27</v>
      </c>
      <c r="L352">
        <v>48</v>
      </c>
    </row>
    <row r="353" spans="1:12" x14ac:dyDescent="0.3">
      <c r="A353">
        <v>539</v>
      </c>
      <c r="B353" t="s">
        <v>15</v>
      </c>
      <c r="C353" s="1">
        <v>45915</v>
      </c>
      <c r="D353" s="1" t="str">
        <f xml:space="preserve"> TEXT(FilmaxData[[#This Row],[Show_Date]],"MMM")</f>
        <v>Sep</v>
      </c>
      <c r="E353" s="1" t="str">
        <f xml:space="preserve"> TEXT(FilmaxData[[#This Row],[Show_Date]],"DDD")</f>
        <v>Mon</v>
      </c>
      <c r="F353" t="s">
        <v>16</v>
      </c>
      <c r="G353" t="s">
        <v>30</v>
      </c>
      <c r="H353">
        <v>5</v>
      </c>
      <c r="I353">
        <v>8</v>
      </c>
      <c r="J353" t="s">
        <v>21</v>
      </c>
      <c r="K353" t="s">
        <v>27</v>
      </c>
      <c r="L353">
        <v>40</v>
      </c>
    </row>
    <row r="354" spans="1:12" x14ac:dyDescent="0.3">
      <c r="A354">
        <v>1640</v>
      </c>
      <c r="B354" t="s">
        <v>26</v>
      </c>
      <c r="C354" s="1">
        <v>45892</v>
      </c>
      <c r="D354" s="1" t="str">
        <f xml:space="preserve"> TEXT(FilmaxData[[#This Row],[Show_Date]],"MMM")</f>
        <v>Aug</v>
      </c>
      <c r="E354" s="1" t="str">
        <f xml:space="preserve"> TEXT(FilmaxData[[#This Row],[Show_Date]],"DDD")</f>
        <v>Sat</v>
      </c>
      <c r="F354" t="s">
        <v>11</v>
      </c>
      <c r="G354" t="s">
        <v>17</v>
      </c>
      <c r="H354">
        <v>1</v>
      </c>
      <c r="I354">
        <v>12</v>
      </c>
      <c r="J354" t="s">
        <v>23</v>
      </c>
      <c r="K354" t="s">
        <v>27</v>
      </c>
      <c r="L354">
        <v>12</v>
      </c>
    </row>
    <row r="355" spans="1:12" x14ac:dyDescent="0.3">
      <c r="A355">
        <v>1377</v>
      </c>
      <c r="B355" t="s">
        <v>31</v>
      </c>
      <c r="C355" s="1">
        <v>45865</v>
      </c>
      <c r="D355" s="1" t="str">
        <f xml:space="preserve"> TEXT(FilmaxData[[#This Row],[Show_Date]],"MMM")</f>
        <v>Jul</v>
      </c>
      <c r="E355" s="1" t="str">
        <f xml:space="preserve"> TEXT(FilmaxData[[#This Row],[Show_Date]],"DDD")</f>
        <v>Sun</v>
      </c>
      <c r="F355" t="s">
        <v>11</v>
      </c>
      <c r="G355" t="s">
        <v>30</v>
      </c>
      <c r="H355">
        <v>5</v>
      </c>
      <c r="I355">
        <v>8</v>
      </c>
      <c r="J355" t="s">
        <v>21</v>
      </c>
      <c r="K355" t="s">
        <v>14</v>
      </c>
      <c r="L355">
        <v>40</v>
      </c>
    </row>
    <row r="356" spans="1:12" x14ac:dyDescent="0.3">
      <c r="A356">
        <v>106</v>
      </c>
      <c r="B356" t="s">
        <v>26</v>
      </c>
      <c r="C356" s="1">
        <v>45893</v>
      </c>
      <c r="D356" s="1" t="str">
        <f xml:space="preserve"> TEXT(FilmaxData[[#This Row],[Show_Date]],"MMM")</f>
        <v>Aug</v>
      </c>
      <c r="E356" s="1" t="str">
        <f xml:space="preserve"> TEXT(FilmaxData[[#This Row],[Show_Date]],"DDD")</f>
        <v>Sun</v>
      </c>
      <c r="F356" t="s">
        <v>11</v>
      </c>
      <c r="G356" t="s">
        <v>17</v>
      </c>
      <c r="H356">
        <v>2</v>
      </c>
      <c r="I356">
        <v>12</v>
      </c>
      <c r="J356" t="s">
        <v>23</v>
      </c>
      <c r="K356" t="s">
        <v>25</v>
      </c>
      <c r="L356">
        <v>24</v>
      </c>
    </row>
    <row r="357" spans="1:12" x14ac:dyDescent="0.3">
      <c r="A357">
        <v>1255</v>
      </c>
      <c r="B357" t="s">
        <v>15</v>
      </c>
      <c r="C357" s="1">
        <v>45844</v>
      </c>
      <c r="D357" s="1" t="str">
        <f xml:space="preserve"> TEXT(FilmaxData[[#This Row],[Show_Date]],"MMM")</f>
        <v>Jul</v>
      </c>
      <c r="E357" s="1" t="str">
        <f xml:space="preserve"> TEXT(FilmaxData[[#This Row],[Show_Date]],"DDD")</f>
        <v>Sun</v>
      </c>
      <c r="F357" t="s">
        <v>11</v>
      </c>
      <c r="G357" t="s">
        <v>17</v>
      </c>
      <c r="H357">
        <v>3</v>
      </c>
      <c r="I357">
        <v>12</v>
      </c>
      <c r="J357" t="s">
        <v>21</v>
      </c>
      <c r="K357" t="s">
        <v>18</v>
      </c>
      <c r="L357">
        <v>36</v>
      </c>
    </row>
    <row r="358" spans="1:12" x14ac:dyDescent="0.3">
      <c r="A358">
        <v>1070</v>
      </c>
      <c r="B358" t="s">
        <v>15</v>
      </c>
      <c r="C358" s="1">
        <v>45851</v>
      </c>
      <c r="D358" s="1" t="str">
        <f xml:space="preserve"> TEXT(FilmaxData[[#This Row],[Show_Date]],"MMM")</f>
        <v>Jul</v>
      </c>
      <c r="E358" s="1" t="str">
        <f xml:space="preserve"> TEXT(FilmaxData[[#This Row],[Show_Date]],"DDD")</f>
        <v>Sun</v>
      </c>
      <c r="F358" t="s">
        <v>11</v>
      </c>
      <c r="G358" t="s">
        <v>30</v>
      </c>
      <c r="H358">
        <v>1</v>
      </c>
      <c r="I358">
        <v>8</v>
      </c>
      <c r="J358" t="s">
        <v>13</v>
      </c>
      <c r="K358" t="s">
        <v>18</v>
      </c>
      <c r="L358">
        <v>8</v>
      </c>
    </row>
    <row r="359" spans="1:12" x14ac:dyDescent="0.3">
      <c r="A359">
        <v>1180</v>
      </c>
      <c r="B359" t="s">
        <v>32</v>
      </c>
      <c r="C359" s="1">
        <v>45843</v>
      </c>
      <c r="D359" s="1" t="str">
        <f xml:space="preserve"> TEXT(FilmaxData[[#This Row],[Show_Date]],"MMM")</f>
        <v>Jul</v>
      </c>
      <c r="E359" s="1" t="str">
        <f xml:space="preserve"> TEXT(FilmaxData[[#This Row],[Show_Date]],"DDD")</f>
        <v>Sat</v>
      </c>
      <c r="F359" t="s">
        <v>11</v>
      </c>
      <c r="G359" t="s">
        <v>30</v>
      </c>
      <c r="H359">
        <v>5</v>
      </c>
      <c r="I359">
        <v>8</v>
      </c>
      <c r="J359" t="s">
        <v>13</v>
      </c>
      <c r="K359" t="s">
        <v>27</v>
      </c>
      <c r="L359">
        <v>40</v>
      </c>
    </row>
    <row r="360" spans="1:12" x14ac:dyDescent="0.3">
      <c r="A360">
        <v>1395</v>
      </c>
      <c r="B360" t="s">
        <v>15</v>
      </c>
      <c r="C360" s="1">
        <v>45858</v>
      </c>
      <c r="D360" s="1" t="str">
        <f xml:space="preserve"> TEXT(FilmaxData[[#This Row],[Show_Date]],"MMM")</f>
        <v>Jul</v>
      </c>
      <c r="E360" s="1" t="str">
        <f xml:space="preserve"> TEXT(FilmaxData[[#This Row],[Show_Date]],"DDD")</f>
        <v>Sun</v>
      </c>
      <c r="F360" t="s">
        <v>11</v>
      </c>
      <c r="G360" t="s">
        <v>29</v>
      </c>
      <c r="H360">
        <v>5</v>
      </c>
      <c r="I360">
        <v>30</v>
      </c>
      <c r="J360" t="s">
        <v>21</v>
      </c>
      <c r="K360" t="s">
        <v>25</v>
      </c>
      <c r="L360">
        <v>150</v>
      </c>
    </row>
    <row r="361" spans="1:12" x14ac:dyDescent="0.3">
      <c r="A361">
        <v>1837</v>
      </c>
      <c r="B361" t="s">
        <v>10</v>
      </c>
      <c r="C361" s="1">
        <v>45920</v>
      </c>
      <c r="D361" s="1" t="str">
        <f xml:space="preserve"> TEXT(FilmaxData[[#This Row],[Show_Date]],"MMM")</f>
        <v>Sep</v>
      </c>
      <c r="E361" s="1" t="str">
        <f xml:space="preserve"> TEXT(FilmaxData[[#This Row],[Show_Date]],"DDD")</f>
        <v>Sat</v>
      </c>
      <c r="F361" t="s">
        <v>11</v>
      </c>
      <c r="G361" t="s">
        <v>29</v>
      </c>
      <c r="H361">
        <v>4</v>
      </c>
      <c r="I361">
        <v>30</v>
      </c>
      <c r="J361" t="s">
        <v>21</v>
      </c>
      <c r="K361" t="s">
        <v>18</v>
      </c>
      <c r="L361">
        <v>120</v>
      </c>
    </row>
    <row r="362" spans="1:12" x14ac:dyDescent="0.3">
      <c r="A362">
        <v>853</v>
      </c>
      <c r="B362" t="s">
        <v>15</v>
      </c>
      <c r="C362" s="1">
        <v>45846</v>
      </c>
      <c r="D362" s="1" t="str">
        <f xml:space="preserve"> TEXT(FilmaxData[[#This Row],[Show_Date]],"MMM")</f>
        <v>Jul</v>
      </c>
      <c r="E362" s="1" t="str">
        <f xml:space="preserve"> TEXT(FilmaxData[[#This Row],[Show_Date]],"DDD")</f>
        <v>Tue</v>
      </c>
      <c r="F362" t="s">
        <v>11</v>
      </c>
      <c r="G362" t="s">
        <v>17</v>
      </c>
      <c r="H362">
        <v>2</v>
      </c>
      <c r="I362">
        <v>12</v>
      </c>
      <c r="J362" t="s">
        <v>13</v>
      </c>
      <c r="K362" t="s">
        <v>25</v>
      </c>
      <c r="L362">
        <v>24</v>
      </c>
    </row>
    <row r="363" spans="1:12" x14ac:dyDescent="0.3">
      <c r="A363">
        <v>935</v>
      </c>
      <c r="B363" t="s">
        <v>19</v>
      </c>
      <c r="C363" s="1">
        <v>45905</v>
      </c>
      <c r="D363" s="1" t="str">
        <f xml:space="preserve"> TEXT(FilmaxData[[#This Row],[Show_Date]],"MMM")</f>
        <v>Sep</v>
      </c>
      <c r="E363" s="1" t="str">
        <f xml:space="preserve"> TEXT(FilmaxData[[#This Row],[Show_Date]],"DDD")</f>
        <v>Fri</v>
      </c>
      <c r="F363" t="s">
        <v>11</v>
      </c>
      <c r="G363" t="s">
        <v>30</v>
      </c>
      <c r="H363">
        <v>5</v>
      </c>
      <c r="I363">
        <v>8</v>
      </c>
      <c r="J363" t="s">
        <v>21</v>
      </c>
      <c r="K363" t="s">
        <v>18</v>
      </c>
      <c r="L363">
        <v>40</v>
      </c>
    </row>
    <row r="364" spans="1:12" x14ac:dyDescent="0.3">
      <c r="A364">
        <v>1100</v>
      </c>
      <c r="B364" t="s">
        <v>32</v>
      </c>
      <c r="C364" s="1">
        <v>45875</v>
      </c>
      <c r="D364" s="1" t="str">
        <f xml:space="preserve"> TEXT(FilmaxData[[#This Row],[Show_Date]],"MMM")</f>
        <v>Aug</v>
      </c>
      <c r="E364" s="1" t="str">
        <f xml:space="preserve"> TEXT(FilmaxData[[#This Row],[Show_Date]],"DDD")</f>
        <v>Wed</v>
      </c>
      <c r="F364" t="s">
        <v>11</v>
      </c>
      <c r="G364" t="s">
        <v>17</v>
      </c>
      <c r="H364">
        <v>1</v>
      </c>
      <c r="I364">
        <v>12</v>
      </c>
      <c r="J364" t="s">
        <v>21</v>
      </c>
      <c r="K364" t="s">
        <v>25</v>
      </c>
      <c r="L364">
        <v>12</v>
      </c>
    </row>
    <row r="365" spans="1:12" x14ac:dyDescent="0.3">
      <c r="A365">
        <v>1242</v>
      </c>
      <c r="B365" t="s">
        <v>31</v>
      </c>
      <c r="C365" s="1">
        <v>45858</v>
      </c>
      <c r="D365" s="1" t="str">
        <f xml:space="preserve"> TEXT(FilmaxData[[#This Row],[Show_Date]],"MMM")</f>
        <v>Jul</v>
      </c>
      <c r="E365" s="1" t="str">
        <f xml:space="preserve"> TEXT(FilmaxData[[#This Row],[Show_Date]],"DDD")</f>
        <v>Sun</v>
      </c>
      <c r="F365" t="s">
        <v>16</v>
      </c>
      <c r="G365" t="s">
        <v>17</v>
      </c>
      <c r="H365">
        <v>4</v>
      </c>
      <c r="I365">
        <v>12</v>
      </c>
      <c r="J365" t="s">
        <v>23</v>
      </c>
      <c r="K365" t="s">
        <v>14</v>
      </c>
      <c r="L365">
        <v>48</v>
      </c>
    </row>
    <row r="366" spans="1:12" x14ac:dyDescent="0.3">
      <c r="A366">
        <v>1727</v>
      </c>
      <c r="B366" t="s">
        <v>31</v>
      </c>
      <c r="C366" s="1">
        <v>45857</v>
      </c>
      <c r="D366" s="1" t="str">
        <f xml:space="preserve"> TEXT(FilmaxData[[#This Row],[Show_Date]],"MMM")</f>
        <v>Jul</v>
      </c>
      <c r="E366" s="1" t="str">
        <f xml:space="preserve"> TEXT(FilmaxData[[#This Row],[Show_Date]],"DDD")</f>
        <v>Sat</v>
      </c>
      <c r="F366" t="s">
        <v>20</v>
      </c>
      <c r="G366" t="s">
        <v>17</v>
      </c>
      <c r="H366">
        <v>3</v>
      </c>
      <c r="I366">
        <v>12</v>
      </c>
      <c r="J366" t="s">
        <v>21</v>
      </c>
      <c r="K366" t="s">
        <v>14</v>
      </c>
      <c r="L366">
        <v>36</v>
      </c>
    </row>
    <row r="367" spans="1:12" x14ac:dyDescent="0.3">
      <c r="A367">
        <v>576</v>
      </c>
      <c r="B367" t="s">
        <v>10</v>
      </c>
      <c r="C367" s="1">
        <v>45878</v>
      </c>
      <c r="D367" s="1" t="str">
        <f xml:space="preserve"> TEXT(FilmaxData[[#This Row],[Show_Date]],"MMM")</f>
        <v>Aug</v>
      </c>
      <c r="E367" s="1" t="str">
        <f xml:space="preserve"> TEXT(FilmaxData[[#This Row],[Show_Date]],"DDD")</f>
        <v>Sat</v>
      </c>
      <c r="F367" t="s">
        <v>20</v>
      </c>
      <c r="G367" t="s">
        <v>12</v>
      </c>
      <c r="H367">
        <v>5</v>
      </c>
      <c r="I367">
        <v>25</v>
      </c>
      <c r="J367" t="s">
        <v>13</v>
      </c>
      <c r="K367" t="s">
        <v>14</v>
      </c>
      <c r="L367">
        <v>125</v>
      </c>
    </row>
    <row r="368" spans="1:12" x14ac:dyDescent="0.3">
      <c r="A368">
        <v>1934</v>
      </c>
      <c r="B368" t="s">
        <v>32</v>
      </c>
      <c r="C368" s="1">
        <v>45845</v>
      </c>
      <c r="D368" s="1" t="str">
        <f xml:space="preserve"> TEXT(FilmaxData[[#This Row],[Show_Date]],"MMM")</f>
        <v>Jul</v>
      </c>
      <c r="E368" s="1" t="str">
        <f xml:space="preserve"> TEXT(FilmaxData[[#This Row],[Show_Date]],"DDD")</f>
        <v>Mon</v>
      </c>
      <c r="F368" t="s">
        <v>16</v>
      </c>
      <c r="G368" t="s">
        <v>17</v>
      </c>
      <c r="H368">
        <v>5</v>
      </c>
      <c r="I368">
        <v>12</v>
      </c>
      <c r="J368" t="s">
        <v>13</v>
      </c>
      <c r="K368" t="s">
        <v>14</v>
      </c>
      <c r="L368">
        <v>60</v>
      </c>
    </row>
    <row r="369" spans="1:12" x14ac:dyDescent="0.3">
      <c r="A369">
        <v>1135</v>
      </c>
      <c r="B369" t="s">
        <v>32</v>
      </c>
      <c r="C369" s="1">
        <v>45919</v>
      </c>
      <c r="D369" s="1" t="str">
        <f xml:space="preserve"> TEXT(FilmaxData[[#This Row],[Show_Date]],"MMM")</f>
        <v>Sep</v>
      </c>
      <c r="E369" s="1" t="str">
        <f xml:space="preserve"> TEXT(FilmaxData[[#This Row],[Show_Date]],"DDD")</f>
        <v>Fri</v>
      </c>
      <c r="F369" t="s">
        <v>20</v>
      </c>
      <c r="G369" t="s">
        <v>17</v>
      </c>
      <c r="H369">
        <v>5</v>
      </c>
      <c r="I369">
        <v>12</v>
      </c>
      <c r="J369" t="s">
        <v>23</v>
      </c>
      <c r="K369" t="s">
        <v>25</v>
      </c>
      <c r="L369">
        <v>60</v>
      </c>
    </row>
    <row r="370" spans="1:12" x14ac:dyDescent="0.3">
      <c r="A370">
        <v>248</v>
      </c>
      <c r="B370" t="s">
        <v>24</v>
      </c>
      <c r="C370" s="1">
        <v>45907</v>
      </c>
      <c r="D370" s="1" t="str">
        <f xml:space="preserve"> TEXT(FilmaxData[[#This Row],[Show_Date]],"MMM")</f>
        <v>Sep</v>
      </c>
      <c r="E370" s="1" t="str">
        <f xml:space="preserve"> TEXT(FilmaxData[[#This Row],[Show_Date]],"DDD")</f>
        <v>Sun</v>
      </c>
      <c r="F370" t="s">
        <v>11</v>
      </c>
      <c r="G370" t="s">
        <v>22</v>
      </c>
      <c r="H370">
        <v>3</v>
      </c>
      <c r="I370">
        <v>20</v>
      </c>
      <c r="J370" t="s">
        <v>13</v>
      </c>
      <c r="K370" t="s">
        <v>27</v>
      </c>
      <c r="L370">
        <v>60</v>
      </c>
    </row>
    <row r="371" spans="1:12" x14ac:dyDescent="0.3">
      <c r="A371">
        <v>1197</v>
      </c>
      <c r="B371" t="s">
        <v>24</v>
      </c>
      <c r="C371" s="1">
        <v>45850</v>
      </c>
      <c r="D371" s="1" t="str">
        <f xml:space="preserve"> TEXT(FilmaxData[[#This Row],[Show_Date]],"MMM")</f>
        <v>Jul</v>
      </c>
      <c r="E371" s="1" t="str">
        <f xml:space="preserve"> TEXT(FilmaxData[[#This Row],[Show_Date]],"DDD")</f>
        <v>Sat</v>
      </c>
      <c r="F371" t="s">
        <v>16</v>
      </c>
      <c r="G371" t="s">
        <v>29</v>
      </c>
      <c r="H371">
        <v>1</v>
      </c>
      <c r="I371">
        <v>30</v>
      </c>
      <c r="J371" t="s">
        <v>21</v>
      </c>
      <c r="K371" t="s">
        <v>18</v>
      </c>
      <c r="L371">
        <v>30</v>
      </c>
    </row>
    <row r="372" spans="1:12" x14ac:dyDescent="0.3">
      <c r="A372">
        <v>587</v>
      </c>
      <c r="B372" t="s">
        <v>24</v>
      </c>
      <c r="C372" s="1">
        <v>45864</v>
      </c>
      <c r="D372" s="1" t="str">
        <f xml:space="preserve"> TEXT(FilmaxData[[#This Row],[Show_Date]],"MMM")</f>
        <v>Jul</v>
      </c>
      <c r="E372" s="1" t="str">
        <f xml:space="preserve"> TEXT(FilmaxData[[#This Row],[Show_Date]],"DDD")</f>
        <v>Sat</v>
      </c>
      <c r="F372" t="s">
        <v>20</v>
      </c>
      <c r="G372" t="s">
        <v>17</v>
      </c>
      <c r="H372">
        <v>4</v>
      </c>
      <c r="I372">
        <v>12</v>
      </c>
      <c r="J372" t="s">
        <v>13</v>
      </c>
      <c r="K372" t="s">
        <v>18</v>
      </c>
      <c r="L372">
        <v>48</v>
      </c>
    </row>
    <row r="373" spans="1:12" x14ac:dyDescent="0.3">
      <c r="A373">
        <v>577</v>
      </c>
      <c r="B373" t="s">
        <v>24</v>
      </c>
      <c r="C373" s="1">
        <v>45886</v>
      </c>
      <c r="D373" s="1" t="str">
        <f xml:space="preserve"> TEXT(FilmaxData[[#This Row],[Show_Date]],"MMM")</f>
        <v>Aug</v>
      </c>
      <c r="E373" s="1" t="str">
        <f xml:space="preserve"> TEXT(FilmaxData[[#This Row],[Show_Date]],"DDD")</f>
        <v>Sun</v>
      </c>
      <c r="F373" t="s">
        <v>33</v>
      </c>
      <c r="G373" t="s">
        <v>29</v>
      </c>
      <c r="H373">
        <v>1</v>
      </c>
      <c r="I373">
        <v>30</v>
      </c>
      <c r="J373" t="s">
        <v>21</v>
      </c>
      <c r="K373" t="s">
        <v>27</v>
      </c>
      <c r="L373">
        <v>30</v>
      </c>
    </row>
    <row r="374" spans="1:12" x14ac:dyDescent="0.3">
      <c r="A374">
        <v>219</v>
      </c>
      <c r="B374" t="s">
        <v>24</v>
      </c>
      <c r="C374" s="1">
        <v>45905</v>
      </c>
      <c r="D374" s="1" t="str">
        <f xml:space="preserve"> TEXT(FilmaxData[[#This Row],[Show_Date]],"MMM")</f>
        <v>Sep</v>
      </c>
      <c r="E374" s="1" t="str">
        <f xml:space="preserve"> TEXT(FilmaxData[[#This Row],[Show_Date]],"DDD")</f>
        <v>Fri</v>
      </c>
      <c r="F374" t="s">
        <v>16</v>
      </c>
      <c r="G374" t="s">
        <v>22</v>
      </c>
      <c r="H374">
        <v>4</v>
      </c>
      <c r="I374">
        <v>20</v>
      </c>
      <c r="J374" t="s">
        <v>13</v>
      </c>
      <c r="K374" t="s">
        <v>25</v>
      </c>
      <c r="L374">
        <v>80</v>
      </c>
    </row>
    <row r="375" spans="1:12" x14ac:dyDescent="0.3">
      <c r="A375">
        <v>1639</v>
      </c>
      <c r="B375" t="s">
        <v>24</v>
      </c>
      <c r="C375" s="1">
        <v>45849</v>
      </c>
      <c r="D375" s="1" t="str">
        <f xml:space="preserve"> TEXT(FilmaxData[[#This Row],[Show_Date]],"MMM")</f>
        <v>Jul</v>
      </c>
      <c r="E375" s="1" t="str">
        <f xml:space="preserve"> TEXT(FilmaxData[[#This Row],[Show_Date]],"DDD")</f>
        <v>Fri</v>
      </c>
      <c r="F375" t="s">
        <v>20</v>
      </c>
      <c r="G375" t="s">
        <v>17</v>
      </c>
      <c r="H375">
        <v>1</v>
      </c>
      <c r="I375">
        <v>12</v>
      </c>
      <c r="J375" t="s">
        <v>21</v>
      </c>
      <c r="K375" t="s">
        <v>18</v>
      </c>
      <c r="L375">
        <v>12</v>
      </c>
    </row>
    <row r="376" spans="1:12" x14ac:dyDescent="0.3">
      <c r="A376">
        <v>982</v>
      </c>
      <c r="B376" t="s">
        <v>19</v>
      </c>
      <c r="C376" s="1">
        <v>45881</v>
      </c>
      <c r="D376" s="1" t="str">
        <f xml:space="preserve"> TEXT(FilmaxData[[#This Row],[Show_Date]],"MMM")</f>
        <v>Aug</v>
      </c>
      <c r="E376" s="1" t="str">
        <f xml:space="preserve"> TEXT(FilmaxData[[#This Row],[Show_Date]],"DDD")</f>
        <v>Tue</v>
      </c>
      <c r="F376" t="s">
        <v>16</v>
      </c>
      <c r="G376" t="s">
        <v>17</v>
      </c>
      <c r="H376">
        <v>1</v>
      </c>
      <c r="I376">
        <v>12</v>
      </c>
      <c r="J376" t="s">
        <v>21</v>
      </c>
      <c r="K376" t="s">
        <v>25</v>
      </c>
      <c r="L376">
        <v>12</v>
      </c>
    </row>
    <row r="377" spans="1:12" x14ac:dyDescent="0.3">
      <c r="A377">
        <v>1432</v>
      </c>
      <c r="B377" t="s">
        <v>15</v>
      </c>
      <c r="C377" s="1">
        <v>45899</v>
      </c>
      <c r="D377" s="1" t="str">
        <f xml:space="preserve"> TEXT(FilmaxData[[#This Row],[Show_Date]],"MMM")</f>
        <v>Aug</v>
      </c>
      <c r="E377" s="1" t="str">
        <f xml:space="preserve"> TEXT(FilmaxData[[#This Row],[Show_Date]],"DDD")</f>
        <v>Sat</v>
      </c>
      <c r="F377" t="s">
        <v>20</v>
      </c>
      <c r="G377" t="s">
        <v>29</v>
      </c>
      <c r="H377">
        <v>5</v>
      </c>
      <c r="I377">
        <v>30</v>
      </c>
      <c r="J377" t="s">
        <v>23</v>
      </c>
      <c r="K377" t="s">
        <v>14</v>
      </c>
      <c r="L377">
        <v>150</v>
      </c>
    </row>
    <row r="378" spans="1:12" x14ac:dyDescent="0.3">
      <c r="A378">
        <v>523</v>
      </c>
      <c r="B378" t="s">
        <v>10</v>
      </c>
      <c r="C378" s="1">
        <v>45914</v>
      </c>
      <c r="D378" s="1" t="str">
        <f xml:space="preserve"> TEXT(FilmaxData[[#This Row],[Show_Date]],"MMM")</f>
        <v>Sep</v>
      </c>
      <c r="E378" s="1" t="str">
        <f xml:space="preserve"> TEXT(FilmaxData[[#This Row],[Show_Date]],"DDD")</f>
        <v>Sun</v>
      </c>
      <c r="F378" t="s">
        <v>16</v>
      </c>
      <c r="G378" t="s">
        <v>17</v>
      </c>
      <c r="H378">
        <v>3</v>
      </c>
      <c r="I378">
        <v>12</v>
      </c>
      <c r="J378" t="s">
        <v>23</v>
      </c>
      <c r="K378" t="s">
        <v>25</v>
      </c>
      <c r="L378">
        <v>36</v>
      </c>
    </row>
    <row r="379" spans="1:12" x14ac:dyDescent="0.3">
      <c r="A379">
        <v>1764</v>
      </c>
      <c r="B379" t="s">
        <v>10</v>
      </c>
      <c r="C379" s="1">
        <v>45886</v>
      </c>
      <c r="D379" s="1" t="str">
        <f xml:space="preserve"> TEXT(FilmaxData[[#This Row],[Show_Date]],"MMM")</f>
        <v>Aug</v>
      </c>
      <c r="E379" s="1" t="str">
        <f xml:space="preserve"> TEXT(FilmaxData[[#This Row],[Show_Date]],"DDD")</f>
        <v>Sun</v>
      </c>
      <c r="F379" t="s">
        <v>16</v>
      </c>
      <c r="G379" t="s">
        <v>17</v>
      </c>
      <c r="H379">
        <v>4</v>
      </c>
      <c r="I379">
        <v>12</v>
      </c>
      <c r="J379" t="s">
        <v>13</v>
      </c>
      <c r="K379" t="s">
        <v>18</v>
      </c>
      <c r="L379">
        <v>48</v>
      </c>
    </row>
    <row r="380" spans="1:12" x14ac:dyDescent="0.3">
      <c r="A380">
        <v>51</v>
      </c>
      <c r="B380" t="s">
        <v>10</v>
      </c>
      <c r="C380" s="1">
        <v>45922</v>
      </c>
      <c r="D380" s="1" t="str">
        <f xml:space="preserve"> TEXT(FilmaxData[[#This Row],[Show_Date]],"MMM")</f>
        <v>Sep</v>
      </c>
      <c r="E380" s="1" t="str">
        <f xml:space="preserve"> TEXT(FilmaxData[[#This Row],[Show_Date]],"DDD")</f>
        <v>Mon</v>
      </c>
      <c r="F380" t="s">
        <v>20</v>
      </c>
      <c r="G380" t="s">
        <v>17</v>
      </c>
      <c r="H380">
        <v>1</v>
      </c>
      <c r="I380">
        <v>12</v>
      </c>
      <c r="J380" t="s">
        <v>13</v>
      </c>
      <c r="K380" t="s">
        <v>18</v>
      </c>
      <c r="L380">
        <v>12</v>
      </c>
    </row>
    <row r="381" spans="1:12" x14ac:dyDescent="0.3">
      <c r="A381">
        <v>1595</v>
      </c>
      <c r="B381" t="s">
        <v>10</v>
      </c>
      <c r="C381" s="1">
        <v>45856</v>
      </c>
      <c r="D381" s="1" t="str">
        <f xml:space="preserve"> TEXT(FilmaxData[[#This Row],[Show_Date]],"MMM")</f>
        <v>Jul</v>
      </c>
      <c r="E381" s="1" t="str">
        <f xml:space="preserve"> TEXT(FilmaxData[[#This Row],[Show_Date]],"DDD")</f>
        <v>Fri</v>
      </c>
      <c r="F381" t="s">
        <v>20</v>
      </c>
      <c r="G381" t="s">
        <v>17</v>
      </c>
      <c r="H381">
        <v>4</v>
      </c>
      <c r="I381">
        <v>12</v>
      </c>
      <c r="J381" t="s">
        <v>13</v>
      </c>
      <c r="K381" t="s">
        <v>25</v>
      </c>
      <c r="L381">
        <v>48</v>
      </c>
    </row>
    <row r="382" spans="1:12" x14ac:dyDescent="0.3">
      <c r="A382">
        <v>110</v>
      </c>
      <c r="B382" t="s">
        <v>10</v>
      </c>
      <c r="C382" s="1">
        <v>45918</v>
      </c>
      <c r="D382" s="1" t="str">
        <f xml:space="preserve"> TEXT(FilmaxData[[#This Row],[Show_Date]],"MMM")</f>
        <v>Sep</v>
      </c>
      <c r="E382" s="1" t="str">
        <f xml:space="preserve"> TEXT(FilmaxData[[#This Row],[Show_Date]],"DDD")</f>
        <v>Thu</v>
      </c>
      <c r="F382" t="s">
        <v>20</v>
      </c>
      <c r="G382" t="s">
        <v>29</v>
      </c>
      <c r="H382">
        <v>5</v>
      </c>
      <c r="I382">
        <v>30</v>
      </c>
      <c r="J382" t="s">
        <v>23</v>
      </c>
      <c r="K382" t="s">
        <v>25</v>
      </c>
      <c r="L382">
        <v>150</v>
      </c>
    </row>
    <row r="383" spans="1:12" x14ac:dyDescent="0.3">
      <c r="A383">
        <v>350</v>
      </c>
      <c r="B383" t="s">
        <v>10</v>
      </c>
      <c r="C383" s="1">
        <v>45851</v>
      </c>
      <c r="D383" s="1" t="str">
        <f xml:space="preserve"> TEXT(FilmaxData[[#This Row],[Show_Date]],"MMM")</f>
        <v>Jul</v>
      </c>
      <c r="E383" s="1" t="str">
        <f xml:space="preserve"> TEXT(FilmaxData[[#This Row],[Show_Date]],"DDD")</f>
        <v>Sun</v>
      </c>
      <c r="F383" t="s">
        <v>16</v>
      </c>
      <c r="G383" t="s">
        <v>17</v>
      </c>
      <c r="H383">
        <v>4</v>
      </c>
      <c r="I383">
        <v>12</v>
      </c>
      <c r="J383" t="s">
        <v>21</v>
      </c>
      <c r="K383" t="s">
        <v>25</v>
      </c>
      <c r="L383">
        <v>48</v>
      </c>
    </row>
    <row r="384" spans="1:12" x14ac:dyDescent="0.3">
      <c r="A384">
        <v>1695</v>
      </c>
      <c r="B384" t="s">
        <v>15</v>
      </c>
      <c r="C384" s="1">
        <v>45893</v>
      </c>
      <c r="D384" s="1" t="str">
        <f xml:space="preserve"> TEXT(FilmaxData[[#This Row],[Show_Date]],"MMM")</f>
        <v>Aug</v>
      </c>
      <c r="E384" s="1" t="str">
        <f xml:space="preserve"> TEXT(FilmaxData[[#This Row],[Show_Date]],"DDD")</f>
        <v>Sun</v>
      </c>
      <c r="F384" t="s">
        <v>16</v>
      </c>
      <c r="G384" t="s">
        <v>17</v>
      </c>
      <c r="H384">
        <v>2</v>
      </c>
      <c r="I384">
        <v>12</v>
      </c>
      <c r="J384" t="s">
        <v>13</v>
      </c>
      <c r="K384" t="s">
        <v>25</v>
      </c>
      <c r="L384">
        <v>24</v>
      </c>
    </row>
    <row r="385" spans="1:12" x14ac:dyDescent="0.3">
      <c r="A385">
        <v>702</v>
      </c>
      <c r="B385" t="s">
        <v>19</v>
      </c>
      <c r="C385" s="1">
        <v>45851</v>
      </c>
      <c r="D385" s="1" t="str">
        <f xml:space="preserve"> TEXT(FilmaxData[[#This Row],[Show_Date]],"MMM")</f>
        <v>Jul</v>
      </c>
      <c r="E385" s="1" t="str">
        <f xml:space="preserve"> TEXT(FilmaxData[[#This Row],[Show_Date]],"DDD")</f>
        <v>Sun</v>
      </c>
      <c r="F385" t="s">
        <v>11</v>
      </c>
      <c r="G385" t="s">
        <v>29</v>
      </c>
      <c r="H385">
        <v>1</v>
      </c>
      <c r="I385">
        <v>30</v>
      </c>
      <c r="J385" t="s">
        <v>23</v>
      </c>
      <c r="K385" t="s">
        <v>27</v>
      </c>
      <c r="L385">
        <v>30</v>
      </c>
    </row>
    <row r="386" spans="1:12" x14ac:dyDescent="0.3">
      <c r="A386">
        <v>866</v>
      </c>
      <c r="B386" t="s">
        <v>24</v>
      </c>
      <c r="C386" s="1">
        <v>45866</v>
      </c>
      <c r="D386" s="1" t="str">
        <f xml:space="preserve"> TEXT(FilmaxData[[#This Row],[Show_Date]],"MMM")</f>
        <v>Jul</v>
      </c>
      <c r="E386" s="1" t="str">
        <f xml:space="preserve"> TEXT(FilmaxData[[#This Row],[Show_Date]],"DDD")</f>
        <v>Mon</v>
      </c>
      <c r="F386" t="s">
        <v>11</v>
      </c>
      <c r="G386" t="s">
        <v>12</v>
      </c>
      <c r="H386">
        <v>5</v>
      </c>
      <c r="I386">
        <v>25</v>
      </c>
      <c r="J386" t="s">
        <v>13</v>
      </c>
      <c r="K386" t="s">
        <v>25</v>
      </c>
      <c r="L386">
        <v>125</v>
      </c>
    </row>
    <row r="387" spans="1:12" x14ac:dyDescent="0.3">
      <c r="A387">
        <v>835</v>
      </c>
      <c r="B387" t="s">
        <v>24</v>
      </c>
      <c r="C387" s="1">
        <v>45888</v>
      </c>
      <c r="D387" s="1" t="str">
        <f xml:space="preserve"> TEXT(FilmaxData[[#This Row],[Show_Date]],"MMM")</f>
        <v>Aug</v>
      </c>
      <c r="E387" s="1" t="str">
        <f xml:space="preserve"> TEXT(FilmaxData[[#This Row],[Show_Date]],"DDD")</f>
        <v>Tue</v>
      </c>
      <c r="F387" t="s">
        <v>11</v>
      </c>
      <c r="G387" t="s">
        <v>17</v>
      </c>
      <c r="H387">
        <v>3</v>
      </c>
      <c r="I387">
        <v>12</v>
      </c>
      <c r="J387" t="s">
        <v>13</v>
      </c>
      <c r="K387" t="s">
        <v>27</v>
      </c>
      <c r="L387">
        <v>36</v>
      </c>
    </row>
    <row r="388" spans="1:12" x14ac:dyDescent="0.3">
      <c r="A388">
        <v>1417</v>
      </c>
      <c r="B388" t="s">
        <v>24</v>
      </c>
      <c r="C388" s="1">
        <v>45898</v>
      </c>
      <c r="D388" s="1" t="str">
        <f xml:space="preserve"> TEXT(FilmaxData[[#This Row],[Show_Date]],"MMM")</f>
        <v>Aug</v>
      </c>
      <c r="E388" s="1" t="str">
        <f xml:space="preserve"> TEXT(FilmaxData[[#This Row],[Show_Date]],"DDD")</f>
        <v>Fri</v>
      </c>
      <c r="F388" t="s">
        <v>11</v>
      </c>
      <c r="G388" t="s">
        <v>17</v>
      </c>
      <c r="H388">
        <v>2</v>
      </c>
      <c r="I388">
        <v>12</v>
      </c>
      <c r="J388" t="s">
        <v>23</v>
      </c>
      <c r="K388" t="s">
        <v>18</v>
      </c>
      <c r="L388">
        <v>24</v>
      </c>
    </row>
    <row r="389" spans="1:12" x14ac:dyDescent="0.3">
      <c r="A389">
        <v>83</v>
      </c>
      <c r="B389" t="s">
        <v>15</v>
      </c>
      <c r="C389" s="1">
        <v>45892</v>
      </c>
      <c r="D389" s="1" t="str">
        <f xml:space="preserve"> TEXT(FilmaxData[[#This Row],[Show_Date]],"MMM")</f>
        <v>Aug</v>
      </c>
      <c r="E389" s="1" t="str">
        <f xml:space="preserve"> TEXT(FilmaxData[[#This Row],[Show_Date]],"DDD")</f>
        <v>Sat</v>
      </c>
      <c r="F389" t="s">
        <v>11</v>
      </c>
      <c r="G389" t="s">
        <v>17</v>
      </c>
      <c r="H389">
        <v>4</v>
      </c>
      <c r="I389">
        <v>12</v>
      </c>
      <c r="J389" t="s">
        <v>13</v>
      </c>
      <c r="K389" t="s">
        <v>18</v>
      </c>
      <c r="L389">
        <v>48</v>
      </c>
    </row>
    <row r="390" spans="1:12" x14ac:dyDescent="0.3">
      <c r="A390">
        <v>1770</v>
      </c>
      <c r="B390" t="s">
        <v>15</v>
      </c>
      <c r="C390" s="1">
        <v>45866</v>
      </c>
      <c r="D390" s="1" t="str">
        <f xml:space="preserve"> TEXT(FilmaxData[[#This Row],[Show_Date]],"MMM")</f>
        <v>Jul</v>
      </c>
      <c r="E390" s="1" t="str">
        <f xml:space="preserve"> TEXT(FilmaxData[[#This Row],[Show_Date]],"DDD")</f>
        <v>Mon</v>
      </c>
      <c r="F390" t="s">
        <v>11</v>
      </c>
      <c r="G390" t="s">
        <v>17</v>
      </c>
      <c r="H390">
        <v>3</v>
      </c>
      <c r="I390">
        <v>12</v>
      </c>
      <c r="J390" t="s">
        <v>13</v>
      </c>
      <c r="K390" t="s">
        <v>25</v>
      </c>
      <c r="L390">
        <v>36</v>
      </c>
    </row>
    <row r="391" spans="1:12" x14ac:dyDescent="0.3">
      <c r="A391">
        <v>1706</v>
      </c>
      <c r="B391" t="s">
        <v>19</v>
      </c>
      <c r="C391" s="1">
        <v>45907</v>
      </c>
      <c r="D391" s="1" t="str">
        <f xml:space="preserve"> TEXT(FilmaxData[[#This Row],[Show_Date]],"MMM")</f>
        <v>Sep</v>
      </c>
      <c r="E391" s="1" t="str">
        <f xml:space="preserve"> TEXT(FilmaxData[[#This Row],[Show_Date]],"DDD")</f>
        <v>Sun</v>
      </c>
      <c r="F391" t="s">
        <v>11</v>
      </c>
      <c r="G391" t="s">
        <v>22</v>
      </c>
      <c r="H391">
        <v>5</v>
      </c>
      <c r="I391">
        <v>20</v>
      </c>
      <c r="J391" t="s">
        <v>13</v>
      </c>
      <c r="K391" t="s">
        <v>18</v>
      </c>
      <c r="L391">
        <v>100</v>
      </c>
    </row>
    <row r="392" spans="1:12" x14ac:dyDescent="0.3">
      <c r="A392">
        <v>206</v>
      </c>
      <c r="B392" t="s">
        <v>15</v>
      </c>
      <c r="C392" s="1">
        <v>45879</v>
      </c>
      <c r="D392" s="1" t="str">
        <f xml:space="preserve"> TEXT(FilmaxData[[#This Row],[Show_Date]],"MMM")</f>
        <v>Aug</v>
      </c>
      <c r="E392" s="1" t="str">
        <f xml:space="preserve"> TEXT(FilmaxData[[#This Row],[Show_Date]],"DDD")</f>
        <v>Sun</v>
      </c>
      <c r="F392" t="s">
        <v>11</v>
      </c>
      <c r="G392" t="s">
        <v>29</v>
      </c>
      <c r="H392">
        <v>5</v>
      </c>
      <c r="I392">
        <v>30</v>
      </c>
      <c r="J392" t="s">
        <v>13</v>
      </c>
      <c r="K392" t="s">
        <v>27</v>
      </c>
      <c r="L392">
        <v>150</v>
      </c>
    </row>
    <row r="393" spans="1:12" x14ac:dyDescent="0.3">
      <c r="A393">
        <v>1230</v>
      </c>
      <c r="B393" t="s">
        <v>32</v>
      </c>
      <c r="C393" s="1">
        <v>45864</v>
      </c>
      <c r="D393" s="1" t="str">
        <f xml:space="preserve"> TEXT(FilmaxData[[#This Row],[Show_Date]],"MMM")</f>
        <v>Jul</v>
      </c>
      <c r="E393" s="1" t="str">
        <f xml:space="preserve"> TEXT(FilmaxData[[#This Row],[Show_Date]],"DDD")</f>
        <v>Sat</v>
      </c>
      <c r="F393" t="s">
        <v>11</v>
      </c>
      <c r="G393" t="s">
        <v>17</v>
      </c>
      <c r="H393">
        <v>3</v>
      </c>
      <c r="I393">
        <v>12</v>
      </c>
      <c r="J393" t="s">
        <v>23</v>
      </c>
      <c r="K393" t="s">
        <v>25</v>
      </c>
      <c r="L393">
        <v>36</v>
      </c>
    </row>
    <row r="394" spans="1:12" x14ac:dyDescent="0.3">
      <c r="A394">
        <v>1527</v>
      </c>
      <c r="B394" t="s">
        <v>28</v>
      </c>
      <c r="C394" s="1">
        <v>45873</v>
      </c>
      <c r="D394" s="1" t="str">
        <f xml:space="preserve"> TEXT(FilmaxData[[#This Row],[Show_Date]],"MMM")</f>
        <v>Aug</v>
      </c>
      <c r="E394" s="1" t="str">
        <f xml:space="preserve"> TEXT(FilmaxData[[#This Row],[Show_Date]],"DDD")</f>
        <v>Mon</v>
      </c>
      <c r="F394" t="s">
        <v>11</v>
      </c>
      <c r="G394" t="s">
        <v>29</v>
      </c>
      <c r="H394">
        <v>2</v>
      </c>
      <c r="I394">
        <v>30</v>
      </c>
      <c r="J394" t="s">
        <v>21</v>
      </c>
      <c r="K394" t="s">
        <v>14</v>
      </c>
      <c r="L394">
        <v>60</v>
      </c>
    </row>
    <row r="395" spans="1:12" x14ac:dyDescent="0.3">
      <c r="A395">
        <v>161</v>
      </c>
      <c r="B395" t="s">
        <v>28</v>
      </c>
      <c r="C395" s="1">
        <v>45889</v>
      </c>
      <c r="D395" s="1" t="str">
        <f xml:space="preserve"> TEXT(FilmaxData[[#This Row],[Show_Date]],"MMM")</f>
        <v>Aug</v>
      </c>
      <c r="E395" s="1" t="str">
        <f xml:space="preserve"> TEXT(FilmaxData[[#This Row],[Show_Date]],"DDD")</f>
        <v>Wed</v>
      </c>
      <c r="F395" t="s">
        <v>11</v>
      </c>
      <c r="G395" t="s">
        <v>30</v>
      </c>
      <c r="H395">
        <v>4</v>
      </c>
      <c r="I395">
        <v>8</v>
      </c>
      <c r="J395" t="s">
        <v>21</v>
      </c>
      <c r="K395" t="s">
        <v>14</v>
      </c>
      <c r="L395">
        <v>32</v>
      </c>
    </row>
    <row r="396" spans="1:12" x14ac:dyDescent="0.3">
      <c r="A396">
        <v>1161</v>
      </c>
      <c r="B396" t="s">
        <v>19</v>
      </c>
      <c r="C396" s="1">
        <v>45872</v>
      </c>
      <c r="D396" s="1" t="str">
        <f xml:space="preserve"> TEXT(FilmaxData[[#This Row],[Show_Date]],"MMM")</f>
        <v>Aug</v>
      </c>
      <c r="E396" s="1" t="str">
        <f xml:space="preserve"> TEXT(FilmaxData[[#This Row],[Show_Date]],"DDD")</f>
        <v>Sun</v>
      </c>
      <c r="F396" t="s">
        <v>11</v>
      </c>
      <c r="G396" t="s">
        <v>17</v>
      </c>
      <c r="H396">
        <v>2</v>
      </c>
      <c r="I396">
        <v>12</v>
      </c>
      <c r="J396" t="s">
        <v>13</v>
      </c>
      <c r="K396" t="s">
        <v>18</v>
      </c>
      <c r="L396">
        <v>24</v>
      </c>
    </row>
    <row r="397" spans="1:12" x14ac:dyDescent="0.3">
      <c r="A397">
        <v>1097</v>
      </c>
      <c r="B397" t="s">
        <v>26</v>
      </c>
      <c r="C397" s="1">
        <v>45922</v>
      </c>
      <c r="D397" s="1" t="str">
        <f xml:space="preserve"> TEXT(FilmaxData[[#This Row],[Show_Date]],"MMM")</f>
        <v>Sep</v>
      </c>
      <c r="E397" s="1" t="str">
        <f xml:space="preserve"> TEXT(FilmaxData[[#This Row],[Show_Date]],"DDD")</f>
        <v>Mon</v>
      </c>
      <c r="F397" t="s">
        <v>11</v>
      </c>
      <c r="G397" t="s">
        <v>29</v>
      </c>
      <c r="H397">
        <v>1</v>
      </c>
      <c r="I397">
        <v>30</v>
      </c>
      <c r="J397" t="s">
        <v>23</v>
      </c>
      <c r="K397" t="s">
        <v>25</v>
      </c>
      <c r="L397">
        <v>30</v>
      </c>
    </row>
    <row r="398" spans="1:12" x14ac:dyDescent="0.3">
      <c r="A398">
        <v>810</v>
      </c>
      <c r="B398" t="s">
        <v>15</v>
      </c>
      <c r="C398" s="1">
        <v>45857</v>
      </c>
      <c r="D398" s="1" t="str">
        <f xml:space="preserve"> TEXT(FilmaxData[[#This Row],[Show_Date]],"MMM")</f>
        <v>Jul</v>
      </c>
      <c r="E398" s="1" t="str">
        <f xml:space="preserve"> TEXT(FilmaxData[[#This Row],[Show_Date]],"DDD")</f>
        <v>Sat</v>
      </c>
      <c r="F398" t="s">
        <v>11</v>
      </c>
      <c r="G398" t="s">
        <v>30</v>
      </c>
      <c r="H398">
        <v>1</v>
      </c>
      <c r="I398">
        <v>8</v>
      </c>
      <c r="J398" t="s">
        <v>13</v>
      </c>
      <c r="K398" t="s">
        <v>18</v>
      </c>
      <c r="L398">
        <v>8</v>
      </c>
    </row>
    <row r="399" spans="1:12" x14ac:dyDescent="0.3">
      <c r="A399">
        <v>1901</v>
      </c>
      <c r="B399" t="s">
        <v>31</v>
      </c>
      <c r="C399" s="1">
        <v>45902</v>
      </c>
      <c r="D399" s="1" t="str">
        <f xml:space="preserve"> TEXT(FilmaxData[[#This Row],[Show_Date]],"MMM")</f>
        <v>Sep</v>
      </c>
      <c r="E399" s="1" t="str">
        <f xml:space="preserve"> TEXT(FilmaxData[[#This Row],[Show_Date]],"DDD")</f>
        <v>Tue</v>
      </c>
      <c r="F399" t="s">
        <v>11</v>
      </c>
      <c r="G399" t="s">
        <v>17</v>
      </c>
      <c r="H399">
        <v>5</v>
      </c>
      <c r="I399">
        <v>12</v>
      </c>
      <c r="J399" t="s">
        <v>21</v>
      </c>
      <c r="K399" t="s">
        <v>18</v>
      </c>
      <c r="L399">
        <v>60</v>
      </c>
    </row>
    <row r="400" spans="1:12" x14ac:dyDescent="0.3">
      <c r="A400">
        <v>17</v>
      </c>
      <c r="B400" t="s">
        <v>31</v>
      </c>
      <c r="C400" s="1">
        <v>45850</v>
      </c>
      <c r="D400" s="1" t="str">
        <f xml:space="preserve"> TEXT(FilmaxData[[#This Row],[Show_Date]],"MMM")</f>
        <v>Jul</v>
      </c>
      <c r="E400" s="1" t="str">
        <f xml:space="preserve"> TEXT(FilmaxData[[#This Row],[Show_Date]],"DDD")</f>
        <v>Sat</v>
      </c>
      <c r="F400" t="s">
        <v>11</v>
      </c>
      <c r="G400" t="s">
        <v>17</v>
      </c>
      <c r="H400">
        <v>5</v>
      </c>
      <c r="I400">
        <v>12</v>
      </c>
      <c r="J400" t="s">
        <v>13</v>
      </c>
      <c r="K400" t="s">
        <v>14</v>
      </c>
      <c r="L400">
        <v>60</v>
      </c>
    </row>
    <row r="401" spans="1:12" x14ac:dyDescent="0.3">
      <c r="A401">
        <v>636</v>
      </c>
      <c r="B401" t="s">
        <v>26</v>
      </c>
      <c r="C401" s="1">
        <v>45887</v>
      </c>
      <c r="D401" s="1" t="str">
        <f xml:space="preserve"> TEXT(FilmaxData[[#This Row],[Show_Date]],"MMM")</f>
        <v>Aug</v>
      </c>
      <c r="E401" s="1" t="str">
        <f xml:space="preserve"> TEXT(FilmaxData[[#This Row],[Show_Date]],"DDD")</f>
        <v>Mon</v>
      </c>
      <c r="F401" t="s">
        <v>20</v>
      </c>
      <c r="G401" t="s">
        <v>30</v>
      </c>
      <c r="H401">
        <v>1</v>
      </c>
      <c r="I401">
        <v>8</v>
      </c>
      <c r="J401" t="s">
        <v>23</v>
      </c>
      <c r="K401" t="s">
        <v>14</v>
      </c>
      <c r="L401">
        <v>8</v>
      </c>
    </row>
    <row r="402" spans="1:12" x14ac:dyDescent="0.3">
      <c r="A402">
        <v>1356</v>
      </c>
      <c r="B402" t="s">
        <v>31</v>
      </c>
      <c r="C402" s="1">
        <v>45912</v>
      </c>
      <c r="D402" s="1" t="str">
        <f xml:space="preserve"> TEXT(FilmaxData[[#This Row],[Show_Date]],"MMM")</f>
        <v>Sep</v>
      </c>
      <c r="E402" s="1" t="str">
        <f xml:space="preserve"> TEXT(FilmaxData[[#This Row],[Show_Date]],"DDD")</f>
        <v>Fri</v>
      </c>
      <c r="F402" t="s">
        <v>11</v>
      </c>
      <c r="G402" t="s">
        <v>17</v>
      </c>
      <c r="H402">
        <v>2</v>
      </c>
      <c r="I402">
        <v>12</v>
      </c>
      <c r="J402" t="s">
        <v>23</v>
      </c>
      <c r="K402" t="s">
        <v>14</v>
      </c>
      <c r="L402">
        <v>24</v>
      </c>
    </row>
    <row r="403" spans="1:12" x14ac:dyDescent="0.3">
      <c r="A403">
        <v>1185</v>
      </c>
      <c r="B403" t="s">
        <v>19</v>
      </c>
      <c r="C403" s="1">
        <v>45873</v>
      </c>
      <c r="D403" s="1" t="str">
        <f xml:space="preserve"> TEXT(FilmaxData[[#This Row],[Show_Date]],"MMM")</f>
        <v>Aug</v>
      </c>
      <c r="E403" s="1" t="str">
        <f xml:space="preserve"> TEXT(FilmaxData[[#This Row],[Show_Date]],"DDD")</f>
        <v>Mon</v>
      </c>
      <c r="F403" t="s">
        <v>16</v>
      </c>
      <c r="G403" t="s">
        <v>12</v>
      </c>
      <c r="H403">
        <v>1</v>
      </c>
      <c r="I403">
        <v>25</v>
      </c>
      <c r="J403" t="s">
        <v>23</v>
      </c>
      <c r="K403" t="s">
        <v>14</v>
      </c>
      <c r="L403">
        <v>25</v>
      </c>
    </row>
    <row r="404" spans="1:12" x14ac:dyDescent="0.3">
      <c r="A404">
        <v>1582</v>
      </c>
      <c r="B404" t="s">
        <v>26</v>
      </c>
      <c r="C404" s="1">
        <v>45919</v>
      </c>
      <c r="D404" s="1" t="str">
        <f xml:space="preserve"> TEXT(FilmaxData[[#This Row],[Show_Date]],"MMM")</f>
        <v>Sep</v>
      </c>
      <c r="E404" s="1" t="str">
        <f xml:space="preserve"> TEXT(FilmaxData[[#This Row],[Show_Date]],"DDD")</f>
        <v>Fri</v>
      </c>
      <c r="F404" t="s">
        <v>33</v>
      </c>
      <c r="G404" t="s">
        <v>22</v>
      </c>
      <c r="H404">
        <v>3</v>
      </c>
      <c r="I404">
        <v>20</v>
      </c>
      <c r="J404" t="s">
        <v>23</v>
      </c>
      <c r="K404" t="s">
        <v>25</v>
      </c>
      <c r="L404">
        <v>60</v>
      </c>
    </row>
    <row r="405" spans="1:12" x14ac:dyDescent="0.3">
      <c r="A405">
        <v>369</v>
      </c>
      <c r="B405" t="s">
        <v>32</v>
      </c>
      <c r="C405" s="1">
        <v>45882</v>
      </c>
      <c r="D405" s="1" t="str">
        <f xml:space="preserve"> TEXT(FilmaxData[[#This Row],[Show_Date]],"MMM")</f>
        <v>Aug</v>
      </c>
      <c r="E405" s="1" t="str">
        <f xml:space="preserve"> TEXT(FilmaxData[[#This Row],[Show_Date]],"DDD")</f>
        <v>Wed</v>
      </c>
      <c r="F405" t="s">
        <v>33</v>
      </c>
      <c r="G405" t="s">
        <v>17</v>
      </c>
      <c r="H405">
        <v>3</v>
      </c>
      <c r="I405">
        <v>12</v>
      </c>
      <c r="J405" t="s">
        <v>13</v>
      </c>
      <c r="K405" t="s">
        <v>25</v>
      </c>
      <c r="L405">
        <v>36</v>
      </c>
    </row>
    <row r="406" spans="1:12" x14ac:dyDescent="0.3">
      <c r="A406">
        <v>1773</v>
      </c>
      <c r="B406" t="s">
        <v>24</v>
      </c>
      <c r="C406" s="1">
        <v>45840</v>
      </c>
      <c r="D406" s="1" t="str">
        <f xml:space="preserve"> TEXT(FilmaxData[[#This Row],[Show_Date]],"MMM")</f>
        <v>Jul</v>
      </c>
      <c r="E406" s="1" t="str">
        <f xml:space="preserve"> TEXT(FilmaxData[[#This Row],[Show_Date]],"DDD")</f>
        <v>Wed</v>
      </c>
      <c r="F406" t="s">
        <v>16</v>
      </c>
      <c r="G406" t="s">
        <v>17</v>
      </c>
      <c r="H406">
        <v>4</v>
      </c>
      <c r="I406">
        <v>12</v>
      </c>
      <c r="J406" t="s">
        <v>23</v>
      </c>
      <c r="K406" t="s">
        <v>14</v>
      </c>
      <c r="L406">
        <v>48</v>
      </c>
    </row>
    <row r="407" spans="1:12" x14ac:dyDescent="0.3">
      <c r="A407">
        <v>79</v>
      </c>
      <c r="B407" t="s">
        <v>28</v>
      </c>
      <c r="C407" s="1">
        <v>45857</v>
      </c>
      <c r="D407" s="1" t="str">
        <f xml:space="preserve"> TEXT(FilmaxData[[#This Row],[Show_Date]],"MMM")</f>
        <v>Jul</v>
      </c>
      <c r="E407" s="1" t="str">
        <f xml:space="preserve"> TEXT(FilmaxData[[#This Row],[Show_Date]],"DDD")</f>
        <v>Sat</v>
      </c>
      <c r="F407" t="s">
        <v>11</v>
      </c>
      <c r="G407" t="s">
        <v>29</v>
      </c>
      <c r="H407">
        <v>5</v>
      </c>
      <c r="I407">
        <v>30</v>
      </c>
      <c r="J407" t="s">
        <v>23</v>
      </c>
      <c r="K407" t="s">
        <v>14</v>
      </c>
      <c r="L407">
        <v>150</v>
      </c>
    </row>
    <row r="408" spans="1:12" x14ac:dyDescent="0.3">
      <c r="A408">
        <v>667</v>
      </c>
      <c r="B408" t="s">
        <v>10</v>
      </c>
      <c r="C408" s="1">
        <v>45898</v>
      </c>
      <c r="D408" s="1" t="str">
        <f xml:space="preserve"> TEXT(FilmaxData[[#This Row],[Show_Date]],"MMM")</f>
        <v>Aug</v>
      </c>
      <c r="E408" s="1" t="str">
        <f xml:space="preserve"> TEXT(FilmaxData[[#This Row],[Show_Date]],"DDD")</f>
        <v>Fri</v>
      </c>
      <c r="F408" t="s">
        <v>16</v>
      </c>
      <c r="G408" t="s">
        <v>17</v>
      </c>
      <c r="H408">
        <v>1</v>
      </c>
      <c r="I408">
        <v>12</v>
      </c>
      <c r="J408" t="s">
        <v>21</v>
      </c>
      <c r="K408" t="s">
        <v>14</v>
      </c>
      <c r="L408">
        <v>12</v>
      </c>
    </row>
    <row r="409" spans="1:12" x14ac:dyDescent="0.3">
      <c r="A409">
        <v>515</v>
      </c>
      <c r="B409" t="s">
        <v>26</v>
      </c>
      <c r="C409" s="1">
        <v>45885</v>
      </c>
      <c r="D409" s="1" t="str">
        <f xml:space="preserve"> TEXT(FilmaxData[[#This Row],[Show_Date]],"MMM")</f>
        <v>Aug</v>
      </c>
      <c r="E409" s="1" t="str">
        <f xml:space="preserve"> TEXT(FilmaxData[[#This Row],[Show_Date]],"DDD")</f>
        <v>Sat</v>
      </c>
      <c r="F409" t="s">
        <v>33</v>
      </c>
      <c r="G409" t="s">
        <v>12</v>
      </c>
      <c r="H409">
        <v>5</v>
      </c>
      <c r="I409">
        <v>25</v>
      </c>
      <c r="J409" t="s">
        <v>21</v>
      </c>
      <c r="K409" t="s">
        <v>14</v>
      </c>
      <c r="L409">
        <v>125</v>
      </c>
    </row>
    <row r="410" spans="1:12" x14ac:dyDescent="0.3">
      <c r="A410">
        <v>397</v>
      </c>
      <c r="B410" t="s">
        <v>19</v>
      </c>
      <c r="C410" s="1">
        <v>45864</v>
      </c>
      <c r="D410" s="1" t="str">
        <f xml:space="preserve"> TEXT(FilmaxData[[#This Row],[Show_Date]],"MMM")</f>
        <v>Jul</v>
      </c>
      <c r="E410" s="1" t="str">
        <f xml:space="preserve"> TEXT(FilmaxData[[#This Row],[Show_Date]],"DDD")</f>
        <v>Sat</v>
      </c>
      <c r="F410" t="s">
        <v>16</v>
      </c>
      <c r="G410" t="s">
        <v>17</v>
      </c>
      <c r="H410">
        <v>5</v>
      </c>
      <c r="I410">
        <v>12</v>
      </c>
      <c r="J410" t="s">
        <v>23</v>
      </c>
      <c r="K410" t="s">
        <v>18</v>
      </c>
      <c r="L410">
        <v>60</v>
      </c>
    </row>
    <row r="411" spans="1:12" x14ac:dyDescent="0.3">
      <c r="A411">
        <v>168</v>
      </c>
      <c r="B411" t="s">
        <v>28</v>
      </c>
      <c r="C411" s="1">
        <v>45885</v>
      </c>
      <c r="D411" s="1" t="str">
        <f xml:space="preserve"> TEXT(FilmaxData[[#This Row],[Show_Date]],"MMM")</f>
        <v>Aug</v>
      </c>
      <c r="E411" s="1" t="str">
        <f xml:space="preserve"> TEXT(FilmaxData[[#This Row],[Show_Date]],"DDD")</f>
        <v>Sat</v>
      </c>
      <c r="F411" t="s">
        <v>11</v>
      </c>
      <c r="G411" t="s">
        <v>17</v>
      </c>
      <c r="H411">
        <v>3</v>
      </c>
      <c r="I411">
        <v>12</v>
      </c>
      <c r="J411" t="s">
        <v>13</v>
      </c>
      <c r="K411" t="s">
        <v>27</v>
      </c>
      <c r="L411">
        <v>36</v>
      </c>
    </row>
    <row r="412" spans="1:12" x14ac:dyDescent="0.3">
      <c r="A412">
        <v>1200</v>
      </c>
      <c r="B412" t="s">
        <v>15</v>
      </c>
      <c r="C412" s="1">
        <v>45862</v>
      </c>
      <c r="D412" s="1" t="str">
        <f xml:space="preserve"> TEXT(FilmaxData[[#This Row],[Show_Date]],"MMM")</f>
        <v>Jul</v>
      </c>
      <c r="E412" s="1" t="str">
        <f xml:space="preserve"> TEXT(FilmaxData[[#This Row],[Show_Date]],"DDD")</f>
        <v>Thu</v>
      </c>
      <c r="F412" t="s">
        <v>16</v>
      </c>
      <c r="G412" t="s">
        <v>17</v>
      </c>
      <c r="H412">
        <v>3</v>
      </c>
      <c r="I412">
        <v>12</v>
      </c>
      <c r="J412" t="s">
        <v>23</v>
      </c>
      <c r="K412" t="s">
        <v>18</v>
      </c>
      <c r="L412">
        <v>36</v>
      </c>
    </row>
    <row r="413" spans="1:12" x14ac:dyDescent="0.3">
      <c r="A413">
        <v>871</v>
      </c>
      <c r="B413" t="s">
        <v>15</v>
      </c>
      <c r="C413" s="1">
        <v>45911</v>
      </c>
      <c r="D413" s="1" t="str">
        <f xml:space="preserve"> TEXT(FilmaxData[[#This Row],[Show_Date]],"MMM")</f>
        <v>Sep</v>
      </c>
      <c r="E413" s="1" t="str">
        <f xml:space="preserve"> TEXT(FilmaxData[[#This Row],[Show_Date]],"DDD")</f>
        <v>Thu</v>
      </c>
      <c r="F413" t="s">
        <v>16</v>
      </c>
      <c r="G413" t="s">
        <v>22</v>
      </c>
      <c r="H413">
        <v>5</v>
      </c>
      <c r="I413">
        <v>20</v>
      </c>
      <c r="J413" t="s">
        <v>23</v>
      </c>
      <c r="K413" t="s">
        <v>27</v>
      </c>
      <c r="L413">
        <v>100</v>
      </c>
    </row>
    <row r="414" spans="1:12" x14ac:dyDescent="0.3">
      <c r="A414">
        <v>1102</v>
      </c>
      <c r="B414" t="s">
        <v>26</v>
      </c>
      <c r="C414" s="1">
        <v>45882</v>
      </c>
      <c r="D414" s="1" t="str">
        <f xml:space="preserve"> TEXT(FilmaxData[[#This Row],[Show_Date]],"MMM")</f>
        <v>Aug</v>
      </c>
      <c r="E414" s="1" t="str">
        <f xml:space="preserve"> TEXT(FilmaxData[[#This Row],[Show_Date]],"DDD")</f>
        <v>Wed</v>
      </c>
      <c r="F414" t="s">
        <v>16</v>
      </c>
      <c r="G414" t="s">
        <v>30</v>
      </c>
      <c r="H414">
        <v>2</v>
      </c>
      <c r="I414">
        <v>8</v>
      </c>
      <c r="J414" t="s">
        <v>23</v>
      </c>
      <c r="K414" t="s">
        <v>27</v>
      </c>
      <c r="L414">
        <v>16</v>
      </c>
    </row>
    <row r="415" spans="1:12" x14ac:dyDescent="0.3">
      <c r="A415">
        <v>1820</v>
      </c>
      <c r="B415" t="s">
        <v>32</v>
      </c>
      <c r="C415" s="1">
        <v>45878</v>
      </c>
      <c r="D415" s="1" t="str">
        <f xml:space="preserve"> TEXT(FilmaxData[[#This Row],[Show_Date]],"MMM")</f>
        <v>Aug</v>
      </c>
      <c r="E415" s="1" t="str">
        <f xml:space="preserve"> TEXT(FilmaxData[[#This Row],[Show_Date]],"DDD")</f>
        <v>Sat</v>
      </c>
      <c r="F415" t="s">
        <v>16</v>
      </c>
      <c r="G415" t="s">
        <v>17</v>
      </c>
      <c r="H415">
        <v>4</v>
      </c>
      <c r="I415">
        <v>12</v>
      </c>
      <c r="J415" t="s">
        <v>21</v>
      </c>
      <c r="K415" t="s">
        <v>14</v>
      </c>
      <c r="L415">
        <v>48</v>
      </c>
    </row>
    <row r="416" spans="1:12" x14ac:dyDescent="0.3">
      <c r="A416">
        <v>1148</v>
      </c>
      <c r="B416" t="s">
        <v>26</v>
      </c>
      <c r="C416" s="1">
        <v>45921</v>
      </c>
      <c r="D416" s="1" t="str">
        <f xml:space="preserve"> TEXT(FilmaxData[[#This Row],[Show_Date]],"MMM")</f>
        <v>Sep</v>
      </c>
      <c r="E416" s="1" t="str">
        <f xml:space="preserve"> TEXT(FilmaxData[[#This Row],[Show_Date]],"DDD")</f>
        <v>Sun</v>
      </c>
      <c r="F416" t="s">
        <v>16</v>
      </c>
      <c r="G416" t="s">
        <v>30</v>
      </c>
      <c r="H416">
        <v>5</v>
      </c>
      <c r="I416">
        <v>8</v>
      </c>
      <c r="J416" t="s">
        <v>13</v>
      </c>
      <c r="K416" t="s">
        <v>25</v>
      </c>
      <c r="L416">
        <v>40</v>
      </c>
    </row>
    <row r="417" spans="1:12" x14ac:dyDescent="0.3">
      <c r="A417">
        <v>1158</v>
      </c>
      <c r="B417" t="s">
        <v>24</v>
      </c>
      <c r="C417" s="1">
        <v>45913</v>
      </c>
      <c r="D417" s="1" t="str">
        <f xml:space="preserve"> TEXT(FilmaxData[[#This Row],[Show_Date]],"MMM")</f>
        <v>Sep</v>
      </c>
      <c r="E417" s="1" t="str">
        <f xml:space="preserve"> TEXT(FilmaxData[[#This Row],[Show_Date]],"DDD")</f>
        <v>Sat</v>
      </c>
      <c r="F417" t="s">
        <v>16</v>
      </c>
      <c r="G417" t="s">
        <v>17</v>
      </c>
      <c r="H417">
        <v>2</v>
      </c>
      <c r="I417">
        <v>12</v>
      </c>
      <c r="J417" t="s">
        <v>13</v>
      </c>
      <c r="K417" t="s">
        <v>27</v>
      </c>
      <c r="L417">
        <v>24</v>
      </c>
    </row>
    <row r="418" spans="1:12" x14ac:dyDescent="0.3">
      <c r="A418">
        <v>1547</v>
      </c>
      <c r="B418" t="s">
        <v>19</v>
      </c>
      <c r="C418" s="1">
        <v>45871</v>
      </c>
      <c r="D418" s="1" t="str">
        <f xml:space="preserve"> TEXT(FilmaxData[[#This Row],[Show_Date]],"MMM")</f>
        <v>Aug</v>
      </c>
      <c r="E418" s="1" t="str">
        <f xml:space="preserve"> TEXT(FilmaxData[[#This Row],[Show_Date]],"DDD")</f>
        <v>Sat</v>
      </c>
      <c r="F418" t="s">
        <v>16</v>
      </c>
      <c r="G418" t="s">
        <v>17</v>
      </c>
      <c r="H418">
        <v>2</v>
      </c>
      <c r="I418">
        <v>12</v>
      </c>
      <c r="J418" t="s">
        <v>21</v>
      </c>
      <c r="K418" t="s">
        <v>14</v>
      </c>
      <c r="L418">
        <v>24</v>
      </c>
    </row>
    <row r="419" spans="1:12" x14ac:dyDescent="0.3">
      <c r="A419">
        <v>1325</v>
      </c>
      <c r="B419" t="s">
        <v>15</v>
      </c>
      <c r="C419" s="1">
        <v>45900</v>
      </c>
      <c r="D419" s="1" t="str">
        <f xml:space="preserve"> TEXT(FilmaxData[[#This Row],[Show_Date]],"MMM")</f>
        <v>Aug</v>
      </c>
      <c r="E419" s="1" t="str">
        <f xml:space="preserve"> TEXT(FilmaxData[[#This Row],[Show_Date]],"DDD")</f>
        <v>Sun</v>
      </c>
      <c r="F419" t="s">
        <v>16</v>
      </c>
      <c r="G419" t="s">
        <v>30</v>
      </c>
      <c r="H419">
        <v>2</v>
      </c>
      <c r="I419">
        <v>8</v>
      </c>
      <c r="J419" t="s">
        <v>13</v>
      </c>
      <c r="K419" t="s">
        <v>14</v>
      </c>
      <c r="L419">
        <v>16</v>
      </c>
    </row>
    <row r="420" spans="1:12" x14ac:dyDescent="0.3">
      <c r="A420">
        <v>876</v>
      </c>
      <c r="B420" t="s">
        <v>32</v>
      </c>
      <c r="C420" s="1">
        <v>45908</v>
      </c>
      <c r="D420" s="1" t="str">
        <f xml:space="preserve"> TEXT(FilmaxData[[#This Row],[Show_Date]],"MMM")</f>
        <v>Sep</v>
      </c>
      <c r="E420" s="1" t="str">
        <f xml:space="preserve"> TEXT(FilmaxData[[#This Row],[Show_Date]],"DDD")</f>
        <v>Mon</v>
      </c>
      <c r="F420" t="s">
        <v>16</v>
      </c>
      <c r="G420" t="s">
        <v>17</v>
      </c>
      <c r="H420">
        <v>5</v>
      </c>
      <c r="I420">
        <v>12</v>
      </c>
      <c r="J420" t="s">
        <v>21</v>
      </c>
      <c r="K420" t="s">
        <v>25</v>
      </c>
      <c r="L420">
        <v>60</v>
      </c>
    </row>
    <row r="421" spans="1:12" x14ac:dyDescent="0.3">
      <c r="A421">
        <v>64</v>
      </c>
      <c r="B421" t="s">
        <v>24</v>
      </c>
      <c r="C421" s="1">
        <v>45919</v>
      </c>
      <c r="D421" s="1" t="str">
        <f xml:space="preserve"> TEXT(FilmaxData[[#This Row],[Show_Date]],"MMM")</f>
        <v>Sep</v>
      </c>
      <c r="E421" s="1" t="str">
        <f xml:space="preserve"> TEXT(FilmaxData[[#This Row],[Show_Date]],"DDD")</f>
        <v>Fri</v>
      </c>
      <c r="F421" t="s">
        <v>16</v>
      </c>
      <c r="G421" t="s">
        <v>17</v>
      </c>
      <c r="H421">
        <v>5</v>
      </c>
      <c r="I421">
        <v>12</v>
      </c>
      <c r="J421" t="s">
        <v>23</v>
      </c>
      <c r="K421" t="s">
        <v>14</v>
      </c>
      <c r="L421">
        <v>60</v>
      </c>
    </row>
    <row r="422" spans="1:12" x14ac:dyDescent="0.3">
      <c r="A422">
        <v>1077</v>
      </c>
      <c r="B422" t="s">
        <v>10</v>
      </c>
      <c r="C422" s="1">
        <v>45843</v>
      </c>
      <c r="D422" s="1" t="str">
        <f xml:space="preserve"> TEXT(FilmaxData[[#This Row],[Show_Date]],"MMM")</f>
        <v>Jul</v>
      </c>
      <c r="E422" s="1" t="str">
        <f xml:space="preserve"> TEXT(FilmaxData[[#This Row],[Show_Date]],"DDD")</f>
        <v>Sat</v>
      </c>
      <c r="F422" t="s">
        <v>16</v>
      </c>
      <c r="G422" t="s">
        <v>29</v>
      </c>
      <c r="H422">
        <v>5</v>
      </c>
      <c r="I422">
        <v>30</v>
      </c>
      <c r="J422" t="s">
        <v>21</v>
      </c>
      <c r="K422" t="s">
        <v>14</v>
      </c>
      <c r="L422">
        <v>150</v>
      </c>
    </row>
    <row r="423" spans="1:12" x14ac:dyDescent="0.3">
      <c r="A423">
        <v>1859</v>
      </c>
      <c r="B423" t="s">
        <v>28</v>
      </c>
      <c r="C423" s="1">
        <v>45893</v>
      </c>
      <c r="D423" s="1" t="str">
        <f xml:space="preserve"> TEXT(FilmaxData[[#This Row],[Show_Date]],"MMM")</f>
        <v>Aug</v>
      </c>
      <c r="E423" s="1" t="str">
        <f xml:space="preserve"> TEXT(FilmaxData[[#This Row],[Show_Date]],"DDD")</f>
        <v>Sun</v>
      </c>
      <c r="F423" t="s">
        <v>16</v>
      </c>
      <c r="G423" t="s">
        <v>17</v>
      </c>
      <c r="H423">
        <v>3</v>
      </c>
      <c r="I423">
        <v>12</v>
      </c>
      <c r="J423" t="s">
        <v>23</v>
      </c>
      <c r="K423" t="s">
        <v>25</v>
      </c>
      <c r="L423">
        <v>36</v>
      </c>
    </row>
    <row r="424" spans="1:12" x14ac:dyDescent="0.3">
      <c r="A424">
        <v>943</v>
      </c>
      <c r="B424" t="s">
        <v>19</v>
      </c>
      <c r="C424" s="1">
        <v>45844</v>
      </c>
      <c r="D424" s="1" t="str">
        <f xml:space="preserve"> TEXT(FilmaxData[[#This Row],[Show_Date]],"MMM")</f>
        <v>Jul</v>
      </c>
      <c r="E424" s="1" t="str">
        <f xml:space="preserve"> TEXT(FilmaxData[[#This Row],[Show_Date]],"DDD")</f>
        <v>Sun</v>
      </c>
      <c r="F424" t="s">
        <v>16</v>
      </c>
      <c r="G424" t="s">
        <v>17</v>
      </c>
      <c r="H424">
        <v>2</v>
      </c>
      <c r="I424">
        <v>12</v>
      </c>
      <c r="J424" t="s">
        <v>21</v>
      </c>
      <c r="K424" t="s">
        <v>18</v>
      </c>
      <c r="L424">
        <v>24</v>
      </c>
    </row>
    <row r="425" spans="1:12" x14ac:dyDescent="0.3">
      <c r="A425">
        <v>773</v>
      </c>
      <c r="B425" t="s">
        <v>24</v>
      </c>
      <c r="C425" s="1">
        <v>45858</v>
      </c>
      <c r="D425" s="1" t="str">
        <f xml:space="preserve"> TEXT(FilmaxData[[#This Row],[Show_Date]],"MMM")</f>
        <v>Jul</v>
      </c>
      <c r="E425" s="1" t="str">
        <f xml:space="preserve"> TEXT(FilmaxData[[#This Row],[Show_Date]],"DDD")</f>
        <v>Sun</v>
      </c>
      <c r="F425" t="s">
        <v>16</v>
      </c>
      <c r="G425" t="s">
        <v>22</v>
      </c>
      <c r="H425">
        <v>1</v>
      </c>
      <c r="I425">
        <v>20</v>
      </c>
      <c r="J425" t="s">
        <v>23</v>
      </c>
      <c r="K425" t="s">
        <v>18</v>
      </c>
      <c r="L425">
        <v>20</v>
      </c>
    </row>
    <row r="426" spans="1:12" x14ac:dyDescent="0.3">
      <c r="A426">
        <v>679</v>
      </c>
      <c r="B426" t="s">
        <v>26</v>
      </c>
      <c r="C426" s="1">
        <v>45858</v>
      </c>
      <c r="D426" s="1" t="str">
        <f xml:space="preserve"> TEXT(FilmaxData[[#This Row],[Show_Date]],"MMM")</f>
        <v>Jul</v>
      </c>
      <c r="E426" s="1" t="str">
        <f xml:space="preserve"> TEXT(FilmaxData[[#This Row],[Show_Date]],"DDD")</f>
        <v>Sun</v>
      </c>
      <c r="F426" t="s">
        <v>16</v>
      </c>
      <c r="G426" t="s">
        <v>17</v>
      </c>
      <c r="H426">
        <v>5</v>
      </c>
      <c r="I426">
        <v>12</v>
      </c>
      <c r="J426" t="s">
        <v>21</v>
      </c>
      <c r="K426" t="s">
        <v>14</v>
      </c>
      <c r="L426">
        <v>60</v>
      </c>
    </row>
    <row r="427" spans="1:12" x14ac:dyDescent="0.3">
      <c r="A427">
        <v>1143</v>
      </c>
      <c r="B427" t="s">
        <v>19</v>
      </c>
      <c r="C427" s="1">
        <v>45914</v>
      </c>
      <c r="D427" s="1" t="str">
        <f xml:space="preserve"> TEXT(FilmaxData[[#This Row],[Show_Date]],"MMM")</f>
        <v>Sep</v>
      </c>
      <c r="E427" s="1" t="str">
        <f xml:space="preserve"> TEXT(FilmaxData[[#This Row],[Show_Date]],"DDD")</f>
        <v>Sun</v>
      </c>
      <c r="F427" t="s">
        <v>16</v>
      </c>
      <c r="G427" t="s">
        <v>12</v>
      </c>
      <c r="H427">
        <v>3</v>
      </c>
      <c r="I427">
        <v>25</v>
      </c>
      <c r="J427" t="s">
        <v>13</v>
      </c>
      <c r="K427" t="s">
        <v>27</v>
      </c>
      <c r="L427">
        <v>75</v>
      </c>
    </row>
    <row r="428" spans="1:12" x14ac:dyDescent="0.3">
      <c r="A428">
        <v>1452</v>
      </c>
      <c r="B428" t="s">
        <v>15</v>
      </c>
      <c r="C428" s="1">
        <v>45850</v>
      </c>
      <c r="D428" s="1" t="str">
        <f xml:space="preserve"> TEXT(FilmaxData[[#This Row],[Show_Date]],"MMM")</f>
        <v>Jul</v>
      </c>
      <c r="E428" s="1" t="str">
        <f xml:space="preserve"> TEXT(FilmaxData[[#This Row],[Show_Date]],"DDD")</f>
        <v>Sat</v>
      </c>
      <c r="F428" t="s">
        <v>16</v>
      </c>
      <c r="G428" t="s">
        <v>30</v>
      </c>
      <c r="H428">
        <v>5</v>
      </c>
      <c r="I428">
        <v>8</v>
      </c>
      <c r="J428" t="s">
        <v>21</v>
      </c>
      <c r="K428" t="s">
        <v>14</v>
      </c>
      <c r="L428">
        <v>40</v>
      </c>
    </row>
    <row r="429" spans="1:12" x14ac:dyDescent="0.3">
      <c r="A429">
        <v>932</v>
      </c>
      <c r="B429" t="s">
        <v>31</v>
      </c>
      <c r="C429" s="1">
        <v>45878</v>
      </c>
      <c r="D429" s="1" t="str">
        <f xml:space="preserve"> TEXT(FilmaxData[[#This Row],[Show_Date]],"MMM")</f>
        <v>Aug</v>
      </c>
      <c r="E429" s="1" t="str">
        <f xml:space="preserve"> TEXT(FilmaxData[[#This Row],[Show_Date]],"DDD")</f>
        <v>Sat</v>
      </c>
      <c r="F429" t="s">
        <v>16</v>
      </c>
      <c r="G429" t="s">
        <v>30</v>
      </c>
      <c r="H429">
        <v>2</v>
      </c>
      <c r="I429">
        <v>8</v>
      </c>
      <c r="J429" t="s">
        <v>13</v>
      </c>
      <c r="K429" t="s">
        <v>27</v>
      </c>
      <c r="L429">
        <v>16</v>
      </c>
    </row>
    <row r="430" spans="1:12" x14ac:dyDescent="0.3">
      <c r="A430">
        <v>1037</v>
      </c>
      <c r="B430" t="s">
        <v>19</v>
      </c>
      <c r="C430" s="1">
        <v>45864</v>
      </c>
      <c r="D430" s="1" t="str">
        <f xml:space="preserve"> TEXT(FilmaxData[[#This Row],[Show_Date]],"MMM")</f>
        <v>Jul</v>
      </c>
      <c r="E430" s="1" t="str">
        <f xml:space="preserve"> TEXT(FilmaxData[[#This Row],[Show_Date]],"DDD")</f>
        <v>Sat</v>
      </c>
      <c r="F430" t="s">
        <v>16</v>
      </c>
      <c r="G430" t="s">
        <v>17</v>
      </c>
      <c r="H430">
        <v>3</v>
      </c>
      <c r="I430">
        <v>12</v>
      </c>
      <c r="J430" t="s">
        <v>21</v>
      </c>
      <c r="K430" t="s">
        <v>27</v>
      </c>
      <c r="L430">
        <v>36</v>
      </c>
    </row>
    <row r="431" spans="1:12" x14ac:dyDescent="0.3">
      <c r="A431">
        <v>1905</v>
      </c>
      <c r="B431" t="s">
        <v>28</v>
      </c>
      <c r="C431" s="1">
        <v>45872</v>
      </c>
      <c r="D431" s="1" t="str">
        <f xml:space="preserve"> TEXT(FilmaxData[[#This Row],[Show_Date]],"MMM")</f>
        <v>Aug</v>
      </c>
      <c r="E431" s="1" t="str">
        <f xml:space="preserve"> TEXT(FilmaxData[[#This Row],[Show_Date]],"DDD")</f>
        <v>Sun</v>
      </c>
      <c r="F431" t="s">
        <v>16</v>
      </c>
      <c r="G431" t="s">
        <v>22</v>
      </c>
      <c r="H431">
        <v>2</v>
      </c>
      <c r="I431">
        <v>20</v>
      </c>
      <c r="J431" t="s">
        <v>21</v>
      </c>
      <c r="K431" t="s">
        <v>27</v>
      </c>
      <c r="L431">
        <v>40</v>
      </c>
    </row>
    <row r="432" spans="1:12" x14ac:dyDescent="0.3">
      <c r="A432">
        <v>380</v>
      </c>
      <c r="B432" t="s">
        <v>24</v>
      </c>
      <c r="C432" s="1">
        <v>45894</v>
      </c>
      <c r="D432" s="1" t="str">
        <f xml:space="preserve"> TEXT(FilmaxData[[#This Row],[Show_Date]],"MMM")</f>
        <v>Aug</v>
      </c>
      <c r="E432" s="1" t="str">
        <f xml:space="preserve"> TEXT(FilmaxData[[#This Row],[Show_Date]],"DDD")</f>
        <v>Mon</v>
      </c>
      <c r="F432" t="s">
        <v>16</v>
      </c>
      <c r="G432" t="s">
        <v>30</v>
      </c>
      <c r="H432">
        <v>5</v>
      </c>
      <c r="I432">
        <v>8</v>
      </c>
      <c r="J432" t="s">
        <v>21</v>
      </c>
      <c r="K432" t="s">
        <v>25</v>
      </c>
      <c r="L432">
        <v>40</v>
      </c>
    </row>
    <row r="433" spans="1:12" x14ac:dyDescent="0.3">
      <c r="A433">
        <v>1868</v>
      </c>
      <c r="B433" t="s">
        <v>15</v>
      </c>
      <c r="C433" s="1">
        <v>45864</v>
      </c>
      <c r="D433" s="1" t="str">
        <f xml:space="preserve"> TEXT(FilmaxData[[#This Row],[Show_Date]],"MMM")</f>
        <v>Jul</v>
      </c>
      <c r="E433" s="1" t="str">
        <f xml:space="preserve"> TEXT(FilmaxData[[#This Row],[Show_Date]],"DDD")</f>
        <v>Sat</v>
      </c>
      <c r="F433" t="s">
        <v>16</v>
      </c>
      <c r="G433" t="s">
        <v>30</v>
      </c>
      <c r="H433">
        <v>1</v>
      </c>
      <c r="I433">
        <v>8</v>
      </c>
      <c r="J433" t="s">
        <v>21</v>
      </c>
      <c r="K433" t="s">
        <v>18</v>
      </c>
      <c r="L433">
        <v>8</v>
      </c>
    </row>
    <row r="434" spans="1:12" x14ac:dyDescent="0.3">
      <c r="A434">
        <v>1132</v>
      </c>
      <c r="B434" t="s">
        <v>26</v>
      </c>
      <c r="C434" s="1">
        <v>45857</v>
      </c>
      <c r="D434" s="1" t="str">
        <f xml:space="preserve"> TEXT(FilmaxData[[#This Row],[Show_Date]],"MMM")</f>
        <v>Jul</v>
      </c>
      <c r="E434" s="1" t="str">
        <f xml:space="preserve"> TEXT(FilmaxData[[#This Row],[Show_Date]],"DDD")</f>
        <v>Sat</v>
      </c>
      <c r="F434" t="s">
        <v>16</v>
      </c>
      <c r="G434" t="s">
        <v>22</v>
      </c>
      <c r="H434">
        <v>2</v>
      </c>
      <c r="I434">
        <v>20</v>
      </c>
      <c r="J434" t="s">
        <v>21</v>
      </c>
      <c r="K434" t="s">
        <v>18</v>
      </c>
      <c r="L434">
        <v>40</v>
      </c>
    </row>
    <row r="435" spans="1:12" x14ac:dyDescent="0.3">
      <c r="A435">
        <v>287</v>
      </c>
      <c r="B435" t="s">
        <v>24</v>
      </c>
      <c r="C435" s="1">
        <v>45860</v>
      </c>
      <c r="D435" s="1" t="str">
        <f xml:space="preserve"> TEXT(FilmaxData[[#This Row],[Show_Date]],"MMM")</f>
        <v>Jul</v>
      </c>
      <c r="E435" s="1" t="str">
        <f xml:space="preserve"> TEXT(FilmaxData[[#This Row],[Show_Date]],"DDD")</f>
        <v>Tue</v>
      </c>
      <c r="F435" t="s">
        <v>16</v>
      </c>
      <c r="G435" t="s">
        <v>29</v>
      </c>
      <c r="H435">
        <v>4</v>
      </c>
      <c r="I435">
        <v>30</v>
      </c>
      <c r="J435" t="s">
        <v>23</v>
      </c>
      <c r="K435" t="s">
        <v>14</v>
      </c>
      <c r="L435">
        <v>120</v>
      </c>
    </row>
    <row r="436" spans="1:12" x14ac:dyDescent="0.3">
      <c r="A436">
        <v>1229</v>
      </c>
      <c r="B436" t="s">
        <v>10</v>
      </c>
      <c r="C436" s="1">
        <v>45912</v>
      </c>
      <c r="D436" s="1" t="str">
        <f xml:space="preserve"> TEXT(FilmaxData[[#This Row],[Show_Date]],"MMM")</f>
        <v>Sep</v>
      </c>
      <c r="E436" s="1" t="str">
        <f xml:space="preserve"> TEXT(FilmaxData[[#This Row],[Show_Date]],"DDD")</f>
        <v>Fri</v>
      </c>
      <c r="F436" t="s">
        <v>16</v>
      </c>
      <c r="G436" t="s">
        <v>17</v>
      </c>
      <c r="H436">
        <v>3</v>
      </c>
      <c r="I436">
        <v>12</v>
      </c>
      <c r="J436" t="s">
        <v>21</v>
      </c>
      <c r="K436" t="s">
        <v>27</v>
      </c>
      <c r="L436">
        <v>36</v>
      </c>
    </row>
    <row r="437" spans="1:12" x14ac:dyDescent="0.3">
      <c r="A437">
        <v>894</v>
      </c>
      <c r="B437" t="s">
        <v>15</v>
      </c>
      <c r="C437" s="1">
        <v>45855</v>
      </c>
      <c r="D437" s="1" t="str">
        <f xml:space="preserve"> TEXT(FilmaxData[[#This Row],[Show_Date]],"MMM")</f>
        <v>Jul</v>
      </c>
      <c r="E437" s="1" t="str">
        <f xml:space="preserve"> TEXT(FilmaxData[[#This Row],[Show_Date]],"DDD")</f>
        <v>Thu</v>
      </c>
      <c r="F437" t="s">
        <v>16</v>
      </c>
      <c r="G437" t="s">
        <v>30</v>
      </c>
      <c r="H437">
        <v>4</v>
      </c>
      <c r="I437">
        <v>8</v>
      </c>
      <c r="J437" t="s">
        <v>23</v>
      </c>
      <c r="K437" t="s">
        <v>27</v>
      </c>
      <c r="L437">
        <v>32</v>
      </c>
    </row>
    <row r="438" spans="1:12" x14ac:dyDescent="0.3">
      <c r="A438">
        <v>1614</v>
      </c>
      <c r="B438" t="s">
        <v>24</v>
      </c>
      <c r="C438" s="1">
        <v>45928</v>
      </c>
      <c r="D438" s="1" t="str">
        <f xml:space="preserve"> TEXT(FilmaxData[[#This Row],[Show_Date]],"MMM")</f>
        <v>Sep</v>
      </c>
      <c r="E438" s="1" t="str">
        <f xml:space="preserve"> TEXT(FilmaxData[[#This Row],[Show_Date]],"DDD")</f>
        <v>Sun</v>
      </c>
      <c r="F438" t="s">
        <v>11</v>
      </c>
      <c r="G438" t="s">
        <v>30</v>
      </c>
      <c r="H438">
        <v>1</v>
      </c>
      <c r="I438">
        <v>8</v>
      </c>
      <c r="J438" t="s">
        <v>21</v>
      </c>
      <c r="K438" t="s">
        <v>27</v>
      </c>
      <c r="L438">
        <v>8</v>
      </c>
    </row>
    <row r="439" spans="1:12" x14ac:dyDescent="0.3">
      <c r="A439">
        <v>1554</v>
      </c>
      <c r="B439" t="s">
        <v>31</v>
      </c>
      <c r="C439" s="1">
        <v>45886</v>
      </c>
      <c r="D439" s="1" t="str">
        <f xml:space="preserve"> TEXT(FilmaxData[[#This Row],[Show_Date]],"MMM")</f>
        <v>Aug</v>
      </c>
      <c r="E439" s="1" t="str">
        <f xml:space="preserve"> TEXT(FilmaxData[[#This Row],[Show_Date]],"DDD")</f>
        <v>Sun</v>
      </c>
      <c r="F439" t="s">
        <v>20</v>
      </c>
      <c r="G439" t="s">
        <v>12</v>
      </c>
      <c r="H439">
        <v>2</v>
      </c>
      <c r="I439">
        <v>25</v>
      </c>
      <c r="J439" t="s">
        <v>21</v>
      </c>
      <c r="K439" t="s">
        <v>25</v>
      </c>
      <c r="L439">
        <v>50</v>
      </c>
    </row>
    <row r="440" spans="1:12" x14ac:dyDescent="0.3">
      <c r="A440">
        <v>1013</v>
      </c>
      <c r="B440" t="s">
        <v>10</v>
      </c>
      <c r="C440" s="1">
        <v>45887</v>
      </c>
      <c r="D440" s="1" t="str">
        <f xml:space="preserve"> TEXT(FilmaxData[[#This Row],[Show_Date]],"MMM")</f>
        <v>Aug</v>
      </c>
      <c r="E440" s="1" t="str">
        <f xml:space="preserve"> TEXT(FilmaxData[[#This Row],[Show_Date]],"DDD")</f>
        <v>Mon</v>
      </c>
      <c r="F440" t="s">
        <v>33</v>
      </c>
      <c r="G440" t="s">
        <v>17</v>
      </c>
      <c r="H440">
        <v>2</v>
      </c>
      <c r="I440">
        <v>12</v>
      </c>
      <c r="J440" t="s">
        <v>13</v>
      </c>
      <c r="K440" t="s">
        <v>14</v>
      </c>
      <c r="L440">
        <v>24</v>
      </c>
    </row>
    <row r="441" spans="1:12" x14ac:dyDescent="0.3">
      <c r="A441">
        <v>1533</v>
      </c>
      <c r="B441" t="s">
        <v>10</v>
      </c>
      <c r="C441" s="1">
        <v>45902</v>
      </c>
      <c r="D441" s="1" t="str">
        <f xml:space="preserve"> TEXT(FilmaxData[[#This Row],[Show_Date]],"MMM")</f>
        <v>Sep</v>
      </c>
      <c r="E441" s="1" t="str">
        <f xml:space="preserve"> TEXT(FilmaxData[[#This Row],[Show_Date]],"DDD")</f>
        <v>Tue</v>
      </c>
      <c r="F441" t="s">
        <v>16</v>
      </c>
      <c r="G441" t="s">
        <v>17</v>
      </c>
      <c r="H441">
        <v>1</v>
      </c>
      <c r="I441">
        <v>12</v>
      </c>
      <c r="J441" t="s">
        <v>23</v>
      </c>
      <c r="K441" t="s">
        <v>25</v>
      </c>
      <c r="L441">
        <v>12</v>
      </c>
    </row>
    <row r="442" spans="1:12" x14ac:dyDescent="0.3">
      <c r="A442">
        <v>746</v>
      </c>
      <c r="B442" t="s">
        <v>10</v>
      </c>
      <c r="C442" s="1">
        <v>45893</v>
      </c>
      <c r="D442" s="1" t="str">
        <f xml:space="preserve"> TEXT(FilmaxData[[#This Row],[Show_Date]],"MMM")</f>
        <v>Aug</v>
      </c>
      <c r="E442" s="1" t="str">
        <f xml:space="preserve"> TEXT(FilmaxData[[#This Row],[Show_Date]],"DDD")</f>
        <v>Sun</v>
      </c>
      <c r="F442" t="s">
        <v>20</v>
      </c>
      <c r="G442" t="s">
        <v>30</v>
      </c>
      <c r="H442">
        <v>5</v>
      </c>
      <c r="I442">
        <v>8</v>
      </c>
      <c r="J442" t="s">
        <v>21</v>
      </c>
      <c r="K442" t="s">
        <v>14</v>
      </c>
      <c r="L442">
        <v>40</v>
      </c>
    </row>
    <row r="443" spans="1:12" x14ac:dyDescent="0.3">
      <c r="A443">
        <v>718</v>
      </c>
      <c r="B443" t="s">
        <v>10</v>
      </c>
      <c r="C443" s="1">
        <v>45854</v>
      </c>
      <c r="D443" s="1" t="str">
        <f xml:space="preserve"> TEXT(FilmaxData[[#This Row],[Show_Date]],"MMM")</f>
        <v>Jul</v>
      </c>
      <c r="E443" s="1" t="str">
        <f xml:space="preserve"> TEXT(FilmaxData[[#This Row],[Show_Date]],"DDD")</f>
        <v>Wed</v>
      </c>
      <c r="F443" t="s">
        <v>11</v>
      </c>
      <c r="G443" t="s">
        <v>29</v>
      </c>
      <c r="H443">
        <v>1</v>
      </c>
      <c r="I443">
        <v>30</v>
      </c>
      <c r="J443" t="s">
        <v>23</v>
      </c>
      <c r="K443" t="s">
        <v>27</v>
      </c>
      <c r="L443">
        <v>30</v>
      </c>
    </row>
    <row r="444" spans="1:12" x14ac:dyDescent="0.3">
      <c r="A444">
        <v>1124</v>
      </c>
      <c r="B444" t="s">
        <v>10</v>
      </c>
      <c r="C444" s="1">
        <v>45879</v>
      </c>
      <c r="D444" s="1" t="str">
        <f xml:space="preserve"> TEXT(FilmaxData[[#This Row],[Show_Date]],"MMM")</f>
        <v>Aug</v>
      </c>
      <c r="E444" s="1" t="str">
        <f xml:space="preserve"> TEXT(FilmaxData[[#This Row],[Show_Date]],"DDD")</f>
        <v>Sun</v>
      </c>
      <c r="F444" t="s">
        <v>11</v>
      </c>
      <c r="G444" t="s">
        <v>17</v>
      </c>
      <c r="H444">
        <v>5</v>
      </c>
      <c r="I444">
        <v>12</v>
      </c>
      <c r="J444" t="s">
        <v>13</v>
      </c>
      <c r="K444" t="s">
        <v>25</v>
      </c>
      <c r="L444">
        <v>60</v>
      </c>
    </row>
    <row r="445" spans="1:12" x14ac:dyDescent="0.3">
      <c r="A445">
        <v>650</v>
      </c>
      <c r="B445" t="s">
        <v>10</v>
      </c>
      <c r="C445" s="1">
        <v>45892</v>
      </c>
      <c r="D445" s="1" t="str">
        <f xml:space="preserve"> TEXT(FilmaxData[[#This Row],[Show_Date]],"MMM")</f>
        <v>Aug</v>
      </c>
      <c r="E445" s="1" t="str">
        <f xml:space="preserve"> TEXT(FilmaxData[[#This Row],[Show_Date]],"DDD")</f>
        <v>Sat</v>
      </c>
      <c r="F445" t="s">
        <v>20</v>
      </c>
      <c r="G445" t="s">
        <v>17</v>
      </c>
      <c r="H445">
        <v>4</v>
      </c>
      <c r="I445">
        <v>12</v>
      </c>
      <c r="J445" t="s">
        <v>21</v>
      </c>
      <c r="K445" t="s">
        <v>27</v>
      </c>
      <c r="L445">
        <v>48</v>
      </c>
    </row>
    <row r="446" spans="1:12" x14ac:dyDescent="0.3">
      <c r="A446">
        <v>846</v>
      </c>
      <c r="B446" t="s">
        <v>10</v>
      </c>
      <c r="C446" s="1">
        <v>45889</v>
      </c>
      <c r="D446" s="1" t="str">
        <f xml:space="preserve"> TEXT(FilmaxData[[#This Row],[Show_Date]],"MMM")</f>
        <v>Aug</v>
      </c>
      <c r="E446" s="1" t="str">
        <f xml:space="preserve"> TEXT(FilmaxData[[#This Row],[Show_Date]],"DDD")</f>
        <v>Wed</v>
      </c>
      <c r="F446" t="s">
        <v>16</v>
      </c>
      <c r="G446" t="s">
        <v>17</v>
      </c>
      <c r="H446">
        <v>2</v>
      </c>
      <c r="I446">
        <v>12</v>
      </c>
      <c r="J446" t="s">
        <v>13</v>
      </c>
      <c r="K446" t="s">
        <v>25</v>
      </c>
      <c r="L446">
        <v>24</v>
      </c>
    </row>
    <row r="447" spans="1:12" x14ac:dyDescent="0.3">
      <c r="A447">
        <v>1236</v>
      </c>
      <c r="B447" t="s">
        <v>10</v>
      </c>
      <c r="C447" s="1">
        <v>45866</v>
      </c>
      <c r="D447" s="1" t="str">
        <f xml:space="preserve"> TEXT(FilmaxData[[#This Row],[Show_Date]],"MMM")</f>
        <v>Jul</v>
      </c>
      <c r="E447" s="1" t="str">
        <f xml:space="preserve"> TEXT(FilmaxData[[#This Row],[Show_Date]],"DDD")</f>
        <v>Mon</v>
      </c>
      <c r="F447" t="s">
        <v>20</v>
      </c>
      <c r="G447" t="s">
        <v>17</v>
      </c>
      <c r="H447">
        <v>4</v>
      </c>
      <c r="I447">
        <v>12</v>
      </c>
      <c r="J447" t="s">
        <v>23</v>
      </c>
      <c r="K447" t="s">
        <v>27</v>
      </c>
      <c r="L447">
        <v>48</v>
      </c>
    </row>
    <row r="448" spans="1:12" x14ac:dyDescent="0.3">
      <c r="A448">
        <v>476</v>
      </c>
      <c r="B448" t="s">
        <v>10</v>
      </c>
      <c r="C448" s="1">
        <v>45899</v>
      </c>
      <c r="D448" s="1" t="str">
        <f xml:space="preserve"> TEXT(FilmaxData[[#This Row],[Show_Date]],"MMM")</f>
        <v>Aug</v>
      </c>
      <c r="E448" s="1" t="str">
        <f xml:space="preserve"> TEXT(FilmaxData[[#This Row],[Show_Date]],"DDD")</f>
        <v>Sat</v>
      </c>
      <c r="F448" t="s">
        <v>11</v>
      </c>
      <c r="G448" t="s">
        <v>22</v>
      </c>
      <c r="H448">
        <v>4</v>
      </c>
      <c r="I448">
        <v>20</v>
      </c>
      <c r="J448" t="s">
        <v>21</v>
      </c>
      <c r="K448" t="s">
        <v>27</v>
      </c>
      <c r="L448">
        <v>80</v>
      </c>
    </row>
    <row r="449" spans="1:12" x14ac:dyDescent="0.3">
      <c r="A449">
        <v>100</v>
      </c>
      <c r="B449" t="s">
        <v>10</v>
      </c>
      <c r="C449" s="1">
        <v>45874</v>
      </c>
      <c r="D449" s="1" t="str">
        <f xml:space="preserve"> TEXT(FilmaxData[[#This Row],[Show_Date]],"MMM")</f>
        <v>Aug</v>
      </c>
      <c r="E449" s="1" t="str">
        <f xml:space="preserve"> TEXT(FilmaxData[[#This Row],[Show_Date]],"DDD")</f>
        <v>Tue</v>
      </c>
      <c r="F449" t="s">
        <v>11</v>
      </c>
      <c r="G449" t="s">
        <v>17</v>
      </c>
      <c r="H449">
        <v>2</v>
      </c>
      <c r="I449">
        <v>12</v>
      </c>
      <c r="J449" t="s">
        <v>21</v>
      </c>
      <c r="K449" t="s">
        <v>27</v>
      </c>
      <c r="L449">
        <v>24</v>
      </c>
    </row>
    <row r="450" spans="1:12" x14ac:dyDescent="0.3">
      <c r="A450">
        <v>644</v>
      </c>
      <c r="B450" t="s">
        <v>24</v>
      </c>
      <c r="C450" s="1">
        <v>45889</v>
      </c>
      <c r="D450" s="1" t="str">
        <f xml:space="preserve"> TEXT(FilmaxData[[#This Row],[Show_Date]],"MMM")</f>
        <v>Aug</v>
      </c>
      <c r="E450" s="1" t="str">
        <f xml:space="preserve"> TEXT(FilmaxData[[#This Row],[Show_Date]],"DDD")</f>
        <v>Wed</v>
      </c>
      <c r="F450" t="s">
        <v>11</v>
      </c>
      <c r="G450" t="s">
        <v>12</v>
      </c>
      <c r="H450">
        <v>5</v>
      </c>
      <c r="I450">
        <v>25</v>
      </c>
      <c r="J450" t="s">
        <v>23</v>
      </c>
      <c r="K450" t="s">
        <v>27</v>
      </c>
      <c r="L450">
        <v>125</v>
      </c>
    </row>
    <row r="451" spans="1:12" x14ac:dyDescent="0.3">
      <c r="A451">
        <v>873</v>
      </c>
      <c r="B451" t="s">
        <v>26</v>
      </c>
      <c r="C451" s="1">
        <v>45839</v>
      </c>
      <c r="D451" s="1" t="str">
        <f xml:space="preserve"> TEXT(FilmaxData[[#This Row],[Show_Date]],"MMM")</f>
        <v>Jul</v>
      </c>
      <c r="E451" s="1" t="str">
        <f xml:space="preserve"> TEXT(FilmaxData[[#This Row],[Show_Date]],"DDD")</f>
        <v>Tue</v>
      </c>
      <c r="F451" t="s">
        <v>11</v>
      </c>
      <c r="G451" t="s">
        <v>22</v>
      </c>
      <c r="H451">
        <v>5</v>
      </c>
      <c r="I451">
        <v>20</v>
      </c>
      <c r="J451" t="s">
        <v>13</v>
      </c>
      <c r="K451" t="s">
        <v>18</v>
      </c>
      <c r="L451">
        <v>100</v>
      </c>
    </row>
    <row r="452" spans="1:12" x14ac:dyDescent="0.3">
      <c r="A452">
        <v>1986</v>
      </c>
      <c r="B452" t="s">
        <v>10</v>
      </c>
      <c r="C452" s="1">
        <v>45850</v>
      </c>
      <c r="D452" s="1" t="str">
        <f xml:space="preserve"> TEXT(FilmaxData[[#This Row],[Show_Date]],"MMM")</f>
        <v>Jul</v>
      </c>
      <c r="E452" s="1" t="str">
        <f xml:space="preserve"> TEXT(FilmaxData[[#This Row],[Show_Date]],"DDD")</f>
        <v>Sat</v>
      </c>
      <c r="F452" t="s">
        <v>16</v>
      </c>
      <c r="G452" t="s">
        <v>29</v>
      </c>
      <c r="H452">
        <v>2</v>
      </c>
      <c r="I452">
        <v>30</v>
      </c>
      <c r="J452" t="s">
        <v>21</v>
      </c>
      <c r="K452" t="s">
        <v>25</v>
      </c>
      <c r="L452">
        <v>60</v>
      </c>
    </row>
    <row r="453" spans="1:12" x14ac:dyDescent="0.3">
      <c r="A453">
        <v>414</v>
      </c>
      <c r="B453" t="s">
        <v>24</v>
      </c>
      <c r="C453" s="1">
        <v>45888</v>
      </c>
      <c r="D453" s="1" t="str">
        <f xml:space="preserve"> TEXT(FilmaxData[[#This Row],[Show_Date]],"MMM")</f>
        <v>Aug</v>
      </c>
      <c r="E453" s="1" t="str">
        <f xml:space="preserve"> TEXT(FilmaxData[[#This Row],[Show_Date]],"DDD")</f>
        <v>Tue</v>
      </c>
      <c r="F453" t="s">
        <v>11</v>
      </c>
      <c r="G453" t="s">
        <v>17</v>
      </c>
      <c r="H453">
        <v>4</v>
      </c>
      <c r="I453">
        <v>12</v>
      </c>
      <c r="J453" t="s">
        <v>21</v>
      </c>
      <c r="K453" t="s">
        <v>18</v>
      </c>
      <c r="L453">
        <v>48</v>
      </c>
    </row>
    <row r="454" spans="1:12" x14ac:dyDescent="0.3">
      <c r="A454">
        <v>310</v>
      </c>
      <c r="B454" t="s">
        <v>10</v>
      </c>
      <c r="C454" s="1">
        <v>45861</v>
      </c>
      <c r="D454" s="1" t="str">
        <f xml:space="preserve"> TEXT(FilmaxData[[#This Row],[Show_Date]],"MMM")</f>
        <v>Jul</v>
      </c>
      <c r="E454" s="1" t="str">
        <f xml:space="preserve"> TEXT(FilmaxData[[#This Row],[Show_Date]],"DDD")</f>
        <v>Wed</v>
      </c>
      <c r="F454" t="s">
        <v>11</v>
      </c>
      <c r="G454" t="s">
        <v>17</v>
      </c>
      <c r="H454">
        <v>3</v>
      </c>
      <c r="I454">
        <v>12</v>
      </c>
      <c r="J454" t="s">
        <v>23</v>
      </c>
      <c r="K454" t="s">
        <v>27</v>
      </c>
      <c r="L454">
        <v>36</v>
      </c>
    </row>
    <row r="455" spans="1:12" x14ac:dyDescent="0.3">
      <c r="A455">
        <v>321</v>
      </c>
      <c r="B455" t="s">
        <v>19</v>
      </c>
      <c r="C455" s="1">
        <v>45883</v>
      </c>
      <c r="D455" s="1" t="str">
        <f xml:space="preserve"> TEXT(FilmaxData[[#This Row],[Show_Date]],"MMM")</f>
        <v>Aug</v>
      </c>
      <c r="E455" s="1" t="str">
        <f xml:space="preserve"> TEXT(FilmaxData[[#This Row],[Show_Date]],"DDD")</f>
        <v>Thu</v>
      </c>
      <c r="F455" t="s">
        <v>11</v>
      </c>
      <c r="G455" t="s">
        <v>29</v>
      </c>
      <c r="H455">
        <v>3</v>
      </c>
      <c r="I455">
        <v>30</v>
      </c>
      <c r="J455" t="s">
        <v>13</v>
      </c>
      <c r="K455" t="s">
        <v>25</v>
      </c>
      <c r="L455">
        <v>90</v>
      </c>
    </row>
    <row r="456" spans="1:12" x14ac:dyDescent="0.3">
      <c r="A456">
        <v>947</v>
      </c>
      <c r="B456" t="s">
        <v>15</v>
      </c>
      <c r="C456" s="1">
        <v>45885</v>
      </c>
      <c r="D456" s="1" t="str">
        <f xml:space="preserve"> TEXT(FilmaxData[[#This Row],[Show_Date]],"MMM")</f>
        <v>Aug</v>
      </c>
      <c r="E456" s="1" t="str">
        <f xml:space="preserve"> TEXT(FilmaxData[[#This Row],[Show_Date]],"DDD")</f>
        <v>Sat</v>
      </c>
      <c r="F456" t="s">
        <v>11</v>
      </c>
      <c r="G456" t="s">
        <v>12</v>
      </c>
      <c r="H456">
        <v>2</v>
      </c>
      <c r="I456">
        <v>25</v>
      </c>
      <c r="J456" t="s">
        <v>21</v>
      </c>
      <c r="K456" t="s">
        <v>25</v>
      </c>
      <c r="L456">
        <v>50</v>
      </c>
    </row>
    <row r="457" spans="1:12" x14ac:dyDescent="0.3">
      <c r="A457">
        <v>1821</v>
      </c>
      <c r="B457" t="s">
        <v>28</v>
      </c>
      <c r="C457" s="1">
        <v>45920</v>
      </c>
      <c r="D457" s="1" t="str">
        <f xml:space="preserve"> TEXT(FilmaxData[[#This Row],[Show_Date]],"MMM")</f>
        <v>Sep</v>
      </c>
      <c r="E457" s="1" t="str">
        <f xml:space="preserve"> TEXT(FilmaxData[[#This Row],[Show_Date]],"DDD")</f>
        <v>Sat</v>
      </c>
      <c r="F457" t="s">
        <v>11</v>
      </c>
      <c r="G457" t="s">
        <v>17</v>
      </c>
      <c r="H457">
        <v>3</v>
      </c>
      <c r="I457">
        <v>12</v>
      </c>
      <c r="J457" t="s">
        <v>23</v>
      </c>
      <c r="K457" t="s">
        <v>25</v>
      </c>
      <c r="L457">
        <v>36</v>
      </c>
    </row>
    <row r="458" spans="1:12" x14ac:dyDescent="0.3">
      <c r="A458">
        <v>1657</v>
      </c>
      <c r="B458" t="s">
        <v>26</v>
      </c>
      <c r="C458" s="1">
        <v>45873</v>
      </c>
      <c r="D458" s="1" t="str">
        <f xml:space="preserve"> TEXT(FilmaxData[[#This Row],[Show_Date]],"MMM")</f>
        <v>Aug</v>
      </c>
      <c r="E458" s="1" t="str">
        <f xml:space="preserve"> TEXT(FilmaxData[[#This Row],[Show_Date]],"DDD")</f>
        <v>Mon</v>
      </c>
      <c r="F458" t="s">
        <v>33</v>
      </c>
      <c r="G458" t="s">
        <v>17</v>
      </c>
      <c r="H458">
        <v>5</v>
      </c>
      <c r="I458">
        <v>12</v>
      </c>
      <c r="J458" t="s">
        <v>23</v>
      </c>
      <c r="K458" t="s">
        <v>18</v>
      </c>
      <c r="L458">
        <v>60</v>
      </c>
    </row>
    <row r="459" spans="1:12" x14ac:dyDescent="0.3">
      <c r="A459">
        <v>433</v>
      </c>
      <c r="B459" t="s">
        <v>15</v>
      </c>
      <c r="C459" s="1">
        <v>45909</v>
      </c>
      <c r="D459" s="1" t="str">
        <f xml:space="preserve"> TEXT(FilmaxData[[#This Row],[Show_Date]],"MMM")</f>
        <v>Sep</v>
      </c>
      <c r="E459" s="1" t="str">
        <f xml:space="preserve"> TEXT(FilmaxData[[#This Row],[Show_Date]],"DDD")</f>
        <v>Tue</v>
      </c>
      <c r="F459" t="s">
        <v>20</v>
      </c>
      <c r="G459" t="s">
        <v>29</v>
      </c>
      <c r="H459">
        <v>2</v>
      </c>
      <c r="I459">
        <v>30</v>
      </c>
      <c r="J459" t="s">
        <v>23</v>
      </c>
      <c r="K459" t="s">
        <v>27</v>
      </c>
      <c r="L459">
        <v>60</v>
      </c>
    </row>
    <row r="460" spans="1:12" x14ac:dyDescent="0.3">
      <c r="A460">
        <v>1701</v>
      </c>
      <c r="B460" t="s">
        <v>15</v>
      </c>
      <c r="C460" s="1">
        <v>45871</v>
      </c>
      <c r="D460" s="1" t="str">
        <f xml:space="preserve"> TEXT(FilmaxData[[#This Row],[Show_Date]],"MMM")</f>
        <v>Aug</v>
      </c>
      <c r="E460" s="1" t="str">
        <f xml:space="preserve"> TEXT(FilmaxData[[#This Row],[Show_Date]],"DDD")</f>
        <v>Sat</v>
      </c>
      <c r="F460" t="s">
        <v>11</v>
      </c>
      <c r="G460" t="s">
        <v>12</v>
      </c>
      <c r="H460">
        <v>4</v>
      </c>
      <c r="I460">
        <v>25</v>
      </c>
      <c r="J460" t="s">
        <v>21</v>
      </c>
      <c r="K460" t="s">
        <v>18</v>
      </c>
      <c r="L460">
        <v>100</v>
      </c>
    </row>
    <row r="461" spans="1:12" x14ac:dyDescent="0.3">
      <c r="A461">
        <v>1312</v>
      </c>
      <c r="B461" t="s">
        <v>26</v>
      </c>
      <c r="C461" s="1">
        <v>45915</v>
      </c>
      <c r="D461" s="1" t="str">
        <f xml:space="preserve"> TEXT(FilmaxData[[#This Row],[Show_Date]],"MMM")</f>
        <v>Sep</v>
      </c>
      <c r="E461" s="1" t="str">
        <f xml:space="preserve"> TEXT(FilmaxData[[#This Row],[Show_Date]],"DDD")</f>
        <v>Mon</v>
      </c>
      <c r="F461" t="s">
        <v>33</v>
      </c>
      <c r="G461" t="s">
        <v>30</v>
      </c>
      <c r="H461">
        <v>4</v>
      </c>
      <c r="I461">
        <v>8</v>
      </c>
      <c r="J461" t="s">
        <v>13</v>
      </c>
      <c r="K461" t="s">
        <v>25</v>
      </c>
      <c r="L461">
        <v>32</v>
      </c>
    </row>
    <row r="462" spans="1:12" x14ac:dyDescent="0.3">
      <c r="A462">
        <v>150</v>
      </c>
      <c r="B462" t="s">
        <v>19</v>
      </c>
      <c r="C462" s="1">
        <v>45919</v>
      </c>
      <c r="D462" s="1" t="str">
        <f xml:space="preserve"> TEXT(FilmaxData[[#This Row],[Show_Date]],"MMM")</f>
        <v>Sep</v>
      </c>
      <c r="E462" s="1" t="str">
        <f xml:space="preserve"> TEXT(FilmaxData[[#This Row],[Show_Date]],"DDD")</f>
        <v>Fri</v>
      </c>
      <c r="F462" t="s">
        <v>11</v>
      </c>
      <c r="G462" t="s">
        <v>22</v>
      </c>
      <c r="H462">
        <v>5</v>
      </c>
      <c r="I462">
        <v>20</v>
      </c>
      <c r="J462" t="s">
        <v>13</v>
      </c>
      <c r="K462" t="s">
        <v>18</v>
      </c>
      <c r="L462">
        <v>100</v>
      </c>
    </row>
    <row r="463" spans="1:12" x14ac:dyDescent="0.3">
      <c r="A463">
        <v>1702</v>
      </c>
      <c r="B463" t="s">
        <v>10</v>
      </c>
      <c r="C463" s="1">
        <v>45840</v>
      </c>
      <c r="D463" s="1" t="str">
        <f xml:space="preserve"> TEXT(FilmaxData[[#This Row],[Show_Date]],"MMM")</f>
        <v>Jul</v>
      </c>
      <c r="E463" s="1" t="str">
        <f xml:space="preserve"> TEXT(FilmaxData[[#This Row],[Show_Date]],"DDD")</f>
        <v>Wed</v>
      </c>
      <c r="F463" t="s">
        <v>20</v>
      </c>
      <c r="G463" t="s">
        <v>30</v>
      </c>
      <c r="H463">
        <v>1</v>
      </c>
      <c r="I463">
        <v>8</v>
      </c>
      <c r="J463" t="s">
        <v>13</v>
      </c>
      <c r="K463" t="s">
        <v>18</v>
      </c>
      <c r="L463">
        <v>8</v>
      </c>
    </row>
    <row r="464" spans="1:12" x14ac:dyDescent="0.3">
      <c r="A464">
        <v>1316</v>
      </c>
      <c r="B464" t="s">
        <v>31</v>
      </c>
      <c r="C464" s="1">
        <v>45893</v>
      </c>
      <c r="D464" s="1" t="str">
        <f xml:space="preserve"> TEXT(FilmaxData[[#This Row],[Show_Date]],"MMM")</f>
        <v>Aug</v>
      </c>
      <c r="E464" s="1" t="str">
        <f xml:space="preserve"> TEXT(FilmaxData[[#This Row],[Show_Date]],"DDD")</f>
        <v>Sun</v>
      </c>
      <c r="F464" t="s">
        <v>11</v>
      </c>
      <c r="G464" t="s">
        <v>30</v>
      </c>
      <c r="H464">
        <v>4</v>
      </c>
      <c r="I464">
        <v>8</v>
      </c>
      <c r="J464" t="s">
        <v>23</v>
      </c>
      <c r="K464" t="s">
        <v>14</v>
      </c>
      <c r="L464">
        <v>32</v>
      </c>
    </row>
    <row r="465" spans="1:12" x14ac:dyDescent="0.3">
      <c r="A465">
        <v>1368</v>
      </c>
      <c r="B465" t="s">
        <v>10</v>
      </c>
      <c r="C465" s="1">
        <v>45890</v>
      </c>
      <c r="D465" s="1" t="str">
        <f xml:space="preserve"> TEXT(FilmaxData[[#This Row],[Show_Date]],"MMM")</f>
        <v>Aug</v>
      </c>
      <c r="E465" s="1" t="str">
        <f xml:space="preserve"> TEXT(FilmaxData[[#This Row],[Show_Date]],"DDD")</f>
        <v>Thu</v>
      </c>
      <c r="F465" t="s">
        <v>20</v>
      </c>
      <c r="G465" t="s">
        <v>17</v>
      </c>
      <c r="H465">
        <v>1</v>
      </c>
      <c r="I465">
        <v>12</v>
      </c>
      <c r="J465" t="s">
        <v>13</v>
      </c>
      <c r="K465" t="s">
        <v>14</v>
      </c>
      <c r="L465">
        <v>12</v>
      </c>
    </row>
    <row r="466" spans="1:12" x14ac:dyDescent="0.3">
      <c r="A466">
        <v>1528</v>
      </c>
      <c r="B466" t="s">
        <v>24</v>
      </c>
      <c r="C466" s="1">
        <v>45892</v>
      </c>
      <c r="D466" s="1" t="str">
        <f xml:space="preserve"> TEXT(FilmaxData[[#This Row],[Show_Date]],"MMM")</f>
        <v>Aug</v>
      </c>
      <c r="E466" s="1" t="str">
        <f xml:space="preserve"> TEXT(FilmaxData[[#This Row],[Show_Date]],"DDD")</f>
        <v>Sat</v>
      </c>
      <c r="F466" t="s">
        <v>20</v>
      </c>
      <c r="G466" t="s">
        <v>30</v>
      </c>
      <c r="H466">
        <v>4</v>
      </c>
      <c r="I466">
        <v>8</v>
      </c>
      <c r="J466" t="s">
        <v>23</v>
      </c>
      <c r="K466" t="s">
        <v>25</v>
      </c>
      <c r="L466">
        <v>32</v>
      </c>
    </row>
    <row r="467" spans="1:12" x14ac:dyDescent="0.3">
      <c r="A467">
        <v>1205</v>
      </c>
      <c r="B467" t="s">
        <v>15</v>
      </c>
      <c r="C467" s="1">
        <v>45892</v>
      </c>
      <c r="D467" s="1" t="str">
        <f xml:space="preserve"> TEXT(FilmaxData[[#This Row],[Show_Date]],"MMM")</f>
        <v>Aug</v>
      </c>
      <c r="E467" s="1" t="str">
        <f xml:space="preserve"> TEXT(FilmaxData[[#This Row],[Show_Date]],"DDD")</f>
        <v>Sat</v>
      </c>
      <c r="F467" t="s">
        <v>11</v>
      </c>
      <c r="G467" t="s">
        <v>30</v>
      </c>
      <c r="H467">
        <v>3</v>
      </c>
      <c r="I467">
        <v>8</v>
      </c>
      <c r="J467" t="s">
        <v>13</v>
      </c>
      <c r="K467" t="s">
        <v>27</v>
      </c>
      <c r="L467">
        <v>24</v>
      </c>
    </row>
    <row r="468" spans="1:12" x14ac:dyDescent="0.3">
      <c r="A468">
        <v>931</v>
      </c>
      <c r="B468" t="s">
        <v>28</v>
      </c>
      <c r="C468" s="1">
        <v>45865</v>
      </c>
      <c r="D468" s="1" t="str">
        <f xml:space="preserve"> TEXT(FilmaxData[[#This Row],[Show_Date]],"MMM")</f>
        <v>Jul</v>
      </c>
      <c r="E468" s="1" t="str">
        <f xml:space="preserve"> TEXT(FilmaxData[[#This Row],[Show_Date]],"DDD")</f>
        <v>Sun</v>
      </c>
      <c r="F468" t="s">
        <v>20</v>
      </c>
      <c r="G468" t="s">
        <v>12</v>
      </c>
      <c r="H468">
        <v>5</v>
      </c>
      <c r="I468">
        <v>25</v>
      </c>
      <c r="J468" t="s">
        <v>13</v>
      </c>
      <c r="K468" t="s">
        <v>18</v>
      </c>
      <c r="L468">
        <v>125</v>
      </c>
    </row>
    <row r="469" spans="1:12" x14ac:dyDescent="0.3">
      <c r="A469">
        <v>1214</v>
      </c>
      <c r="B469" t="s">
        <v>10</v>
      </c>
      <c r="C469" s="1">
        <v>45841</v>
      </c>
      <c r="D469" s="1" t="str">
        <f xml:space="preserve"> TEXT(FilmaxData[[#This Row],[Show_Date]],"MMM")</f>
        <v>Jul</v>
      </c>
      <c r="E469" s="1" t="str">
        <f xml:space="preserve"> TEXT(FilmaxData[[#This Row],[Show_Date]],"DDD")</f>
        <v>Thu</v>
      </c>
      <c r="F469" t="s">
        <v>16</v>
      </c>
      <c r="G469" t="s">
        <v>30</v>
      </c>
      <c r="H469">
        <v>2</v>
      </c>
      <c r="I469">
        <v>8</v>
      </c>
      <c r="J469" t="s">
        <v>23</v>
      </c>
      <c r="K469" t="s">
        <v>25</v>
      </c>
      <c r="L469">
        <v>16</v>
      </c>
    </row>
    <row r="470" spans="1:12" x14ac:dyDescent="0.3">
      <c r="A470">
        <v>437</v>
      </c>
      <c r="B470" t="s">
        <v>19</v>
      </c>
      <c r="C470" s="1">
        <v>45864</v>
      </c>
      <c r="D470" s="1" t="str">
        <f xml:space="preserve"> TEXT(FilmaxData[[#This Row],[Show_Date]],"MMM")</f>
        <v>Jul</v>
      </c>
      <c r="E470" s="1" t="str">
        <f xml:space="preserve"> TEXT(FilmaxData[[#This Row],[Show_Date]],"DDD")</f>
        <v>Sat</v>
      </c>
      <c r="F470" t="s">
        <v>20</v>
      </c>
      <c r="G470" t="s">
        <v>17</v>
      </c>
      <c r="H470">
        <v>2</v>
      </c>
      <c r="I470">
        <v>12</v>
      </c>
      <c r="J470" t="s">
        <v>21</v>
      </c>
      <c r="K470" t="s">
        <v>25</v>
      </c>
      <c r="L470">
        <v>24</v>
      </c>
    </row>
    <row r="471" spans="1:12" x14ac:dyDescent="0.3">
      <c r="A471">
        <v>1778</v>
      </c>
      <c r="B471" t="s">
        <v>32</v>
      </c>
      <c r="C471" s="1">
        <v>45876</v>
      </c>
      <c r="D471" s="1" t="str">
        <f xml:space="preserve"> TEXT(FilmaxData[[#This Row],[Show_Date]],"MMM")</f>
        <v>Aug</v>
      </c>
      <c r="E471" s="1" t="str">
        <f xml:space="preserve"> TEXT(FilmaxData[[#This Row],[Show_Date]],"DDD")</f>
        <v>Thu</v>
      </c>
      <c r="F471" t="s">
        <v>11</v>
      </c>
      <c r="G471" t="s">
        <v>12</v>
      </c>
      <c r="H471">
        <v>2</v>
      </c>
      <c r="I471">
        <v>25</v>
      </c>
      <c r="J471" t="s">
        <v>21</v>
      </c>
      <c r="K471" t="s">
        <v>27</v>
      </c>
      <c r="L471">
        <v>50</v>
      </c>
    </row>
    <row r="472" spans="1:12" x14ac:dyDescent="0.3">
      <c r="A472">
        <v>1387</v>
      </c>
      <c r="B472" t="s">
        <v>24</v>
      </c>
      <c r="C472" s="1">
        <v>45923</v>
      </c>
      <c r="D472" s="1" t="str">
        <f xml:space="preserve"> TEXT(FilmaxData[[#This Row],[Show_Date]],"MMM")</f>
        <v>Sep</v>
      </c>
      <c r="E472" s="1" t="str">
        <f xml:space="preserve"> TEXT(FilmaxData[[#This Row],[Show_Date]],"DDD")</f>
        <v>Tue</v>
      </c>
      <c r="F472" t="s">
        <v>11</v>
      </c>
      <c r="G472" t="s">
        <v>17</v>
      </c>
      <c r="H472">
        <v>4</v>
      </c>
      <c r="I472">
        <v>12</v>
      </c>
      <c r="J472" t="s">
        <v>23</v>
      </c>
      <c r="K472" t="s">
        <v>18</v>
      </c>
      <c r="L472">
        <v>48</v>
      </c>
    </row>
    <row r="473" spans="1:12" x14ac:dyDescent="0.3">
      <c r="A473">
        <v>201</v>
      </c>
      <c r="B473" t="s">
        <v>28</v>
      </c>
      <c r="C473" s="1">
        <v>45858</v>
      </c>
      <c r="D473" s="1" t="str">
        <f xml:space="preserve"> TEXT(FilmaxData[[#This Row],[Show_Date]],"MMM")</f>
        <v>Jul</v>
      </c>
      <c r="E473" s="1" t="str">
        <f xml:space="preserve"> TEXT(FilmaxData[[#This Row],[Show_Date]],"DDD")</f>
        <v>Sun</v>
      </c>
      <c r="F473" t="s">
        <v>11</v>
      </c>
      <c r="G473" t="s">
        <v>29</v>
      </c>
      <c r="H473">
        <v>5</v>
      </c>
      <c r="I473">
        <v>30</v>
      </c>
      <c r="J473" t="s">
        <v>13</v>
      </c>
      <c r="K473" t="s">
        <v>25</v>
      </c>
      <c r="L473">
        <v>150</v>
      </c>
    </row>
    <row r="474" spans="1:12" x14ac:dyDescent="0.3">
      <c r="A474">
        <v>379</v>
      </c>
      <c r="B474" t="s">
        <v>26</v>
      </c>
      <c r="C474" s="1">
        <v>45857</v>
      </c>
      <c r="D474" s="1" t="str">
        <f xml:space="preserve"> TEXT(FilmaxData[[#This Row],[Show_Date]],"MMM")</f>
        <v>Jul</v>
      </c>
      <c r="E474" s="1" t="str">
        <f xml:space="preserve"> TEXT(FilmaxData[[#This Row],[Show_Date]],"DDD")</f>
        <v>Sat</v>
      </c>
      <c r="F474" t="s">
        <v>11</v>
      </c>
      <c r="G474" t="s">
        <v>17</v>
      </c>
      <c r="H474">
        <v>4</v>
      </c>
      <c r="I474">
        <v>12</v>
      </c>
      <c r="J474" t="s">
        <v>23</v>
      </c>
      <c r="K474" t="s">
        <v>18</v>
      </c>
      <c r="L474">
        <v>48</v>
      </c>
    </row>
    <row r="475" spans="1:12" x14ac:dyDescent="0.3">
      <c r="A475">
        <v>223</v>
      </c>
      <c r="B475" t="s">
        <v>10</v>
      </c>
      <c r="C475" s="1">
        <v>45898</v>
      </c>
      <c r="D475" s="1" t="str">
        <f xml:space="preserve"> TEXT(FilmaxData[[#This Row],[Show_Date]],"MMM")</f>
        <v>Aug</v>
      </c>
      <c r="E475" s="1" t="str">
        <f xml:space="preserve"> TEXT(FilmaxData[[#This Row],[Show_Date]],"DDD")</f>
        <v>Fri</v>
      </c>
      <c r="F475" t="s">
        <v>20</v>
      </c>
      <c r="G475" t="s">
        <v>17</v>
      </c>
      <c r="H475">
        <v>5</v>
      </c>
      <c r="I475">
        <v>12</v>
      </c>
      <c r="J475" t="s">
        <v>21</v>
      </c>
      <c r="K475" t="s">
        <v>14</v>
      </c>
      <c r="L475">
        <v>60</v>
      </c>
    </row>
    <row r="476" spans="1:12" x14ac:dyDescent="0.3">
      <c r="A476">
        <v>1050</v>
      </c>
      <c r="B476" t="s">
        <v>24</v>
      </c>
      <c r="C476" s="1">
        <v>45865</v>
      </c>
      <c r="D476" s="1" t="str">
        <f xml:space="preserve"> TEXT(FilmaxData[[#This Row],[Show_Date]],"MMM")</f>
        <v>Jul</v>
      </c>
      <c r="E476" s="1" t="str">
        <f xml:space="preserve"> TEXT(FilmaxData[[#This Row],[Show_Date]],"DDD")</f>
        <v>Sun</v>
      </c>
      <c r="F476" t="s">
        <v>16</v>
      </c>
      <c r="G476" t="s">
        <v>17</v>
      </c>
      <c r="H476">
        <v>1</v>
      </c>
      <c r="I476">
        <v>12</v>
      </c>
      <c r="J476" t="s">
        <v>13</v>
      </c>
      <c r="K476" t="s">
        <v>18</v>
      </c>
      <c r="L476">
        <v>12</v>
      </c>
    </row>
    <row r="477" spans="1:12" x14ac:dyDescent="0.3">
      <c r="A477">
        <v>252</v>
      </c>
      <c r="B477" t="s">
        <v>24</v>
      </c>
      <c r="C477" s="1">
        <v>45850</v>
      </c>
      <c r="D477" s="1" t="str">
        <f xml:space="preserve"> TEXT(FilmaxData[[#This Row],[Show_Date]],"MMM")</f>
        <v>Jul</v>
      </c>
      <c r="E477" s="1" t="str">
        <f xml:space="preserve"> TEXT(FilmaxData[[#This Row],[Show_Date]],"DDD")</f>
        <v>Sat</v>
      </c>
      <c r="F477" t="s">
        <v>11</v>
      </c>
      <c r="G477" t="s">
        <v>29</v>
      </c>
      <c r="H477">
        <v>1</v>
      </c>
      <c r="I477">
        <v>30</v>
      </c>
      <c r="J477" t="s">
        <v>13</v>
      </c>
      <c r="K477" t="s">
        <v>18</v>
      </c>
      <c r="L477">
        <v>30</v>
      </c>
    </row>
    <row r="478" spans="1:12" x14ac:dyDescent="0.3">
      <c r="A478">
        <v>490</v>
      </c>
      <c r="B478" t="s">
        <v>15</v>
      </c>
      <c r="C478" s="1">
        <v>45864</v>
      </c>
      <c r="D478" s="1" t="str">
        <f xml:space="preserve"> TEXT(FilmaxData[[#This Row],[Show_Date]],"MMM")</f>
        <v>Jul</v>
      </c>
      <c r="E478" s="1" t="str">
        <f xml:space="preserve"> TEXT(FilmaxData[[#This Row],[Show_Date]],"DDD")</f>
        <v>Sat</v>
      </c>
      <c r="F478" t="s">
        <v>11</v>
      </c>
      <c r="G478" t="s">
        <v>17</v>
      </c>
      <c r="H478">
        <v>1</v>
      </c>
      <c r="I478">
        <v>12</v>
      </c>
      <c r="J478" t="s">
        <v>23</v>
      </c>
      <c r="K478" t="s">
        <v>27</v>
      </c>
      <c r="L478">
        <v>12</v>
      </c>
    </row>
    <row r="479" spans="1:12" x14ac:dyDescent="0.3">
      <c r="A479">
        <v>178</v>
      </c>
      <c r="B479" t="s">
        <v>32</v>
      </c>
      <c r="C479" s="1">
        <v>45840</v>
      </c>
      <c r="D479" s="1" t="str">
        <f xml:space="preserve"> TEXT(FilmaxData[[#This Row],[Show_Date]],"MMM")</f>
        <v>Jul</v>
      </c>
      <c r="E479" s="1" t="str">
        <f xml:space="preserve"> TEXT(FilmaxData[[#This Row],[Show_Date]],"DDD")</f>
        <v>Wed</v>
      </c>
      <c r="F479" t="s">
        <v>16</v>
      </c>
      <c r="G479" t="s">
        <v>12</v>
      </c>
      <c r="H479">
        <v>5</v>
      </c>
      <c r="I479">
        <v>25</v>
      </c>
      <c r="J479" t="s">
        <v>13</v>
      </c>
      <c r="K479" t="s">
        <v>18</v>
      </c>
      <c r="L479">
        <v>125</v>
      </c>
    </row>
    <row r="480" spans="1:12" x14ac:dyDescent="0.3">
      <c r="A480">
        <v>1734</v>
      </c>
      <c r="B480" t="s">
        <v>31</v>
      </c>
      <c r="C480" s="1">
        <v>45859</v>
      </c>
      <c r="D480" s="1" t="str">
        <f xml:space="preserve"> TEXT(FilmaxData[[#This Row],[Show_Date]],"MMM")</f>
        <v>Jul</v>
      </c>
      <c r="E480" s="1" t="str">
        <f xml:space="preserve"> TEXT(FilmaxData[[#This Row],[Show_Date]],"DDD")</f>
        <v>Mon</v>
      </c>
      <c r="F480" t="s">
        <v>33</v>
      </c>
      <c r="G480" t="s">
        <v>12</v>
      </c>
      <c r="H480">
        <v>5</v>
      </c>
      <c r="I480">
        <v>25</v>
      </c>
      <c r="J480" t="s">
        <v>23</v>
      </c>
      <c r="K480" t="s">
        <v>14</v>
      </c>
      <c r="L480">
        <v>125</v>
      </c>
    </row>
    <row r="481" spans="1:12" x14ac:dyDescent="0.3">
      <c r="A481">
        <v>499</v>
      </c>
      <c r="B481" t="s">
        <v>24</v>
      </c>
      <c r="C481" s="1">
        <v>45887</v>
      </c>
      <c r="D481" s="1" t="str">
        <f xml:space="preserve"> TEXT(FilmaxData[[#This Row],[Show_Date]],"MMM")</f>
        <v>Aug</v>
      </c>
      <c r="E481" s="1" t="str">
        <f xml:space="preserve"> TEXT(FilmaxData[[#This Row],[Show_Date]],"DDD")</f>
        <v>Mon</v>
      </c>
      <c r="F481" t="s">
        <v>11</v>
      </c>
      <c r="G481" t="s">
        <v>29</v>
      </c>
      <c r="H481">
        <v>4</v>
      </c>
      <c r="I481">
        <v>30</v>
      </c>
      <c r="J481" t="s">
        <v>23</v>
      </c>
      <c r="K481" t="s">
        <v>25</v>
      </c>
      <c r="L481">
        <v>120</v>
      </c>
    </row>
    <row r="482" spans="1:12" x14ac:dyDescent="0.3">
      <c r="A482">
        <v>1222</v>
      </c>
      <c r="B482" t="s">
        <v>26</v>
      </c>
      <c r="C482" s="1">
        <v>45913</v>
      </c>
      <c r="D482" s="1" t="str">
        <f xml:space="preserve"> TEXT(FilmaxData[[#This Row],[Show_Date]],"MMM")</f>
        <v>Sep</v>
      </c>
      <c r="E482" s="1" t="str">
        <f xml:space="preserve"> TEXT(FilmaxData[[#This Row],[Show_Date]],"DDD")</f>
        <v>Sat</v>
      </c>
      <c r="F482" t="s">
        <v>16</v>
      </c>
      <c r="G482" t="s">
        <v>17</v>
      </c>
      <c r="H482">
        <v>1</v>
      </c>
      <c r="I482">
        <v>12</v>
      </c>
      <c r="J482" t="s">
        <v>21</v>
      </c>
      <c r="K482" t="s">
        <v>27</v>
      </c>
      <c r="L482">
        <v>12</v>
      </c>
    </row>
    <row r="483" spans="1:12" x14ac:dyDescent="0.3">
      <c r="A483">
        <v>1737</v>
      </c>
      <c r="B483" t="s">
        <v>15</v>
      </c>
      <c r="C483" s="1">
        <v>45859</v>
      </c>
      <c r="D483" s="1" t="str">
        <f xml:space="preserve"> TEXT(FilmaxData[[#This Row],[Show_Date]],"MMM")</f>
        <v>Jul</v>
      </c>
      <c r="E483" s="1" t="str">
        <f xml:space="preserve"> TEXT(FilmaxData[[#This Row],[Show_Date]],"DDD")</f>
        <v>Mon</v>
      </c>
      <c r="F483" t="s">
        <v>16</v>
      </c>
      <c r="G483" t="s">
        <v>30</v>
      </c>
      <c r="H483">
        <v>1</v>
      </c>
      <c r="I483">
        <v>8</v>
      </c>
      <c r="J483" t="s">
        <v>21</v>
      </c>
      <c r="K483" t="s">
        <v>14</v>
      </c>
      <c r="L483">
        <v>8</v>
      </c>
    </row>
    <row r="484" spans="1:12" x14ac:dyDescent="0.3">
      <c r="A484">
        <v>519</v>
      </c>
      <c r="B484" t="s">
        <v>19</v>
      </c>
      <c r="C484" s="1">
        <v>45867</v>
      </c>
      <c r="D484" s="1" t="str">
        <f xml:space="preserve"> TEXT(FilmaxData[[#This Row],[Show_Date]],"MMM")</f>
        <v>Jul</v>
      </c>
      <c r="E484" s="1" t="str">
        <f xml:space="preserve"> TEXT(FilmaxData[[#This Row],[Show_Date]],"DDD")</f>
        <v>Tue</v>
      </c>
      <c r="F484" t="s">
        <v>16</v>
      </c>
      <c r="G484" t="s">
        <v>30</v>
      </c>
      <c r="H484">
        <v>5</v>
      </c>
      <c r="I484">
        <v>8</v>
      </c>
      <c r="J484" t="s">
        <v>13</v>
      </c>
      <c r="K484" t="s">
        <v>27</v>
      </c>
      <c r="L484">
        <v>40</v>
      </c>
    </row>
    <row r="485" spans="1:12" x14ac:dyDescent="0.3">
      <c r="A485">
        <v>1116</v>
      </c>
      <c r="B485" t="s">
        <v>28</v>
      </c>
      <c r="C485" s="1">
        <v>45923</v>
      </c>
      <c r="D485" s="1" t="str">
        <f xml:space="preserve"> TEXT(FilmaxData[[#This Row],[Show_Date]],"MMM")</f>
        <v>Sep</v>
      </c>
      <c r="E485" s="1" t="str">
        <f xml:space="preserve"> TEXT(FilmaxData[[#This Row],[Show_Date]],"DDD")</f>
        <v>Tue</v>
      </c>
      <c r="F485" t="s">
        <v>16</v>
      </c>
      <c r="G485" t="s">
        <v>22</v>
      </c>
      <c r="H485">
        <v>1</v>
      </c>
      <c r="I485">
        <v>20</v>
      </c>
      <c r="J485" t="s">
        <v>23</v>
      </c>
      <c r="K485" t="s">
        <v>18</v>
      </c>
      <c r="L485">
        <v>20</v>
      </c>
    </row>
    <row r="486" spans="1:12" x14ac:dyDescent="0.3">
      <c r="A486">
        <v>1201</v>
      </c>
      <c r="B486" t="s">
        <v>15</v>
      </c>
      <c r="C486" s="1">
        <v>45865</v>
      </c>
      <c r="D486" s="1" t="str">
        <f xml:space="preserve"> TEXT(FilmaxData[[#This Row],[Show_Date]],"MMM")</f>
        <v>Jul</v>
      </c>
      <c r="E486" s="1" t="str">
        <f xml:space="preserve"> TEXT(FilmaxData[[#This Row],[Show_Date]],"DDD")</f>
        <v>Sun</v>
      </c>
      <c r="F486" t="s">
        <v>16</v>
      </c>
      <c r="G486" t="s">
        <v>12</v>
      </c>
      <c r="H486">
        <v>4</v>
      </c>
      <c r="I486">
        <v>25</v>
      </c>
      <c r="J486" t="s">
        <v>23</v>
      </c>
      <c r="K486" t="s">
        <v>14</v>
      </c>
      <c r="L486">
        <v>100</v>
      </c>
    </row>
    <row r="487" spans="1:12" x14ac:dyDescent="0.3">
      <c r="A487">
        <v>796</v>
      </c>
      <c r="B487" t="s">
        <v>28</v>
      </c>
      <c r="C487" s="1">
        <v>45876</v>
      </c>
      <c r="D487" s="1" t="str">
        <f xml:space="preserve"> TEXT(FilmaxData[[#This Row],[Show_Date]],"MMM")</f>
        <v>Aug</v>
      </c>
      <c r="E487" s="1" t="str">
        <f xml:space="preserve"> TEXT(FilmaxData[[#This Row],[Show_Date]],"DDD")</f>
        <v>Thu</v>
      </c>
      <c r="F487" t="s">
        <v>16</v>
      </c>
      <c r="G487" t="s">
        <v>12</v>
      </c>
      <c r="H487">
        <v>2</v>
      </c>
      <c r="I487">
        <v>25</v>
      </c>
      <c r="J487" t="s">
        <v>21</v>
      </c>
      <c r="K487" t="s">
        <v>14</v>
      </c>
      <c r="L487">
        <v>50</v>
      </c>
    </row>
    <row r="488" spans="1:12" x14ac:dyDescent="0.3">
      <c r="A488">
        <v>263</v>
      </c>
      <c r="B488" t="s">
        <v>15</v>
      </c>
      <c r="C488" s="1">
        <v>45876</v>
      </c>
      <c r="D488" s="1" t="str">
        <f xml:space="preserve"> TEXT(FilmaxData[[#This Row],[Show_Date]],"MMM")</f>
        <v>Aug</v>
      </c>
      <c r="E488" s="1" t="str">
        <f xml:space="preserve"> TEXT(FilmaxData[[#This Row],[Show_Date]],"DDD")</f>
        <v>Thu</v>
      </c>
      <c r="F488" t="s">
        <v>20</v>
      </c>
      <c r="G488" t="s">
        <v>22</v>
      </c>
      <c r="H488">
        <v>2</v>
      </c>
      <c r="I488">
        <v>20</v>
      </c>
      <c r="J488" t="s">
        <v>23</v>
      </c>
      <c r="K488" t="s">
        <v>18</v>
      </c>
      <c r="L488">
        <v>40</v>
      </c>
    </row>
    <row r="489" spans="1:12" x14ac:dyDescent="0.3">
      <c r="A489">
        <v>354</v>
      </c>
      <c r="B489" t="s">
        <v>19</v>
      </c>
      <c r="C489" s="1">
        <v>45915</v>
      </c>
      <c r="D489" s="1" t="str">
        <f xml:space="preserve"> TEXT(FilmaxData[[#This Row],[Show_Date]],"MMM")</f>
        <v>Sep</v>
      </c>
      <c r="E489" s="1" t="str">
        <f xml:space="preserve"> TEXT(FilmaxData[[#This Row],[Show_Date]],"DDD")</f>
        <v>Mon</v>
      </c>
      <c r="F489" t="s">
        <v>16</v>
      </c>
      <c r="G489" t="s">
        <v>22</v>
      </c>
      <c r="H489">
        <v>5</v>
      </c>
      <c r="I489">
        <v>20</v>
      </c>
      <c r="J489" t="s">
        <v>23</v>
      </c>
      <c r="K489" t="s">
        <v>25</v>
      </c>
      <c r="L489">
        <v>100</v>
      </c>
    </row>
    <row r="490" spans="1:12" x14ac:dyDescent="0.3">
      <c r="A490">
        <v>905</v>
      </c>
      <c r="B490" t="s">
        <v>32</v>
      </c>
      <c r="C490" s="1">
        <v>45857</v>
      </c>
      <c r="D490" s="1" t="str">
        <f xml:space="preserve"> TEXT(FilmaxData[[#This Row],[Show_Date]],"MMM")</f>
        <v>Jul</v>
      </c>
      <c r="E490" s="1" t="str">
        <f xml:space="preserve"> TEXT(FilmaxData[[#This Row],[Show_Date]],"DDD")</f>
        <v>Sat</v>
      </c>
      <c r="F490" t="s">
        <v>16</v>
      </c>
      <c r="G490" t="s">
        <v>12</v>
      </c>
      <c r="H490">
        <v>4</v>
      </c>
      <c r="I490">
        <v>25</v>
      </c>
      <c r="J490" t="s">
        <v>13</v>
      </c>
      <c r="K490" t="s">
        <v>18</v>
      </c>
      <c r="L490">
        <v>100</v>
      </c>
    </row>
    <row r="491" spans="1:12" x14ac:dyDescent="0.3">
      <c r="A491">
        <v>1131</v>
      </c>
      <c r="B491" t="s">
        <v>26</v>
      </c>
      <c r="C491" s="1">
        <v>45843</v>
      </c>
      <c r="D491" s="1" t="str">
        <f xml:space="preserve"> TEXT(FilmaxData[[#This Row],[Show_Date]],"MMM")</f>
        <v>Jul</v>
      </c>
      <c r="E491" s="1" t="str">
        <f xml:space="preserve"> TEXT(FilmaxData[[#This Row],[Show_Date]],"DDD")</f>
        <v>Sat</v>
      </c>
      <c r="F491" t="s">
        <v>16</v>
      </c>
      <c r="G491" t="s">
        <v>22</v>
      </c>
      <c r="H491">
        <v>2</v>
      </c>
      <c r="I491">
        <v>20</v>
      </c>
      <c r="J491" t="s">
        <v>13</v>
      </c>
      <c r="K491" t="s">
        <v>14</v>
      </c>
      <c r="L491">
        <v>40</v>
      </c>
    </row>
    <row r="492" spans="1:12" x14ac:dyDescent="0.3">
      <c r="A492">
        <v>1548</v>
      </c>
      <c r="B492" t="s">
        <v>28</v>
      </c>
      <c r="C492" s="1">
        <v>45893</v>
      </c>
      <c r="D492" s="1" t="str">
        <f xml:space="preserve"> TEXT(FilmaxData[[#This Row],[Show_Date]],"MMM")</f>
        <v>Aug</v>
      </c>
      <c r="E492" s="1" t="str">
        <f xml:space="preserve"> TEXT(FilmaxData[[#This Row],[Show_Date]],"DDD")</f>
        <v>Sun</v>
      </c>
      <c r="F492" t="s">
        <v>16</v>
      </c>
      <c r="G492" t="s">
        <v>17</v>
      </c>
      <c r="H492">
        <v>1</v>
      </c>
      <c r="I492">
        <v>12</v>
      </c>
      <c r="J492" t="s">
        <v>23</v>
      </c>
      <c r="K492" t="s">
        <v>25</v>
      </c>
      <c r="L492">
        <v>12</v>
      </c>
    </row>
    <row r="493" spans="1:12" x14ac:dyDescent="0.3">
      <c r="A493">
        <v>885</v>
      </c>
      <c r="B493" t="s">
        <v>19</v>
      </c>
      <c r="C493" s="1">
        <v>45927</v>
      </c>
      <c r="D493" s="1" t="str">
        <f xml:space="preserve"> TEXT(FilmaxData[[#This Row],[Show_Date]],"MMM")</f>
        <v>Sep</v>
      </c>
      <c r="E493" s="1" t="str">
        <f xml:space="preserve"> TEXT(FilmaxData[[#This Row],[Show_Date]],"DDD")</f>
        <v>Sat</v>
      </c>
      <c r="F493" t="s">
        <v>16</v>
      </c>
      <c r="G493" t="s">
        <v>17</v>
      </c>
      <c r="H493">
        <v>2</v>
      </c>
      <c r="I493">
        <v>12</v>
      </c>
      <c r="J493" t="s">
        <v>13</v>
      </c>
      <c r="K493" t="s">
        <v>14</v>
      </c>
      <c r="L493">
        <v>24</v>
      </c>
    </row>
    <row r="494" spans="1:12" x14ac:dyDescent="0.3">
      <c r="A494">
        <v>1626</v>
      </c>
      <c r="B494" t="s">
        <v>28</v>
      </c>
      <c r="C494" s="1">
        <v>45842</v>
      </c>
      <c r="D494" s="1" t="str">
        <f xml:space="preserve"> TEXT(FilmaxData[[#This Row],[Show_Date]],"MMM")</f>
        <v>Jul</v>
      </c>
      <c r="E494" s="1" t="str">
        <f xml:space="preserve"> TEXT(FilmaxData[[#This Row],[Show_Date]],"DDD")</f>
        <v>Fri</v>
      </c>
      <c r="F494" t="s">
        <v>20</v>
      </c>
      <c r="G494" t="s">
        <v>17</v>
      </c>
      <c r="H494">
        <v>3</v>
      </c>
      <c r="I494">
        <v>12</v>
      </c>
      <c r="J494" t="s">
        <v>13</v>
      </c>
      <c r="K494" t="s">
        <v>14</v>
      </c>
      <c r="L494">
        <v>36</v>
      </c>
    </row>
    <row r="495" spans="1:12" x14ac:dyDescent="0.3">
      <c r="A495">
        <v>1382</v>
      </c>
      <c r="B495" t="s">
        <v>31</v>
      </c>
      <c r="C495" s="1">
        <v>45901</v>
      </c>
      <c r="D495" s="1" t="str">
        <f xml:space="preserve"> TEXT(FilmaxData[[#This Row],[Show_Date]],"MMM")</f>
        <v>Sep</v>
      </c>
      <c r="E495" s="1" t="str">
        <f xml:space="preserve"> TEXT(FilmaxData[[#This Row],[Show_Date]],"DDD")</f>
        <v>Mon</v>
      </c>
      <c r="F495" t="s">
        <v>16</v>
      </c>
      <c r="G495" t="s">
        <v>17</v>
      </c>
      <c r="H495">
        <v>1</v>
      </c>
      <c r="I495">
        <v>12</v>
      </c>
      <c r="J495" t="s">
        <v>23</v>
      </c>
      <c r="K495" t="s">
        <v>14</v>
      </c>
      <c r="L495">
        <v>12</v>
      </c>
    </row>
    <row r="496" spans="1:12" x14ac:dyDescent="0.3">
      <c r="A496">
        <v>84</v>
      </c>
      <c r="B496" t="s">
        <v>19</v>
      </c>
      <c r="C496" s="1">
        <v>45895</v>
      </c>
      <c r="D496" s="1" t="str">
        <f xml:space="preserve"> TEXT(FilmaxData[[#This Row],[Show_Date]],"MMM")</f>
        <v>Aug</v>
      </c>
      <c r="E496" s="1" t="str">
        <f xml:space="preserve"> TEXT(FilmaxData[[#This Row],[Show_Date]],"DDD")</f>
        <v>Tue</v>
      </c>
      <c r="F496" t="s">
        <v>20</v>
      </c>
      <c r="G496" t="s">
        <v>29</v>
      </c>
      <c r="H496">
        <v>4</v>
      </c>
      <c r="I496">
        <v>30</v>
      </c>
      <c r="J496" t="s">
        <v>13</v>
      </c>
      <c r="K496" t="s">
        <v>14</v>
      </c>
      <c r="L496">
        <v>120</v>
      </c>
    </row>
    <row r="497" spans="1:12" x14ac:dyDescent="0.3">
      <c r="A497">
        <v>1496</v>
      </c>
      <c r="B497" t="s">
        <v>15</v>
      </c>
      <c r="C497" s="1">
        <v>45920</v>
      </c>
      <c r="D497" s="1" t="str">
        <f xml:space="preserve"> TEXT(FilmaxData[[#This Row],[Show_Date]],"MMM")</f>
        <v>Sep</v>
      </c>
      <c r="E497" s="1" t="str">
        <f xml:space="preserve"> TEXT(FilmaxData[[#This Row],[Show_Date]],"DDD")</f>
        <v>Sat</v>
      </c>
      <c r="F497" t="s">
        <v>33</v>
      </c>
      <c r="G497" t="s">
        <v>17</v>
      </c>
      <c r="H497">
        <v>1</v>
      </c>
      <c r="I497">
        <v>12</v>
      </c>
      <c r="J497" t="s">
        <v>21</v>
      </c>
      <c r="K497" t="s">
        <v>14</v>
      </c>
      <c r="L497">
        <v>12</v>
      </c>
    </row>
    <row r="498" spans="1:12" x14ac:dyDescent="0.3">
      <c r="A498">
        <v>1133</v>
      </c>
      <c r="B498" t="s">
        <v>10</v>
      </c>
      <c r="C498" s="1">
        <v>45920</v>
      </c>
      <c r="D498" s="1" t="str">
        <f xml:space="preserve"> TEXT(FilmaxData[[#This Row],[Show_Date]],"MMM")</f>
        <v>Sep</v>
      </c>
      <c r="E498" s="1" t="str">
        <f xml:space="preserve"> TEXT(FilmaxData[[#This Row],[Show_Date]],"DDD")</f>
        <v>Sat</v>
      </c>
      <c r="F498" t="s">
        <v>20</v>
      </c>
      <c r="G498" t="s">
        <v>29</v>
      </c>
      <c r="H498">
        <v>4</v>
      </c>
      <c r="I498">
        <v>30</v>
      </c>
      <c r="J498" t="s">
        <v>21</v>
      </c>
      <c r="K498" t="s">
        <v>25</v>
      </c>
      <c r="L498">
        <v>120</v>
      </c>
    </row>
    <row r="499" spans="1:12" x14ac:dyDescent="0.3">
      <c r="A499">
        <v>351</v>
      </c>
      <c r="B499" t="s">
        <v>31</v>
      </c>
      <c r="C499" s="1">
        <v>45863</v>
      </c>
      <c r="D499" s="1" t="str">
        <f xml:space="preserve"> TEXT(FilmaxData[[#This Row],[Show_Date]],"MMM")</f>
        <v>Jul</v>
      </c>
      <c r="E499" s="1" t="str">
        <f xml:space="preserve"> TEXT(FilmaxData[[#This Row],[Show_Date]],"DDD")</f>
        <v>Fri</v>
      </c>
      <c r="F499" t="s">
        <v>16</v>
      </c>
      <c r="G499" t="s">
        <v>12</v>
      </c>
      <c r="H499">
        <v>1</v>
      </c>
      <c r="I499">
        <v>25</v>
      </c>
      <c r="J499" t="s">
        <v>21</v>
      </c>
      <c r="K499" t="s">
        <v>27</v>
      </c>
      <c r="L499">
        <v>25</v>
      </c>
    </row>
    <row r="500" spans="1:12" x14ac:dyDescent="0.3">
      <c r="A500">
        <v>654</v>
      </c>
      <c r="B500" t="s">
        <v>15</v>
      </c>
      <c r="C500" s="1">
        <v>45855</v>
      </c>
      <c r="D500" s="1" t="str">
        <f xml:space="preserve"> TEXT(FilmaxData[[#This Row],[Show_Date]],"MMM")</f>
        <v>Jul</v>
      </c>
      <c r="E500" s="1" t="str">
        <f xml:space="preserve"> TEXT(FilmaxData[[#This Row],[Show_Date]],"DDD")</f>
        <v>Thu</v>
      </c>
      <c r="F500" t="s">
        <v>33</v>
      </c>
      <c r="G500" t="s">
        <v>17</v>
      </c>
      <c r="H500">
        <v>1</v>
      </c>
      <c r="I500">
        <v>12</v>
      </c>
      <c r="J500" t="s">
        <v>23</v>
      </c>
      <c r="K500" t="s">
        <v>27</v>
      </c>
      <c r="L500">
        <v>12</v>
      </c>
    </row>
    <row r="501" spans="1:12" x14ac:dyDescent="0.3">
      <c r="A501">
        <v>978</v>
      </c>
      <c r="B501" t="s">
        <v>19</v>
      </c>
      <c r="C501" s="1">
        <v>45895</v>
      </c>
      <c r="D501" s="1" t="str">
        <f xml:space="preserve"> TEXT(FilmaxData[[#This Row],[Show_Date]],"MMM")</f>
        <v>Aug</v>
      </c>
      <c r="E501" s="1" t="str">
        <f xml:space="preserve"> TEXT(FilmaxData[[#This Row],[Show_Date]],"DDD")</f>
        <v>Tue</v>
      </c>
      <c r="F501" t="s">
        <v>33</v>
      </c>
      <c r="G501" t="s">
        <v>17</v>
      </c>
      <c r="H501">
        <v>3</v>
      </c>
      <c r="I501">
        <v>12</v>
      </c>
      <c r="J501" t="s">
        <v>23</v>
      </c>
      <c r="K501" t="s">
        <v>27</v>
      </c>
      <c r="L501">
        <v>36</v>
      </c>
    </row>
    <row r="502" spans="1:12" x14ac:dyDescent="0.3">
      <c r="A502">
        <v>1090</v>
      </c>
      <c r="B502" t="s">
        <v>26</v>
      </c>
      <c r="C502" s="1">
        <v>45851</v>
      </c>
      <c r="D502" s="1" t="str">
        <f xml:space="preserve"> TEXT(FilmaxData[[#This Row],[Show_Date]],"MMM")</f>
        <v>Jul</v>
      </c>
      <c r="E502" s="1" t="str">
        <f xml:space="preserve"> TEXT(FilmaxData[[#This Row],[Show_Date]],"DDD")</f>
        <v>Sun</v>
      </c>
      <c r="F502" t="s">
        <v>16</v>
      </c>
      <c r="G502" t="s">
        <v>17</v>
      </c>
      <c r="H502">
        <v>3</v>
      </c>
      <c r="I502">
        <v>12</v>
      </c>
      <c r="J502" t="s">
        <v>21</v>
      </c>
      <c r="K502" t="s">
        <v>14</v>
      </c>
      <c r="L502">
        <v>36</v>
      </c>
    </row>
    <row r="503" spans="1:12" x14ac:dyDescent="0.3">
      <c r="A503">
        <v>1941</v>
      </c>
      <c r="B503" t="s">
        <v>28</v>
      </c>
      <c r="C503" s="1">
        <v>45878</v>
      </c>
      <c r="D503" s="1" t="str">
        <f xml:space="preserve"> TEXT(FilmaxData[[#This Row],[Show_Date]],"MMM")</f>
        <v>Aug</v>
      </c>
      <c r="E503" s="1" t="str">
        <f xml:space="preserve"> TEXT(FilmaxData[[#This Row],[Show_Date]],"DDD")</f>
        <v>Sat</v>
      </c>
      <c r="F503" t="s">
        <v>16</v>
      </c>
      <c r="G503" t="s">
        <v>30</v>
      </c>
      <c r="H503">
        <v>2</v>
      </c>
      <c r="I503">
        <v>8</v>
      </c>
      <c r="J503" t="s">
        <v>23</v>
      </c>
      <c r="K503" t="s">
        <v>14</v>
      </c>
      <c r="L503">
        <v>16</v>
      </c>
    </row>
    <row r="504" spans="1:12" x14ac:dyDescent="0.3">
      <c r="A504">
        <v>173</v>
      </c>
      <c r="B504" t="s">
        <v>32</v>
      </c>
      <c r="C504" s="1">
        <v>45893</v>
      </c>
      <c r="D504" s="1" t="str">
        <f xml:space="preserve"> TEXT(FilmaxData[[#This Row],[Show_Date]],"MMM")</f>
        <v>Aug</v>
      </c>
      <c r="E504" s="1" t="str">
        <f xml:space="preserve"> TEXT(FilmaxData[[#This Row],[Show_Date]],"DDD")</f>
        <v>Sun</v>
      </c>
      <c r="F504" t="s">
        <v>16</v>
      </c>
      <c r="G504" t="s">
        <v>17</v>
      </c>
      <c r="H504">
        <v>4</v>
      </c>
      <c r="I504">
        <v>12</v>
      </c>
      <c r="J504" t="s">
        <v>21</v>
      </c>
      <c r="K504" t="s">
        <v>14</v>
      </c>
      <c r="L504">
        <v>48</v>
      </c>
    </row>
    <row r="505" spans="1:12" x14ac:dyDescent="0.3">
      <c r="A505">
        <v>1238</v>
      </c>
      <c r="B505" t="s">
        <v>19</v>
      </c>
      <c r="C505" s="1">
        <v>45912</v>
      </c>
      <c r="D505" s="1" t="str">
        <f xml:space="preserve"> TEXT(FilmaxData[[#This Row],[Show_Date]],"MMM")</f>
        <v>Sep</v>
      </c>
      <c r="E505" s="1" t="str">
        <f xml:space="preserve"> TEXT(FilmaxData[[#This Row],[Show_Date]],"DDD")</f>
        <v>Fri</v>
      </c>
      <c r="F505" t="s">
        <v>11</v>
      </c>
      <c r="G505" t="s">
        <v>29</v>
      </c>
      <c r="H505">
        <v>5</v>
      </c>
      <c r="I505">
        <v>30</v>
      </c>
      <c r="J505" t="s">
        <v>21</v>
      </c>
      <c r="K505" t="s">
        <v>18</v>
      </c>
      <c r="L505">
        <v>150</v>
      </c>
    </row>
    <row r="506" spans="1:12" x14ac:dyDescent="0.3">
      <c r="A506">
        <v>1401</v>
      </c>
      <c r="B506" t="s">
        <v>32</v>
      </c>
      <c r="C506" s="1">
        <v>45895</v>
      </c>
      <c r="D506" s="1" t="str">
        <f xml:space="preserve"> TEXT(FilmaxData[[#This Row],[Show_Date]],"MMM")</f>
        <v>Aug</v>
      </c>
      <c r="E506" s="1" t="str">
        <f xml:space="preserve"> TEXT(FilmaxData[[#This Row],[Show_Date]],"DDD")</f>
        <v>Tue</v>
      </c>
      <c r="F506" t="s">
        <v>16</v>
      </c>
      <c r="G506" t="s">
        <v>17</v>
      </c>
      <c r="H506">
        <v>2</v>
      </c>
      <c r="I506">
        <v>12</v>
      </c>
      <c r="J506" t="s">
        <v>23</v>
      </c>
      <c r="K506" t="s">
        <v>25</v>
      </c>
      <c r="L506">
        <v>24</v>
      </c>
    </row>
    <row r="507" spans="1:12" x14ac:dyDescent="0.3">
      <c r="A507">
        <v>22</v>
      </c>
      <c r="B507" t="s">
        <v>15</v>
      </c>
      <c r="C507" s="1">
        <v>45886</v>
      </c>
      <c r="D507" s="1" t="str">
        <f xml:space="preserve"> TEXT(FilmaxData[[#This Row],[Show_Date]],"MMM")</f>
        <v>Aug</v>
      </c>
      <c r="E507" s="1" t="str">
        <f xml:space="preserve"> TEXT(FilmaxData[[#This Row],[Show_Date]],"DDD")</f>
        <v>Sun</v>
      </c>
      <c r="F507" t="s">
        <v>11</v>
      </c>
      <c r="G507" t="s">
        <v>12</v>
      </c>
      <c r="H507">
        <v>4</v>
      </c>
      <c r="I507">
        <v>25</v>
      </c>
      <c r="J507" t="s">
        <v>13</v>
      </c>
      <c r="K507" t="s">
        <v>27</v>
      </c>
      <c r="L507">
        <v>100</v>
      </c>
    </row>
    <row r="508" spans="1:12" x14ac:dyDescent="0.3">
      <c r="A508">
        <v>430</v>
      </c>
      <c r="B508" t="s">
        <v>31</v>
      </c>
      <c r="C508" s="1">
        <v>45866</v>
      </c>
      <c r="D508" s="1" t="str">
        <f xml:space="preserve"> TEXT(FilmaxData[[#This Row],[Show_Date]],"MMM")</f>
        <v>Jul</v>
      </c>
      <c r="E508" s="1" t="str">
        <f xml:space="preserve"> TEXT(FilmaxData[[#This Row],[Show_Date]],"DDD")</f>
        <v>Mon</v>
      </c>
      <c r="F508" t="s">
        <v>11</v>
      </c>
      <c r="G508" t="s">
        <v>22</v>
      </c>
      <c r="H508">
        <v>2</v>
      </c>
      <c r="I508">
        <v>20</v>
      </c>
      <c r="J508" t="s">
        <v>23</v>
      </c>
      <c r="K508" t="s">
        <v>25</v>
      </c>
      <c r="L508">
        <v>40</v>
      </c>
    </row>
    <row r="509" spans="1:12" x14ac:dyDescent="0.3">
      <c r="A509">
        <v>483</v>
      </c>
      <c r="B509" t="s">
        <v>15</v>
      </c>
      <c r="C509" s="1">
        <v>45917</v>
      </c>
      <c r="D509" s="1" t="str">
        <f xml:space="preserve"> TEXT(FilmaxData[[#This Row],[Show_Date]],"MMM")</f>
        <v>Sep</v>
      </c>
      <c r="E509" s="1" t="str">
        <f xml:space="preserve"> TEXT(FilmaxData[[#This Row],[Show_Date]],"DDD")</f>
        <v>Wed</v>
      </c>
      <c r="F509" t="s">
        <v>33</v>
      </c>
      <c r="G509" t="s">
        <v>29</v>
      </c>
      <c r="H509">
        <v>4</v>
      </c>
      <c r="I509">
        <v>30</v>
      </c>
      <c r="J509" t="s">
        <v>13</v>
      </c>
      <c r="K509" t="s">
        <v>27</v>
      </c>
      <c r="L509">
        <v>120</v>
      </c>
    </row>
    <row r="510" spans="1:12" x14ac:dyDescent="0.3">
      <c r="A510">
        <v>1651</v>
      </c>
      <c r="B510" t="s">
        <v>32</v>
      </c>
      <c r="C510" s="1">
        <v>45845</v>
      </c>
      <c r="D510" s="1" t="str">
        <f xml:space="preserve"> TEXT(FilmaxData[[#This Row],[Show_Date]],"MMM")</f>
        <v>Jul</v>
      </c>
      <c r="E510" s="1" t="str">
        <f xml:space="preserve"> TEXT(FilmaxData[[#This Row],[Show_Date]],"DDD")</f>
        <v>Mon</v>
      </c>
      <c r="F510" t="s">
        <v>20</v>
      </c>
      <c r="G510" t="s">
        <v>30</v>
      </c>
      <c r="H510">
        <v>2</v>
      </c>
      <c r="I510">
        <v>8</v>
      </c>
      <c r="J510" t="s">
        <v>23</v>
      </c>
      <c r="K510" t="s">
        <v>18</v>
      </c>
      <c r="L510">
        <v>16</v>
      </c>
    </row>
    <row r="511" spans="1:12" x14ac:dyDescent="0.3">
      <c r="A511">
        <v>767</v>
      </c>
      <c r="B511" t="s">
        <v>15</v>
      </c>
      <c r="C511" s="1">
        <v>45877</v>
      </c>
      <c r="D511" s="1" t="str">
        <f xml:space="preserve"> TEXT(FilmaxData[[#This Row],[Show_Date]],"MMM")</f>
        <v>Aug</v>
      </c>
      <c r="E511" s="1" t="str">
        <f xml:space="preserve"> TEXT(FilmaxData[[#This Row],[Show_Date]],"DDD")</f>
        <v>Fri</v>
      </c>
      <c r="F511" t="s">
        <v>20</v>
      </c>
      <c r="G511" t="s">
        <v>12</v>
      </c>
      <c r="H511">
        <v>4</v>
      </c>
      <c r="I511">
        <v>25</v>
      </c>
      <c r="J511" t="s">
        <v>21</v>
      </c>
      <c r="K511" t="s">
        <v>27</v>
      </c>
      <c r="L511">
        <v>100</v>
      </c>
    </row>
    <row r="512" spans="1:12" x14ac:dyDescent="0.3">
      <c r="A512">
        <v>1649</v>
      </c>
      <c r="B512" t="s">
        <v>24</v>
      </c>
      <c r="C512" s="1">
        <v>45921</v>
      </c>
      <c r="D512" s="1" t="str">
        <f xml:space="preserve"> TEXT(FilmaxData[[#This Row],[Show_Date]],"MMM")</f>
        <v>Sep</v>
      </c>
      <c r="E512" s="1" t="str">
        <f xml:space="preserve"> TEXT(FilmaxData[[#This Row],[Show_Date]],"DDD")</f>
        <v>Sun</v>
      </c>
      <c r="F512" t="s">
        <v>33</v>
      </c>
      <c r="G512" t="s">
        <v>12</v>
      </c>
      <c r="H512">
        <v>5</v>
      </c>
      <c r="I512">
        <v>25</v>
      </c>
      <c r="J512" t="s">
        <v>21</v>
      </c>
      <c r="K512" t="s">
        <v>27</v>
      </c>
      <c r="L512">
        <v>125</v>
      </c>
    </row>
    <row r="513" spans="1:12" x14ac:dyDescent="0.3">
      <c r="A513">
        <v>463</v>
      </c>
      <c r="B513" t="s">
        <v>10</v>
      </c>
      <c r="C513" s="1">
        <v>45855</v>
      </c>
      <c r="D513" s="1" t="str">
        <f xml:space="preserve"> TEXT(FilmaxData[[#This Row],[Show_Date]],"MMM")</f>
        <v>Jul</v>
      </c>
      <c r="E513" s="1" t="str">
        <f xml:space="preserve"> TEXT(FilmaxData[[#This Row],[Show_Date]],"DDD")</f>
        <v>Thu</v>
      </c>
      <c r="F513" t="s">
        <v>11</v>
      </c>
      <c r="G513" t="s">
        <v>12</v>
      </c>
      <c r="H513">
        <v>5</v>
      </c>
      <c r="I513">
        <v>25</v>
      </c>
      <c r="J513" t="s">
        <v>21</v>
      </c>
      <c r="K513" t="s">
        <v>14</v>
      </c>
      <c r="L513">
        <v>125</v>
      </c>
    </row>
    <row r="514" spans="1:12" x14ac:dyDescent="0.3">
      <c r="A514">
        <v>236</v>
      </c>
      <c r="B514" t="s">
        <v>31</v>
      </c>
      <c r="C514" s="1">
        <v>45922</v>
      </c>
      <c r="D514" s="1" t="str">
        <f xml:space="preserve"> TEXT(FilmaxData[[#This Row],[Show_Date]],"MMM")</f>
        <v>Sep</v>
      </c>
      <c r="E514" s="1" t="str">
        <f xml:space="preserve"> TEXT(FilmaxData[[#This Row],[Show_Date]],"DDD")</f>
        <v>Mon</v>
      </c>
      <c r="F514" t="s">
        <v>16</v>
      </c>
      <c r="G514" t="s">
        <v>12</v>
      </c>
      <c r="H514">
        <v>3</v>
      </c>
      <c r="I514">
        <v>25</v>
      </c>
      <c r="J514" t="s">
        <v>13</v>
      </c>
      <c r="K514" t="s">
        <v>14</v>
      </c>
      <c r="L514">
        <v>75</v>
      </c>
    </row>
    <row r="515" spans="1:12" x14ac:dyDescent="0.3">
      <c r="A515">
        <v>1336</v>
      </c>
      <c r="B515" t="s">
        <v>10</v>
      </c>
      <c r="C515" s="1">
        <v>45878</v>
      </c>
      <c r="D515" s="1" t="str">
        <f xml:space="preserve"> TEXT(FilmaxData[[#This Row],[Show_Date]],"MMM")</f>
        <v>Aug</v>
      </c>
      <c r="E515" s="1" t="str">
        <f xml:space="preserve"> TEXT(FilmaxData[[#This Row],[Show_Date]],"DDD")</f>
        <v>Sat</v>
      </c>
      <c r="F515" t="s">
        <v>33</v>
      </c>
      <c r="G515" t="s">
        <v>30</v>
      </c>
      <c r="H515">
        <v>3</v>
      </c>
      <c r="I515">
        <v>8</v>
      </c>
      <c r="J515" t="s">
        <v>23</v>
      </c>
      <c r="K515" t="s">
        <v>18</v>
      </c>
      <c r="L515">
        <v>24</v>
      </c>
    </row>
    <row r="516" spans="1:12" x14ac:dyDescent="0.3">
      <c r="A516">
        <v>1798</v>
      </c>
      <c r="B516" t="s">
        <v>26</v>
      </c>
      <c r="C516" s="1">
        <v>45892</v>
      </c>
      <c r="D516" s="1" t="str">
        <f xml:space="preserve"> TEXT(FilmaxData[[#This Row],[Show_Date]],"MMM")</f>
        <v>Aug</v>
      </c>
      <c r="E516" s="1" t="str">
        <f xml:space="preserve"> TEXT(FilmaxData[[#This Row],[Show_Date]],"DDD")</f>
        <v>Sat</v>
      </c>
      <c r="F516" t="s">
        <v>16</v>
      </c>
      <c r="G516" t="s">
        <v>17</v>
      </c>
      <c r="H516">
        <v>5</v>
      </c>
      <c r="I516">
        <v>12</v>
      </c>
      <c r="J516" t="s">
        <v>13</v>
      </c>
      <c r="K516" t="s">
        <v>27</v>
      </c>
      <c r="L516">
        <v>60</v>
      </c>
    </row>
    <row r="517" spans="1:12" x14ac:dyDescent="0.3">
      <c r="A517">
        <v>1453</v>
      </c>
      <c r="B517" t="s">
        <v>19</v>
      </c>
      <c r="C517" s="1">
        <v>45898</v>
      </c>
      <c r="D517" s="1" t="str">
        <f xml:space="preserve"> TEXT(FilmaxData[[#This Row],[Show_Date]],"MMM")</f>
        <v>Aug</v>
      </c>
      <c r="E517" s="1" t="str">
        <f xml:space="preserve"> TEXT(FilmaxData[[#This Row],[Show_Date]],"DDD")</f>
        <v>Fri</v>
      </c>
      <c r="F517" t="s">
        <v>16</v>
      </c>
      <c r="G517" t="s">
        <v>30</v>
      </c>
      <c r="H517">
        <v>5</v>
      </c>
      <c r="I517">
        <v>8</v>
      </c>
      <c r="J517" t="s">
        <v>21</v>
      </c>
      <c r="K517" t="s">
        <v>27</v>
      </c>
      <c r="L517">
        <v>40</v>
      </c>
    </row>
    <row r="518" spans="1:12" x14ac:dyDescent="0.3">
      <c r="A518">
        <v>1581</v>
      </c>
      <c r="B518" t="s">
        <v>31</v>
      </c>
      <c r="C518" s="1">
        <v>45871</v>
      </c>
      <c r="D518" s="1" t="str">
        <f xml:space="preserve"> TEXT(FilmaxData[[#This Row],[Show_Date]],"MMM")</f>
        <v>Aug</v>
      </c>
      <c r="E518" s="1" t="str">
        <f xml:space="preserve"> TEXT(FilmaxData[[#This Row],[Show_Date]],"DDD")</f>
        <v>Sat</v>
      </c>
      <c r="F518" t="s">
        <v>11</v>
      </c>
      <c r="G518" t="s">
        <v>17</v>
      </c>
      <c r="H518">
        <v>5</v>
      </c>
      <c r="I518">
        <v>12</v>
      </c>
      <c r="J518" t="s">
        <v>21</v>
      </c>
      <c r="K518" t="s">
        <v>25</v>
      </c>
      <c r="L518">
        <v>60</v>
      </c>
    </row>
    <row r="519" spans="1:12" x14ac:dyDescent="0.3">
      <c r="A519">
        <v>294</v>
      </c>
      <c r="B519" t="s">
        <v>26</v>
      </c>
      <c r="C519" s="1">
        <v>45854</v>
      </c>
      <c r="D519" s="1" t="str">
        <f xml:space="preserve"> TEXT(FilmaxData[[#This Row],[Show_Date]],"MMM")</f>
        <v>Jul</v>
      </c>
      <c r="E519" s="1" t="str">
        <f xml:space="preserve"> TEXT(FilmaxData[[#This Row],[Show_Date]],"DDD")</f>
        <v>Wed</v>
      </c>
      <c r="F519" t="s">
        <v>16</v>
      </c>
      <c r="G519" t="s">
        <v>12</v>
      </c>
      <c r="H519">
        <v>4</v>
      </c>
      <c r="I519">
        <v>25</v>
      </c>
      <c r="J519" t="s">
        <v>21</v>
      </c>
      <c r="K519" t="s">
        <v>25</v>
      </c>
      <c r="L519">
        <v>100</v>
      </c>
    </row>
    <row r="520" spans="1:12" x14ac:dyDescent="0.3">
      <c r="A520">
        <v>880</v>
      </c>
      <c r="B520" t="s">
        <v>15</v>
      </c>
      <c r="C520" s="1">
        <v>45867</v>
      </c>
      <c r="D520" s="1" t="str">
        <f xml:space="preserve"> TEXT(FilmaxData[[#This Row],[Show_Date]],"MMM")</f>
        <v>Jul</v>
      </c>
      <c r="E520" s="1" t="str">
        <f xml:space="preserve"> TEXT(FilmaxData[[#This Row],[Show_Date]],"DDD")</f>
        <v>Tue</v>
      </c>
      <c r="F520" t="s">
        <v>16</v>
      </c>
      <c r="G520" t="s">
        <v>17</v>
      </c>
      <c r="H520">
        <v>2</v>
      </c>
      <c r="I520">
        <v>12</v>
      </c>
      <c r="J520" t="s">
        <v>23</v>
      </c>
      <c r="K520" t="s">
        <v>18</v>
      </c>
      <c r="L520">
        <v>24</v>
      </c>
    </row>
    <row r="521" spans="1:12" x14ac:dyDescent="0.3">
      <c r="A521">
        <v>616</v>
      </c>
      <c r="B521" t="s">
        <v>32</v>
      </c>
      <c r="C521" s="1">
        <v>45897</v>
      </c>
      <c r="D521" s="1" t="str">
        <f xml:space="preserve"> TEXT(FilmaxData[[#This Row],[Show_Date]],"MMM")</f>
        <v>Aug</v>
      </c>
      <c r="E521" s="1" t="str">
        <f xml:space="preserve"> TEXT(FilmaxData[[#This Row],[Show_Date]],"DDD")</f>
        <v>Thu</v>
      </c>
      <c r="F521" t="s">
        <v>16</v>
      </c>
      <c r="G521" t="s">
        <v>17</v>
      </c>
      <c r="H521">
        <v>1</v>
      </c>
      <c r="I521">
        <v>12</v>
      </c>
      <c r="J521" t="s">
        <v>13</v>
      </c>
      <c r="K521" t="s">
        <v>27</v>
      </c>
      <c r="L521">
        <v>12</v>
      </c>
    </row>
    <row r="522" spans="1:12" x14ac:dyDescent="0.3">
      <c r="A522">
        <v>141</v>
      </c>
      <c r="B522" t="s">
        <v>19</v>
      </c>
      <c r="C522" s="1">
        <v>45860</v>
      </c>
      <c r="D522" s="1" t="str">
        <f xml:space="preserve"> TEXT(FilmaxData[[#This Row],[Show_Date]],"MMM")</f>
        <v>Jul</v>
      </c>
      <c r="E522" s="1" t="str">
        <f xml:space="preserve"> TEXT(FilmaxData[[#This Row],[Show_Date]],"DDD")</f>
        <v>Tue</v>
      </c>
      <c r="F522" t="s">
        <v>16</v>
      </c>
      <c r="G522" t="s">
        <v>22</v>
      </c>
      <c r="H522">
        <v>2</v>
      </c>
      <c r="I522">
        <v>20</v>
      </c>
      <c r="J522" t="s">
        <v>13</v>
      </c>
      <c r="K522" t="s">
        <v>14</v>
      </c>
      <c r="L522">
        <v>40</v>
      </c>
    </row>
    <row r="523" spans="1:12" x14ac:dyDescent="0.3">
      <c r="A523">
        <v>1535</v>
      </c>
      <c r="B523" t="s">
        <v>32</v>
      </c>
      <c r="C523" s="1">
        <v>45842</v>
      </c>
      <c r="D523" s="1" t="str">
        <f xml:space="preserve"> TEXT(FilmaxData[[#This Row],[Show_Date]],"MMM")</f>
        <v>Jul</v>
      </c>
      <c r="E523" s="1" t="str">
        <f xml:space="preserve"> TEXT(FilmaxData[[#This Row],[Show_Date]],"DDD")</f>
        <v>Fri</v>
      </c>
      <c r="F523" t="s">
        <v>16</v>
      </c>
      <c r="G523" t="s">
        <v>17</v>
      </c>
      <c r="H523">
        <v>1</v>
      </c>
      <c r="I523">
        <v>12</v>
      </c>
      <c r="J523" t="s">
        <v>13</v>
      </c>
      <c r="K523" t="s">
        <v>27</v>
      </c>
      <c r="L523">
        <v>12</v>
      </c>
    </row>
    <row r="524" spans="1:12" x14ac:dyDescent="0.3">
      <c r="A524">
        <v>859</v>
      </c>
      <c r="B524" t="s">
        <v>26</v>
      </c>
      <c r="C524" s="1">
        <v>45899</v>
      </c>
      <c r="D524" s="1" t="str">
        <f xml:space="preserve"> TEXT(FilmaxData[[#This Row],[Show_Date]],"MMM")</f>
        <v>Aug</v>
      </c>
      <c r="E524" s="1" t="str">
        <f xml:space="preserve"> TEXT(FilmaxData[[#This Row],[Show_Date]],"DDD")</f>
        <v>Sat</v>
      </c>
      <c r="F524" t="s">
        <v>33</v>
      </c>
      <c r="G524" t="s">
        <v>17</v>
      </c>
      <c r="H524">
        <v>2</v>
      </c>
      <c r="I524">
        <v>12</v>
      </c>
      <c r="J524" t="s">
        <v>13</v>
      </c>
      <c r="K524" t="s">
        <v>14</v>
      </c>
      <c r="L524">
        <v>24</v>
      </c>
    </row>
    <row r="525" spans="1:12" x14ac:dyDescent="0.3">
      <c r="A525">
        <v>621</v>
      </c>
      <c r="B525" t="s">
        <v>31</v>
      </c>
      <c r="C525" s="1">
        <v>45903</v>
      </c>
      <c r="D525" s="1" t="str">
        <f xml:space="preserve"> TEXT(FilmaxData[[#This Row],[Show_Date]],"MMM")</f>
        <v>Sep</v>
      </c>
      <c r="E525" s="1" t="str">
        <f xml:space="preserve"> TEXT(FilmaxData[[#This Row],[Show_Date]],"DDD")</f>
        <v>Wed</v>
      </c>
      <c r="F525" t="s">
        <v>11</v>
      </c>
      <c r="G525" t="s">
        <v>30</v>
      </c>
      <c r="H525">
        <v>2</v>
      </c>
      <c r="I525">
        <v>8</v>
      </c>
      <c r="J525" t="s">
        <v>21</v>
      </c>
      <c r="K525" t="s">
        <v>25</v>
      </c>
      <c r="L525">
        <v>16</v>
      </c>
    </row>
    <row r="526" spans="1:12" x14ac:dyDescent="0.3">
      <c r="A526">
        <v>745</v>
      </c>
      <c r="B526" t="s">
        <v>32</v>
      </c>
      <c r="C526" s="1">
        <v>45864</v>
      </c>
      <c r="D526" s="1" t="str">
        <f xml:space="preserve"> TEXT(FilmaxData[[#This Row],[Show_Date]],"MMM")</f>
        <v>Jul</v>
      </c>
      <c r="E526" s="1" t="str">
        <f xml:space="preserve"> TEXT(FilmaxData[[#This Row],[Show_Date]],"DDD")</f>
        <v>Sat</v>
      </c>
      <c r="F526" t="s">
        <v>33</v>
      </c>
      <c r="G526" t="s">
        <v>12</v>
      </c>
      <c r="H526">
        <v>1</v>
      </c>
      <c r="I526">
        <v>25</v>
      </c>
      <c r="J526" t="s">
        <v>23</v>
      </c>
      <c r="K526" t="s">
        <v>14</v>
      </c>
      <c r="L526">
        <v>25</v>
      </c>
    </row>
    <row r="527" spans="1:12" x14ac:dyDescent="0.3">
      <c r="A527">
        <v>272</v>
      </c>
      <c r="B527" t="s">
        <v>19</v>
      </c>
      <c r="C527" s="1">
        <v>45888</v>
      </c>
      <c r="D527" s="1" t="str">
        <f xml:space="preserve"> TEXT(FilmaxData[[#This Row],[Show_Date]],"MMM")</f>
        <v>Aug</v>
      </c>
      <c r="E527" s="1" t="str">
        <f xml:space="preserve"> TEXT(FilmaxData[[#This Row],[Show_Date]],"DDD")</f>
        <v>Tue</v>
      </c>
      <c r="F527" t="s">
        <v>33</v>
      </c>
      <c r="G527" t="s">
        <v>17</v>
      </c>
      <c r="H527">
        <v>3</v>
      </c>
      <c r="I527">
        <v>12</v>
      </c>
      <c r="J527" t="s">
        <v>23</v>
      </c>
      <c r="K527" t="s">
        <v>14</v>
      </c>
      <c r="L527">
        <v>36</v>
      </c>
    </row>
    <row r="528" spans="1:12" x14ac:dyDescent="0.3">
      <c r="A528">
        <v>25</v>
      </c>
      <c r="B528" t="s">
        <v>31</v>
      </c>
      <c r="C528" s="1">
        <v>45839</v>
      </c>
      <c r="D528" s="1" t="str">
        <f xml:space="preserve"> TEXT(FilmaxData[[#This Row],[Show_Date]],"MMM")</f>
        <v>Jul</v>
      </c>
      <c r="E528" s="1" t="str">
        <f xml:space="preserve"> TEXT(FilmaxData[[#This Row],[Show_Date]],"DDD")</f>
        <v>Tue</v>
      </c>
      <c r="F528" t="s">
        <v>33</v>
      </c>
      <c r="G528" t="s">
        <v>17</v>
      </c>
      <c r="H528">
        <v>3</v>
      </c>
      <c r="I528">
        <v>12</v>
      </c>
      <c r="J528" t="s">
        <v>13</v>
      </c>
      <c r="K528" t="s">
        <v>27</v>
      </c>
      <c r="L528">
        <v>36</v>
      </c>
    </row>
    <row r="529" spans="1:12" x14ac:dyDescent="0.3">
      <c r="A529">
        <v>895</v>
      </c>
      <c r="B529" t="s">
        <v>31</v>
      </c>
      <c r="C529" s="1">
        <v>45875</v>
      </c>
      <c r="D529" s="1" t="str">
        <f xml:space="preserve"> TEXT(FilmaxData[[#This Row],[Show_Date]],"MMM")</f>
        <v>Aug</v>
      </c>
      <c r="E529" s="1" t="str">
        <f xml:space="preserve"> TEXT(FilmaxData[[#This Row],[Show_Date]],"DDD")</f>
        <v>Wed</v>
      </c>
      <c r="F529" t="s">
        <v>11</v>
      </c>
      <c r="G529" t="s">
        <v>17</v>
      </c>
      <c r="H529">
        <v>3</v>
      </c>
      <c r="I529">
        <v>12</v>
      </c>
      <c r="J529" t="s">
        <v>13</v>
      </c>
      <c r="K529" t="s">
        <v>27</v>
      </c>
      <c r="L529">
        <v>36</v>
      </c>
    </row>
    <row r="530" spans="1:12" x14ac:dyDescent="0.3">
      <c r="A530">
        <v>827</v>
      </c>
      <c r="B530" t="s">
        <v>32</v>
      </c>
      <c r="C530" s="1">
        <v>45904</v>
      </c>
      <c r="D530" s="1" t="str">
        <f xml:space="preserve"> TEXT(FilmaxData[[#This Row],[Show_Date]],"MMM")</f>
        <v>Sep</v>
      </c>
      <c r="E530" s="1" t="str">
        <f xml:space="preserve"> TEXT(FilmaxData[[#This Row],[Show_Date]],"DDD")</f>
        <v>Thu</v>
      </c>
      <c r="F530" t="s">
        <v>20</v>
      </c>
      <c r="G530" t="s">
        <v>30</v>
      </c>
      <c r="H530">
        <v>2</v>
      </c>
      <c r="I530">
        <v>8</v>
      </c>
      <c r="J530" t="s">
        <v>13</v>
      </c>
      <c r="K530" t="s">
        <v>27</v>
      </c>
      <c r="L530">
        <v>16</v>
      </c>
    </row>
    <row r="531" spans="1:12" x14ac:dyDescent="0.3">
      <c r="A531">
        <v>1307</v>
      </c>
      <c r="B531" t="s">
        <v>19</v>
      </c>
      <c r="C531" s="1">
        <v>45841</v>
      </c>
      <c r="D531" s="1" t="str">
        <f xml:space="preserve"> TEXT(FilmaxData[[#This Row],[Show_Date]],"MMM")</f>
        <v>Jul</v>
      </c>
      <c r="E531" s="1" t="str">
        <f xml:space="preserve"> TEXT(FilmaxData[[#This Row],[Show_Date]],"DDD")</f>
        <v>Thu</v>
      </c>
      <c r="F531" t="s">
        <v>20</v>
      </c>
      <c r="G531" t="s">
        <v>17</v>
      </c>
      <c r="H531">
        <v>2</v>
      </c>
      <c r="I531">
        <v>12</v>
      </c>
      <c r="J531" t="s">
        <v>21</v>
      </c>
      <c r="K531" t="s">
        <v>27</v>
      </c>
      <c r="L531">
        <v>24</v>
      </c>
    </row>
    <row r="532" spans="1:12" x14ac:dyDescent="0.3">
      <c r="A532">
        <v>917</v>
      </c>
      <c r="B532" t="s">
        <v>26</v>
      </c>
      <c r="C532" s="1">
        <v>45861</v>
      </c>
      <c r="D532" s="1" t="str">
        <f xml:space="preserve"> TEXT(FilmaxData[[#This Row],[Show_Date]],"MMM")</f>
        <v>Jul</v>
      </c>
      <c r="E532" s="1" t="str">
        <f xml:space="preserve"> TEXT(FilmaxData[[#This Row],[Show_Date]],"DDD")</f>
        <v>Wed</v>
      </c>
      <c r="F532" t="s">
        <v>11</v>
      </c>
      <c r="G532" t="s">
        <v>30</v>
      </c>
      <c r="H532">
        <v>2</v>
      </c>
      <c r="I532">
        <v>8</v>
      </c>
      <c r="J532" t="s">
        <v>21</v>
      </c>
      <c r="K532" t="s">
        <v>18</v>
      </c>
      <c r="L532">
        <v>16</v>
      </c>
    </row>
    <row r="533" spans="1:12" x14ac:dyDescent="0.3">
      <c r="A533">
        <v>241</v>
      </c>
      <c r="B533" t="s">
        <v>26</v>
      </c>
      <c r="C533" s="1">
        <v>45852</v>
      </c>
      <c r="D533" s="1" t="str">
        <f xml:space="preserve"> TEXT(FilmaxData[[#This Row],[Show_Date]],"MMM")</f>
        <v>Jul</v>
      </c>
      <c r="E533" s="1" t="str">
        <f xml:space="preserve"> TEXT(FilmaxData[[#This Row],[Show_Date]],"DDD")</f>
        <v>Mon</v>
      </c>
      <c r="F533" t="s">
        <v>11</v>
      </c>
      <c r="G533" t="s">
        <v>30</v>
      </c>
      <c r="H533">
        <v>4</v>
      </c>
      <c r="I533">
        <v>8</v>
      </c>
      <c r="J533" t="s">
        <v>21</v>
      </c>
      <c r="K533" t="s">
        <v>25</v>
      </c>
      <c r="L533">
        <v>32</v>
      </c>
    </row>
    <row r="534" spans="1:12" x14ac:dyDescent="0.3">
      <c r="A534">
        <v>1504</v>
      </c>
      <c r="B534" t="s">
        <v>32</v>
      </c>
      <c r="C534" s="1">
        <v>45930</v>
      </c>
      <c r="D534" s="1" t="str">
        <f xml:space="preserve"> TEXT(FilmaxData[[#This Row],[Show_Date]],"MMM")</f>
        <v>Sep</v>
      </c>
      <c r="E534" s="1" t="str">
        <f xml:space="preserve"> TEXT(FilmaxData[[#This Row],[Show_Date]],"DDD")</f>
        <v>Tue</v>
      </c>
      <c r="F534" t="s">
        <v>11</v>
      </c>
      <c r="G534" t="s">
        <v>17</v>
      </c>
      <c r="H534">
        <v>2</v>
      </c>
      <c r="I534">
        <v>12</v>
      </c>
      <c r="J534" t="s">
        <v>21</v>
      </c>
      <c r="K534" t="s">
        <v>14</v>
      </c>
      <c r="L534">
        <v>24</v>
      </c>
    </row>
    <row r="535" spans="1:12" x14ac:dyDescent="0.3">
      <c r="A535">
        <v>1392</v>
      </c>
      <c r="B535" t="s">
        <v>10</v>
      </c>
      <c r="C535" s="1">
        <v>45892</v>
      </c>
      <c r="D535" s="1" t="str">
        <f xml:space="preserve"> TEXT(FilmaxData[[#This Row],[Show_Date]],"MMM")</f>
        <v>Aug</v>
      </c>
      <c r="E535" s="1" t="str">
        <f xml:space="preserve"> TEXT(FilmaxData[[#This Row],[Show_Date]],"DDD")</f>
        <v>Sat</v>
      </c>
      <c r="F535" t="s">
        <v>11</v>
      </c>
      <c r="G535" t="s">
        <v>22</v>
      </c>
      <c r="H535">
        <v>2</v>
      </c>
      <c r="I535">
        <v>20</v>
      </c>
      <c r="J535" t="s">
        <v>13</v>
      </c>
      <c r="K535" t="s">
        <v>18</v>
      </c>
      <c r="L535">
        <v>40</v>
      </c>
    </row>
    <row r="536" spans="1:12" x14ac:dyDescent="0.3">
      <c r="A536">
        <v>634</v>
      </c>
      <c r="B536" t="s">
        <v>10</v>
      </c>
      <c r="C536" s="1">
        <v>45905</v>
      </c>
      <c r="D536" s="1" t="str">
        <f xml:space="preserve"> TEXT(FilmaxData[[#This Row],[Show_Date]],"MMM")</f>
        <v>Sep</v>
      </c>
      <c r="E536" s="1" t="str">
        <f xml:space="preserve"> TEXT(FilmaxData[[#This Row],[Show_Date]],"DDD")</f>
        <v>Fri</v>
      </c>
      <c r="F536" t="s">
        <v>11</v>
      </c>
      <c r="G536" t="s">
        <v>17</v>
      </c>
      <c r="H536">
        <v>2</v>
      </c>
      <c r="I536">
        <v>12</v>
      </c>
      <c r="J536" t="s">
        <v>21</v>
      </c>
      <c r="K536" t="s">
        <v>25</v>
      </c>
      <c r="L536">
        <v>24</v>
      </c>
    </row>
    <row r="537" spans="1:12" x14ac:dyDescent="0.3">
      <c r="A537">
        <v>1671</v>
      </c>
      <c r="B537" t="s">
        <v>10</v>
      </c>
      <c r="C537" s="1">
        <v>45885</v>
      </c>
      <c r="D537" s="1" t="str">
        <f xml:space="preserve"> TEXT(FilmaxData[[#This Row],[Show_Date]],"MMM")</f>
        <v>Aug</v>
      </c>
      <c r="E537" s="1" t="str">
        <f xml:space="preserve"> TEXT(FilmaxData[[#This Row],[Show_Date]],"DDD")</f>
        <v>Sat</v>
      </c>
      <c r="F537" t="s">
        <v>11</v>
      </c>
      <c r="G537" t="s">
        <v>17</v>
      </c>
      <c r="H537">
        <v>2</v>
      </c>
      <c r="I537">
        <v>12</v>
      </c>
      <c r="J537" t="s">
        <v>13</v>
      </c>
      <c r="K537" t="s">
        <v>27</v>
      </c>
      <c r="L537">
        <v>24</v>
      </c>
    </row>
    <row r="538" spans="1:12" x14ac:dyDescent="0.3">
      <c r="A538">
        <v>1888</v>
      </c>
      <c r="B538" t="s">
        <v>10</v>
      </c>
      <c r="C538" s="1">
        <v>45883</v>
      </c>
      <c r="D538" s="1" t="str">
        <f xml:space="preserve"> TEXT(FilmaxData[[#This Row],[Show_Date]],"MMM")</f>
        <v>Aug</v>
      </c>
      <c r="E538" s="1" t="str">
        <f xml:space="preserve"> TEXT(FilmaxData[[#This Row],[Show_Date]],"DDD")</f>
        <v>Thu</v>
      </c>
      <c r="F538" t="s">
        <v>11</v>
      </c>
      <c r="G538" t="s">
        <v>12</v>
      </c>
      <c r="H538">
        <v>3</v>
      </c>
      <c r="I538">
        <v>25</v>
      </c>
      <c r="J538" t="s">
        <v>21</v>
      </c>
      <c r="K538" t="s">
        <v>27</v>
      </c>
      <c r="L538">
        <v>75</v>
      </c>
    </row>
    <row r="539" spans="1:12" x14ac:dyDescent="0.3">
      <c r="A539">
        <v>1168</v>
      </c>
      <c r="B539" t="s">
        <v>10</v>
      </c>
      <c r="C539" s="1">
        <v>45874</v>
      </c>
      <c r="D539" s="1" t="str">
        <f xml:space="preserve"> TEXT(FilmaxData[[#This Row],[Show_Date]],"MMM")</f>
        <v>Aug</v>
      </c>
      <c r="E539" s="1" t="str">
        <f xml:space="preserve"> TEXT(FilmaxData[[#This Row],[Show_Date]],"DDD")</f>
        <v>Tue</v>
      </c>
      <c r="F539" t="s">
        <v>11</v>
      </c>
      <c r="G539" t="s">
        <v>17</v>
      </c>
      <c r="H539">
        <v>1</v>
      </c>
      <c r="I539">
        <v>12</v>
      </c>
      <c r="J539" t="s">
        <v>23</v>
      </c>
      <c r="K539" t="s">
        <v>27</v>
      </c>
      <c r="L539">
        <v>12</v>
      </c>
    </row>
    <row r="540" spans="1:12" x14ac:dyDescent="0.3">
      <c r="A540">
        <v>1543</v>
      </c>
      <c r="B540" t="s">
        <v>10</v>
      </c>
      <c r="C540" s="1">
        <v>45905</v>
      </c>
      <c r="D540" s="1" t="str">
        <f xml:space="preserve"> TEXT(FilmaxData[[#This Row],[Show_Date]],"MMM")</f>
        <v>Sep</v>
      </c>
      <c r="E540" s="1" t="str">
        <f xml:space="preserve"> TEXT(FilmaxData[[#This Row],[Show_Date]],"DDD")</f>
        <v>Fri</v>
      </c>
      <c r="F540" t="s">
        <v>11</v>
      </c>
      <c r="G540" t="s">
        <v>17</v>
      </c>
      <c r="H540">
        <v>1</v>
      </c>
      <c r="I540">
        <v>12</v>
      </c>
      <c r="J540" t="s">
        <v>13</v>
      </c>
      <c r="K540" t="s">
        <v>14</v>
      </c>
      <c r="L540">
        <v>12</v>
      </c>
    </row>
    <row r="541" spans="1:12" x14ac:dyDescent="0.3">
      <c r="A541">
        <v>1656</v>
      </c>
      <c r="B541" t="s">
        <v>10</v>
      </c>
      <c r="C541" s="1">
        <v>45846</v>
      </c>
      <c r="D541" s="1" t="str">
        <f xml:space="preserve"> TEXT(FilmaxData[[#This Row],[Show_Date]],"MMM")</f>
        <v>Jul</v>
      </c>
      <c r="E541" s="1" t="str">
        <f xml:space="preserve"> TEXT(FilmaxData[[#This Row],[Show_Date]],"DDD")</f>
        <v>Tue</v>
      </c>
      <c r="F541" t="s">
        <v>11</v>
      </c>
      <c r="G541" t="s">
        <v>17</v>
      </c>
      <c r="H541">
        <v>1</v>
      </c>
      <c r="I541">
        <v>12</v>
      </c>
      <c r="J541" t="s">
        <v>13</v>
      </c>
      <c r="K541" t="s">
        <v>18</v>
      </c>
      <c r="L541">
        <v>12</v>
      </c>
    </row>
    <row r="542" spans="1:12" x14ac:dyDescent="0.3">
      <c r="A542">
        <v>1482</v>
      </c>
      <c r="B542" t="s">
        <v>10</v>
      </c>
      <c r="C542" s="1">
        <v>45892</v>
      </c>
      <c r="D542" s="1" t="str">
        <f xml:space="preserve"> TEXT(FilmaxData[[#This Row],[Show_Date]],"MMM")</f>
        <v>Aug</v>
      </c>
      <c r="E542" s="1" t="str">
        <f xml:space="preserve"> TEXT(FilmaxData[[#This Row],[Show_Date]],"DDD")</f>
        <v>Sat</v>
      </c>
      <c r="F542" t="s">
        <v>11</v>
      </c>
      <c r="G542" t="s">
        <v>12</v>
      </c>
      <c r="H542">
        <v>5</v>
      </c>
      <c r="I542">
        <v>25</v>
      </c>
      <c r="J542" t="s">
        <v>23</v>
      </c>
      <c r="K542" t="s">
        <v>25</v>
      </c>
      <c r="L542">
        <v>125</v>
      </c>
    </row>
    <row r="543" spans="1:12" x14ac:dyDescent="0.3">
      <c r="A543">
        <v>1372</v>
      </c>
      <c r="B543" t="s">
        <v>10</v>
      </c>
      <c r="C543" s="1">
        <v>45920</v>
      </c>
      <c r="D543" s="1" t="str">
        <f xml:space="preserve"> TEXT(FilmaxData[[#This Row],[Show_Date]],"MMM")</f>
        <v>Sep</v>
      </c>
      <c r="E543" s="1" t="str">
        <f xml:space="preserve"> TEXT(FilmaxData[[#This Row],[Show_Date]],"DDD")</f>
        <v>Sat</v>
      </c>
      <c r="F543" t="s">
        <v>11</v>
      </c>
      <c r="G543" t="s">
        <v>12</v>
      </c>
      <c r="H543">
        <v>3</v>
      </c>
      <c r="I543">
        <v>25</v>
      </c>
      <c r="J543" t="s">
        <v>23</v>
      </c>
      <c r="K543" t="s">
        <v>25</v>
      </c>
      <c r="L543">
        <v>75</v>
      </c>
    </row>
    <row r="544" spans="1:12" x14ac:dyDescent="0.3">
      <c r="A544">
        <v>285</v>
      </c>
      <c r="B544" t="s">
        <v>26</v>
      </c>
      <c r="C544" s="1">
        <v>45902</v>
      </c>
      <c r="D544" s="1" t="str">
        <f xml:space="preserve"> TEXT(FilmaxData[[#This Row],[Show_Date]],"MMM")</f>
        <v>Sep</v>
      </c>
      <c r="E544" s="1" t="str">
        <f xml:space="preserve"> TEXT(FilmaxData[[#This Row],[Show_Date]],"DDD")</f>
        <v>Tue</v>
      </c>
      <c r="F544" t="s">
        <v>11</v>
      </c>
      <c r="G544" t="s">
        <v>17</v>
      </c>
      <c r="H544">
        <v>3</v>
      </c>
      <c r="I544">
        <v>12</v>
      </c>
      <c r="J544" t="s">
        <v>21</v>
      </c>
      <c r="K544" t="s">
        <v>18</v>
      </c>
      <c r="L544">
        <v>36</v>
      </c>
    </row>
    <row r="545" spans="1:12" x14ac:dyDescent="0.3">
      <c r="A545">
        <v>542</v>
      </c>
      <c r="B545" t="s">
        <v>26</v>
      </c>
      <c r="C545" s="1">
        <v>45899</v>
      </c>
      <c r="D545" s="1" t="str">
        <f xml:space="preserve"> TEXT(FilmaxData[[#This Row],[Show_Date]],"MMM")</f>
        <v>Aug</v>
      </c>
      <c r="E545" s="1" t="str">
        <f xml:space="preserve"> TEXT(FilmaxData[[#This Row],[Show_Date]],"DDD")</f>
        <v>Sat</v>
      </c>
      <c r="F545" t="s">
        <v>11</v>
      </c>
      <c r="G545" t="s">
        <v>30</v>
      </c>
      <c r="H545">
        <v>4</v>
      </c>
      <c r="I545">
        <v>8</v>
      </c>
      <c r="J545" t="s">
        <v>21</v>
      </c>
      <c r="K545" t="s">
        <v>27</v>
      </c>
      <c r="L545">
        <v>32</v>
      </c>
    </row>
    <row r="546" spans="1:12" x14ac:dyDescent="0.3">
      <c r="A546">
        <v>1613</v>
      </c>
      <c r="B546" t="s">
        <v>19</v>
      </c>
      <c r="C546" s="1">
        <v>45876</v>
      </c>
      <c r="D546" s="1" t="str">
        <f xml:space="preserve"> TEXT(FilmaxData[[#This Row],[Show_Date]],"MMM")</f>
        <v>Aug</v>
      </c>
      <c r="E546" s="1" t="str">
        <f xml:space="preserve"> TEXT(FilmaxData[[#This Row],[Show_Date]],"DDD")</f>
        <v>Thu</v>
      </c>
      <c r="F546" t="s">
        <v>11</v>
      </c>
      <c r="G546" t="s">
        <v>17</v>
      </c>
      <c r="H546">
        <v>4</v>
      </c>
      <c r="I546">
        <v>12</v>
      </c>
      <c r="J546" t="s">
        <v>21</v>
      </c>
      <c r="K546" t="s">
        <v>25</v>
      </c>
      <c r="L546">
        <v>48</v>
      </c>
    </row>
    <row r="547" spans="1:12" x14ac:dyDescent="0.3">
      <c r="A547">
        <v>1237</v>
      </c>
      <c r="B547" t="s">
        <v>24</v>
      </c>
      <c r="C547" s="1">
        <v>45909</v>
      </c>
      <c r="D547" s="1" t="str">
        <f xml:space="preserve"> TEXT(FilmaxData[[#This Row],[Show_Date]],"MMM")</f>
        <v>Sep</v>
      </c>
      <c r="E547" s="1" t="str">
        <f xml:space="preserve"> TEXT(FilmaxData[[#This Row],[Show_Date]],"DDD")</f>
        <v>Tue</v>
      </c>
      <c r="F547" t="s">
        <v>11</v>
      </c>
      <c r="G547" t="s">
        <v>17</v>
      </c>
      <c r="H547">
        <v>5</v>
      </c>
      <c r="I547">
        <v>12</v>
      </c>
      <c r="J547" t="s">
        <v>13</v>
      </c>
      <c r="K547" t="s">
        <v>18</v>
      </c>
      <c r="L547">
        <v>60</v>
      </c>
    </row>
    <row r="548" spans="1:12" x14ac:dyDescent="0.3">
      <c r="A548">
        <v>434</v>
      </c>
      <c r="B548" t="s">
        <v>19</v>
      </c>
      <c r="C548" s="1">
        <v>45852</v>
      </c>
      <c r="D548" s="1" t="str">
        <f xml:space="preserve"> TEXT(FilmaxData[[#This Row],[Show_Date]],"MMM")</f>
        <v>Jul</v>
      </c>
      <c r="E548" s="1" t="str">
        <f xml:space="preserve"> TEXT(FilmaxData[[#This Row],[Show_Date]],"DDD")</f>
        <v>Mon</v>
      </c>
      <c r="F548" t="s">
        <v>11</v>
      </c>
      <c r="G548" t="s">
        <v>17</v>
      </c>
      <c r="H548">
        <v>1</v>
      </c>
      <c r="I548">
        <v>12</v>
      </c>
      <c r="J548" t="s">
        <v>23</v>
      </c>
      <c r="K548" t="s">
        <v>27</v>
      </c>
      <c r="L548">
        <v>12</v>
      </c>
    </row>
    <row r="549" spans="1:12" x14ac:dyDescent="0.3">
      <c r="A549">
        <v>1522</v>
      </c>
      <c r="B549" t="s">
        <v>24</v>
      </c>
      <c r="C549" s="1">
        <v>45849</v>
      </c>
      <c r="D549" s="1" t="str">
        <f xml:space="preserve"> TEXT(FilmaxData[[#This Row],[Show_Date]],"MMM")</f>
        <v>Jul</v>
      </c>
      <c r="E549" s="1" t="str">
        <f xml:space="preserve"> TEXT(FilmaxData[[#This Row],[Show_Date]],"DDD")</f>
        <v>Fri</v>
      </c>
      <c r="F549" t="s">
        <v>11</v>
      </c>
      <c r="G549" t="s">
        <v>17</v>
      </c>
      <c r="H549">
        <v>5</v>
      </c>
      <c r="I549">
        <v>12</v>
      </c>
      <c r="J549" t="s">
        <v>13</v>
      </c>
      <c r="K549" t="s">
        <v>27</v>
      </c>
      <c r="L549">
        <v>60</v>
      </c>
    </row>
    <row r="550" spans="1:12" x14ac:dyDescent="0.3">
      <c r="A550">
        <v>21</v>
      </c>
      <c r="B550" t="s">
        <v>10</v>
      </c>
      <c r="C550" s="1">
        <v>45880</v>
      </c>
      <c r="D550" s="1" t="str">
        <f xml:space="preserve"> TEXT(FilmaxData[[#This Row],[Show_Date]],"MMM")</f>
        <v>Aug</v>
      </c>
      <c r="E550" s="1" t="str">
        <f xml:space="preserve"> TEXT(FilmaxData[[#This Row],[Show_Date]],"DDD")</f>
        <v>Mon</v>
      </c>
      <c r="F550" t="s">
        <v>11</v>
      </c>
      <c r="G550" t="s">
        <v>29</v>
      </c>
      <c r="H550">
        <v>4</v>
      </c>
      <c r="I550">
        <v>30</v>
      </c>
      <c r="J550" t="s">
        <v>13</v>
      </c>
      <c r="K550" t="s">
        <v>27</v>
      </c>
      <c r="L550">
        <v>120</v>
      </c>
    </row>
    <row r="551" spans="1:12" x14ac:dyDescent="0.3">
      <c r="A551">
        <v>764</v>
      </c>
      <c r="B551" t="s">
        <v>26</v>
      </c>
      <c r="C551" s="1">
        <v>45865</v>
      </c>
      <c r="D551" s="1" t="str">
        <f xml:space="preserve"> TEXT(FilmaxData[[#This Row],[Show_Date]],"MMM")</f>
        <v>Jul</v>
      </c>
      <c r="E551" s="1" t="str">
        <f xml:space="preserve"> TEXT(FilmaxData[[#This Row],[Show_Date]],"DDD")</f>
        <v>Sun</v>
      </c>
      <c r="F551" t="s">
        <v>11</v>
      </c>
      <c r="G551" t="s">
        <v>17</v>
      </c>
      <c r="H551">
        <v>1</v>
      </c>
      <c r="I551">
        <v>12</v>
      </c>
      <c r="J551" t="s">
        <v>23</v>
      </c>
      <c r="K551" t="s">
        <v>27</v>
      </c>
      <c r="L551">
        <v>12</v>
      </c>
    </row>
    <row r="552" spans="1:12" x14ac:dyDescent="0.3">
      <c r="A552">
        <v>1874</v>
      </c>
      <c r="B552" t="s">
        <v>10</v>
      </c>
      <c r="C552" s="1">
        <v>45871</v>
      </c>
      <c r="D552" s="1" t="str">
        <f xml:space="preserve"> TEXT(FilmaxData[[#This Row],[Show_Date]],"MMM")</f>
        <v>Aug</v>
      </c>
      <c r="E552" s="1" t="str">
        <f xml:space="preserve"> TEXT(FilmaxData[[#This Row],[Show_Date]],"DDD")</f>
        <v>Sat</v>
      </c>
      <c r="F552" t="s">
        <v>11</v>
      </c>
      <c r="G552" t="s">
        <v>22</v>
      </c>
      <c r="H552">
        <v>2</v>
      </c>
      <c r="I552">
        <v>20</v>
      </c>
      <c r="J552" t="s">
        <v>21</v>
      </c>
      <c r="K552" t="s">
        <v>25</v>
      </c>
      <c r="L552">
        <v>40</v>
      </c>
    </row>
    <row r="553" spans="1:12" x14ac:dyDescent="0.3">
      <c r="A553">
        <v>928</v>
      </c>
      <c r="B553" t="s">
        <v>31</v>
      </c>
      <c r="C553" s="1">
        <v>45865</v>
      </c>
      <c r="D553" s="1" t="str">
        <f xml:space="preserve"> TEXT(FilmaxData[[#This Row],[Show_Date]],"MMM")</f>
        <v>Jul</v>
      </c>
      <c r="E553" s="1" t="str">
        <f xml:space="preserve"> TEXT(FilmaxData[[#This Row],[Show_Date]],"DDD")</f>
        <v>Sun</v>
      </c>
      <c r="F553" t="s">
        <v>11</v>
      </c>
      <c r="G553" t="s">
        <v>29</v>
      </c>
      <c r="H553">
        <v>2</v>
      </c>
      <c r="I553">
        <v>30</v>
      </c>
      <c r="J553" t="s">
        <v>23</v>
      </c>
      <c r="K553" t="s">
        <v>27</v>
      </c>
      <c r="L553">
        <v>60</v>
      </c>
    </row>
    <row r="554" spans="1:12" x14ac:dyDescent="0.3">
      <c r="A554">
        <v>1850</v>
      </c>
      <c r="B554" t="s">
        <v>26</v>
      </c>
      <c r="C554" s="1">
        <v>45865</v>
      </c>
      <c r="D554" s="1" t="str">
        <f xml:space="preserve"> TEXT(FilmaxData[[#This Row],[Show_Date]],"MMM")</f>
        <v>Jul</v>
      </c>
      <c r="E554" s="1" t="str">
        <f xml:space="preserve"> TEXT(FilmaxData[[#This Row],[Show_Date]],"DDD")</f>
        <v>Sun</v>
      </c>
      <c r="F554" t="s">
        <v>11</v>
      </c>
      <c r="G554" t="s">
        <v>17</v>
      </c>
      <c r="H554">
        <v>1</v>
      </c>
      <c r="I554">
        <v>12</v>
      </c>
      <c r="J554" t="s">
        <v>23</v>
      </c>
      <c r="K554" t="s">
        <v>27</v>
      </c>
      <c r="L554">
        <v>12</v>
      </c>
    </row>
    <row r="555" spans="1:12" x14ac:dyDescent="0.3">
      <c r="A555">
        <v>735</v>
      </c>
      <c r="B555" t="s">
        <v>26</v>
      </c>
      <c r="C555" s="1">
        <v>45869</v>
      </c>
      <c r="D555" s="1" t="str">
        <f xml:space="preserve"> TEXT(FilmaxData[[#This Row],[Show_Date]],"MMM")</f>
        <v>Jul</v>
      </c>
      <c r="E555" s="1" t="str">
        <f xml:space="preserve"> TEXT(FilmaxData[[#This Row],[Show_Date]],"DDD")</f>
        <v>Thu</v>
      </c>
      <c r="F555" t="s">
        <v>11</v>
      </c>
      <c r="G555" t="s">
        <v>29</v>
      </c>
      <c r="H555">
        <v>4</v>
      </c>
      <c r="I555">
        <v>30</v>
      </c>
      <c r="J555" t="s">
        <v>23</v>
      </c>
      <c r="K555" t="s">
        <v>27</v>
      </c>
      <c r="L555">
        <v>120</v>
      </c>
    </row>
    <row r="556" spans="1:12" x14ac:dyDescent="0.3">
      <c r="A556">
        <v>611</v>
      </c>
      <c r="B556" t="s">
        <v>15</v>
      </c>
      <c r="C556" s="1">
        <v>45879</v>
      </c>
      <c r="D556" s="1" t="str">
        <f xml:space="preserve"> TEXT(FilmaxData[[#This Row],[Show_Date]],"MMM")</f>
        <v>Aug</v>
      </c>
      <c r="E556" s="1" t="str">
        <f xml:space="preserve"> TEXT(FilmaxData[[#This Row],[Show_Date]],"DDD")</f>
        <v>Sun</v>
      </c>
      <c r="F556" t="s">
        <v>11</v>
      </c>
      <c r="G556" t="s">
        <v>22</v>
      </c>
      <c r="H556">
        <v>2</v>
      </c>
      <c r="I556">
        <v>20</v>
      </c>
      <c r="J556" t="s">
        <v>13</v>
      </c>
      <c r="K556" t="s">
        <v>18</v>
      </c>
      <c r="L556">
        <v>40</v>
      </c>
    </row>
    <row r="557" spans="1:12" x14ac:dyDescent="0.3">
      <c r="A557">
        <v>609</v>
      </c>
      <c r="B557" t="s">
        <v>31</v>
      </c>
      <c r="C557" s="1">
        <v>45893</v>
      </c>
      <c r="D557" s="1" t="str">
        <f xml:space="preserve"> TEXT(FilmaxData[[#This Row],[Show_Date]],"MMM")</f>
        <v>Aug</v>
      </c>
      <c r="E557" s="1" t="str">
        <f xml:space="preserve"> TEXT(FilmaxData[[#This Row],[Show_Date]],"DDD")</f>
        <v>Sun</v>
      </c>
      <c r="F557" t="s">
        <v>11</v>
      </c>
      <c r="G557" t="s">
        <v>30</v>
      </c>
      <c r="H557">
        <v>3</v>
      </c>
      <c r="I557">
        <v>8</v>
      </c>
      <c r="J557" t="s">
        <v>13</v>
      </c>
      <c r="K557" t="s">
        <v>25</v>
      </c>
      <c r="L557">
        <v>24</v>
      </c>
    </row>
    <row r="558" spans="1:12" x14ac:dyDescent="0.3">
      <c r="A558">
        <v>196</v>
      </c>
      <c r="B558" t="s">
        <v>26</v>
      </c>
      <c r="C558" s="1">
        <v>45855</v>
      </c>
      <c r="D558" s="1" t="str">
        <f xml:space="preserve"> TEXT(FilmaxData[[#This Row],[Show_Date]],"MMM")</f>
        <v>Jul</v>
      </c>
      <c r="E558" s="1" t="str">
        <f xml:space="preserve"> TEXT(FilmaxData[[#This Row],[Show_Date]],"DDD")</f>
        <v>Thu</v>
      </c>
      <c r="F558" t="s">
        <v>11</v>
      </c>
      <c r="G558" t="s">
        <v>17</v>
      </c>
      <c r="H558">
        <v>3</v>
      </c>
      <c r="I558">
        <v>12</v>
      </c>
      <c r="J558" t="s">
        <v>21</v>
      </c>
      <c r="K558" t="s">
        <v>25</v>
      </c>
      <c r="L558">
        <v>36</v>
      </c>
    </row>
    <row r="559" spans="1:12" x14ac:dyDescent="0.3">
      <c r="A559">
        <v>1485</v>
      </c>
      <c r="B559" t="s">
        <v>28</v>
      </c>
      <c r="C559" s="1">
        <v>45882</v>
      </c>
      <c r="D559" s="1" t="str">
        <f xml:space="preserve"> TEXT(FilmaxData[[#This Row],[Show_Date]],"MMM")</f>
        <v>Aug</v>
      </c>
      <c r="E559" s="1" t="str">
        <f xml:space="preserve"> TEXT(FilmaxData[[#This Row],[Show_Date]],"DDD")</f>
        <v>Wed</v>
      </c>
      <c r="F559" t="s">
        <v>11</v>
      </c>
      <c r="G559" t="s">
        <v>12</v>
      </c>
      <c r="H559">
        <v>2</v>
      </c>
      <c r="I559">
        <v>25</v>
      </c>
      <c r="J559" t="s">
        <v>23</v>
      </c>
      <c r="K559" t="s">
        <v>14</v>
      </c>
      <c r="L559">
        <v>50</v>
      </c>
    </row>
    <row r="560" spans="1:12" x14ac:dyDescent="0.3">
      <c r="A560">
        <v>1388</v>
      </c>
      <c r="B560" t="s">
        <v>31</v>
      </c>
      <c r="C560" s="1">
        <v>45921</v>
      </c>
      <c r="D560" s="1" t="str">
        <f xml:space="preserve"> TEXT(FilmaxData[[#This Row],[Show_Date]],"MMM")</f>
        <v>Sep</v>
      </c>
      <c r="E560" s="1" t="str">
        <f xml:space="preserve"> TEXT(FilmaxData[[#This Row],[Show_Date]],"DDD")</f>
        <v>Sun</v>
      </c>
      <c r="F560" t="s">
        <v>11</v>
      </c>
      <c r="G560" t="s">
        <v>12</v>
      </c>
      <c r="H560">
        <v>1</v>
      </c>
      <c r="I560">
        <v>25</v>
      </c>
      <c r="J560" t="s">
        <v>13</v>
      </c>
      <c r="K560" t="s">
        <v>14</v>
      </c>
      <c r="L560">
        <v>25</v>
      </c>
    </row>
    <row r="561" spans="1:12" x14ac:dyDescent="0.3">
      <c r="A561">
        <v>1082</v>
      </c>
      <c r="B561" t="s">
        <v>15</v>
      </c>
      <c r="C561" s="1">
        <v>45880</v>
      </c>
      <c r="D561" s="1" t="str">
        <f xml:space="preserve"> TEXT(FilmaxData[[#This Row],[Show_Date]],"MMM")</f>
        <v>Aug</v>
      </c>
      <c r="E561" s="1" t="str">
        <f xml:space="preserve"> TEXT(FilmaxData[[#This Row],[Show_Date]],"DDD")</f>
        <v>Mon</v>
      </c>
      <c r="F561" t="s">
        <v>11</v>
      </c>
      <c r="G561" t="s">
        <v>22</v>
      </c>
      <c r="H561">
        <v>3</v>
      </c>
      <c r="I561">
        <v>20</v>
      </c>
      <c r="J561" t="s">
        <v>21</v>
      </c>
      <c r="K561" t="s">
        <v>14</v>
      </c>
      <c r="L561">
        <v>60</v>
      </c>
    </row>
    <row r="562" spans="1:12" x14ac:dyDescent="0.3">
      <c r="A562">
        <v>1705</v>
      </c>
      <c r="B562" t="s">
        <v>32</v>
      </c>
      <c r="C562" s="1">
        <v>45913</v>
      </c>
      <c r="D562" s="1" t="str">
        <f xml:space="preserve"> TEXT(FilmaxData[[#This Row],[Show_Date]],"MMM")</f>
        <v>Sep</v>
      </c>
      <c r="E562" s="1" t="str">
        <f xml:space="preserve"> TEXT(FilmaxData[[#This Row],[Show_Date]],"DDD")</f>
        <v>Sat</v>
      </c>
      <c r="F562" t="s">
        <v>11</v>
      </c>
      <c r="G562" t="s">
        <v>29</v>
      </c>
      <c r="H562">
        <v>4</v>
      </c>
      <c r="I562">
        <v>30</v>
      </c>
      <c r="J562" t="s">
        <v>21</v>
      </c>
      <c r="K562" t="s">
        <v>18</v>
      </c>
      <c r="L562">
        <v>120</v>
      </c>
    </row>
    <row r="563" spans="1:12" x14ac:dyDescent="0.3">
      <c r="A563">
        <v>1460</v>
      </c>
      <c r="B563" t="s">
        <v>32</v>
      </c>
      <c r="C563" s="1">
        <v>45887</v>
      </c>
      <c r="D563" s="1" t="str">
        <f xml:space="preserve"> TEXT(FilmaxData[[#This Row],[Show_Date]],"MMM")</f>
        <v>Aug</v>
      </c>
      <c r="E563" s="1" t="str">
        <f xml:space="preserve"> TEXT(FilmaxData[[#This Row],[Show_Date]],"DDD")</f>
        <v>Mon</v>
      </c>
      <c r="F563" t="s">
        <v>11</v>
      </c>
      <c r="G563" t="s">
        <v>12</v>
      </c>
      <c r="H563">
        <v>5</v>
      </c>
      <c r="I563">
        <v>25</v>
      </c>
      <c r="J563" t="s">
        <v>13</v>
      </c>
      <c r="K563" t="s">
        <v>25</v>
      </c>
      <c r="L563">
        <v>125</v>
      </c>
    </row>
    <row r="564" spans="1:12" x14ac:dyDescent="0.3">
      <c r="A564">
        <v>376</v>
      </c>
      <c r="B564" t="s">
        <v>31</v>
      </c>
      <c r="C564" s="1">
        <v>45889</v>
      </c>
      <c r="D564" s="1" t="str">
        <f xml:space="preserve"> TEXT(FilmaxData[[#This Row],[Show_Date]],"MMM")</f>
        <v>Aug</v>
      </c>
      <c r="E564" s="1" t="str">
        <f xml:space="preserve"> TEXT(FilmaxData[[#This Row],[Show_Date]],"DDD")</f>
        <v>Wed</v>
      </c>
      <c r="F564" t="s">
        <v>11</v>
      </c>
      <c r="G564" t="s">
        <v>17</v>
      </c>
      <c r="H564">
        <v>1</v>
      </c>
      <c r="I564">
        <v>12</v>
      </c>
      <c r="J564" t="s">
        <v>21</v>
      </c>
      <c r="K564" t="s">
        <v>14</v>
      </c>
      <c r="L564">
        <v>12</v>
      </c>
    </row>
    <row r="565" spans="1:12" x14ac:dyDescent="0.3">
      <c r="A565">
        <v>556</v>
      </c>
      <c r="B565" t="s">
        <v>19</v>
      </c>
      <c r="C565" s="1">
        <v>45900</v>
      </c>
      <c r="D565" s="1" t="str">
        <f xml:space="preserve"> TEXT(FilmaxData[[#This Row],[Show_Date]],"MMM")</f>
        <v>Aug</v>
      </c>
      <c r="E565" s="1" t="str">
        <f xml:space="preserve"> TEXT(FilmaxData[[#This Row],[Show_Date]],"DDD")</f>
        <v>Sun</v>
      </c>
      <c r="F565" t="s">
        <v>11</v>
      </c>
      <c r="G565" t="s">
        <v>29</v>
      </c>
      <c r="H565">
        <v>5</v>
      </c>
      <c r="I565">
        <v>30</v>
      </c>
      <c r="J565" t="s">
        <v>13</v>
      </c>
      <c r="K565" t="s">
        <v>14</v>
      </c>
      <c r="L565">
        <v>150</v>
      </c>
    </row>
    <row r="566" spans="1:12" x14ac:dyDescent="0.3">
      <c r="A566">
        <v>16</v>
      </c>
      <c r="B566" t="s">
        <v>15</v>
      </c>
      <c r="C566" s="1">
        <v>45916</v>
      </c>
      <c r="D566" s="1" t="str">
        <f xml:space="preserve"> TEXT(FilmaxData[[#This Row],[Show_Date]],"MMM")</f>
        <v>Sep</v>
      </c>
      <c r="E566" s="1" t="str">
        <f xml:space="preserve"> TEXT(FilmaxData[[#This Row],[Show_Date]],"DDD")</f>
        <v>Tue</v>
      </c>
      <c r="F566" t="s">
        <v>11</v>
      </c>
      <c r="G566" t="s">
        <v>17</v>
      </c>
      <c r="H566">
        <v>2</v>
      </c>
      <c r="I566">
        <v>12</v>
      </c>
      <c r="J566" t="s">
        <v>21</v>
      </c>
      <c r="K566" t="s">
        <v>25</v>
      </c>
      <c r="L566">
        <v>24</v>
      </c>
    </row>
    <row r="567" spans="1:12" x14ac:dyDescent="0.3">
      <c r="A567">
        <v>1752</v>
      </c>
      <c r="B567" t="s">
        <v>19</v>
      </c>
      <c r="C567" s="1">
        <v>45914</v>
      </c>
      <c r="D567" s="1" t="str">
        <f xml:space="preserve"> TEXT(FilmaxData[[#This Row],[Show_Date]],"MMM")</f>
        <v>Sep</v>
      </c>
      <c r="E567" s="1" t="str">
        <f xml:space="preserve"> TEXT(FilmaxData[[#This Row],[Show_Date]],"DDD")</f>
        <v>Sun</v>
      </c>
      <c r="F567" t="s">
        <v>11</v>
      </c>
      <c r="G567" t="s">
        <v>29</v>
      </c>
      <c r="H567">
        <v>4</v>
      </c>
      <c r="I567">
        <v>30</v>
      </c>
      <c r="J567" t="s">
        <v>23</v>
      </c>
      <c r="K567" t="s">
        <v>27</v>
      </c>
      <c r="L567">
        <v>120</v>
      </c>
    </row>
    <row r="568" spans="1:12" x14ac:dyDescent="0.3">
      <c r="A568">
        <v>1861</v>
      </c>
      <c r="B568" t="s">
        <v>10</v>
      </c>
      <c r="C568" s="1">
        <v>45886</v>
      </c>
      <c r="D568" s="1" t="str">
        <f xml:space="preserve"> TEXT(FilmaxData[[#This Row],[Show_Date]],"MMM")</f>
        <v>Aug</v>
      </c>
      <c r="E568" s="1" t="str">
        <f xml:space="preserve"> TEXT(FilmaxData[[#This Row],[Show_Date]],"DDD")</f>
        <v>Sun</v>
      </c>
      <c r="F568" t="s">
        <v>11</v>
      </c>
      <c r="G568" t="s">
        <v>22</v>
      </c>
      <c r="H568">
        <v>3</v>
      </c>
      <c r="I568">
        <v>20</v>
      </c>
      <c r="J568" t="s">
        <v>21</v>
      </c>
      <c r="K568" t="s">
        <v>25</v>
      </c>
      <c r="L568">
        <v>60</v>
      </c>
    </row>
    <row r="569" spans="1:12" x14ac:dyDescent="0.3">
      <c r="A569">
        <v>113</v>
      </c>
      <c r="B569" t="s">
        <v>19</v>
      </c>
      <c r="C569" s="1">
        <v>45892</v>
      </c>
      <c r="D569" s="1" t="str">
        <f xml:space="preserve"> TEXT(FilmaxData[[#This Row],[Show_Date]],"MMM")</f>
        <v>Aug</v>
      </c>
      <c r="E569" s="1" t="str">
        <f xml:space="preserve"> TEXT(FilmaxData[[#This Row],[Show_Date]],"DDD")</f>
        <v>Sat</v>
      </c>
      <c r="F569" t="s">
        <v>11</v>
      </c>
      <c r="G569" t="s">
        <v>17</v>
      </c>
      <c r="H569">
        <v>5</v>
      </c>
      <c r="I569">
        <v>12</v>
      </c>
      <c r="J569" t="s">
        <v>13</v>
      </c>
      <c r="K569" t="s">
        <v>18</v>
      </c>
      <c r="L569">
        <v>60</v>
      </c>
    </row>
    <row r="570" spans="1:12" x14ac:dyDescent="0.3">
      <c r="A570">
        <v>776</v>
      </c>
      <c r="B570" t="s">
        <v>15</v>
      </c>
      <c r="C570" s="1">
        <v>45888</v>
      </c>
      <c r="D570" s="1" t="str">
        <f xml:space="preserve"> TEXT(FilmaxData[[#This Row],[Show_Date]],"MMM")</f>
        <v>Aug</v>
      </c>
      <c r="E570" s="1" t="str">
        <f xml:space="preserve"> TEXT(FilmaxData[[#This Row],[Show_Date]],"DDD")</f>
        <v>Tue</v>
      </c>
      <c r="F570" t="s">
        <v>11</v>
      </c>
      <c r="G570" t="s">
        <v>17</v>
      </c>
      <c r="H570">
        <v>2</v>
      </c>
      <c r="I570">
        <v>12</v>
      </c>
      <c r="J570" t="s">
        <v>23</v>
      </c>
      <c r="K570" t="s">
        <v>14</v>
      </c>
      <c r="L570">
        <v>24</v>
      </c>
    </row>
    <row r="571" spans="1:12" x14ac:dyDescent="0.3">
      <c r="A571">
        <v>1302</v>
      </c>
      <c r="B571" t="s">
        <v>31</v>
      </c>
      <c r="C571" s="1">
        <v>45888</v>
      </c>
      <c r="D571" s="1" t="str">
        <f xml:space="preserve"> TEXT(FilmaxData[[#This Row],[Show_Date]],"MMM")</f>
        <v>Aug</v>
      </c>
      <c r="E571" s="1" t="str">
        <f xml:space="preserve"> TEXT(FilmaxData[[#This Row],[Show_Date]],"DDD")</f>
        <v>Tue</v>
      </c>
      <c r="F571" t="s">
        <v>11</v>
      </c>
      <c r="G571" t="s">
        <v>29</v>
      </c>
      <c r="H571">
        <v>3</v>
      </c>
      <c r="I571">
        <v>30</v>
      </c>
      <c r="J571" t="s">
        <v>21</v>
      </c>
      <c r="K571" t="s">
        <v>14</v>
      </c>
      <c r="L571">
        <v>90</v>
      </c>
    </row>
    <row r="572" spans="1:12" x14ac:dyDescent="0.3">
      <c r="A572">
        <v>924</v>
      </c>
      <c r="B572" t="s">
        <v>28</v>
      </c>
      <c r="C572" s="1">
        <v>45913</v>
      </c>
      <c r="D572" s="1" t="str">
        <f xml:space="preserve"> TEXT(FilmaxData[[#This Row],[Show_Date]],"MMM")</f>
        <v>Sep</v>
      </c>
      <c r="E572" s="1" t="str">
        <f xml:space="preserve"> TEXT(FilmaxData[[#This Row],[Show_Date]],"DDD")</f>
        <v>Sat</v>
      </c>
      <c r="F572" t="s">
        <v>11</v>
      </c>
      <c r="G572" t="s">
        <v>17</v>
      </c>
      <c r="H572">
        <v>1</v>
      </c>
      <c r="I572">
        <v>12</v>
      </c>
      <c r="J572" t="s">
        <v>13</v>
      </c>
      <c r="K572" t="s">
        <v>14</v>
      </c>
      <c r="L572">
        <v>12</v>
      </c>
    </row>
    <row r="573" spans="1:12" x14ac:dyDescent="0.3">
      <c r="A573">
        <v>239</v>
      </c>
      <c r="B573" t="s">
        <v>32</v>
      </c>
      <c r="C573" s="1">
        <v>45872</v>
      </c>
      <c r="D573" s="1" t="str">
        <f xml:space="preserve"> TEXT(FilmaxData[[#This Row],[Show_Date]],"MMM")</f>
        <v>Aug</v>
      </c>
      <c r="E573" s="1" t="str">
        <f xml:space="preserve"> TEXT(FilmaxData[[#This Row],[Show_Date]],"DDD")</f>
        <v>Sun</v>
      </c>
      <c r="F573" t="s">
        <v>11</v>
      </c>
      <c r="G573" t="s">
        <v>17</v>
      </c>
      <c r="H573">
        <v>4</v>
      </c>
      <c r="I573">
        <v>12</v>
      </c>
      <c r="J573" t="s">
        <v>21</v>
      </c>
      <c r="K573" t="s">
        <v>25</v>
      </c>
      <c r="L573">
        <v>48</v>
      </c>
    </row>
    <row r="574" spans="1:12" x14ac:dyDescent="0.3">
      <c r="A574">
        <v>315</v>
      </c>
      <c r="B574" t="s">
        <v>32</v>
      </c>
      <c r="C574" s="1">
        <v>45883</v>
      </c>
      <c r="D574" s="1" t="str">
        <f xml:space="preserve"> TEXT(FilmaxData[[#This Row],[Show_Date]],"MMM")</f>
        <v>Aug</v>
      </c>
      <c r="E574" s="1" t="str">
        <f xml:space="preserve"> TEXT(FilmaxData[[#This Row],[Show_Date]],"DDD")</f>
        <v>Thu</v>
      </c>
      <c r="F574" t="s">
        <v>11</v>
      </c>
      <c r="G574" t="s">
        <v>29</v>
      </c>
      <c r="H574">
        <v>4</v>
      </c>
      <c r="I574">
        <v>30</v>
      </c>
      <c r="J574" t="s">
        <v>13</v>
      </c>
      <c r="K574" t="s">
        <v>27</v>
      </c>
      <c r="L574">
        <v>120</v>
      </c>
    </row>
    <row r="575" spans="1:12" x14ac:dyDescent="0.3">
      <c r="A575">
        <v>914</v>
      </c>
      <c r="B575" t="s">
        <v>26</v>
      </c>
      <c r="C575" s="1">
        <v>45863</v>
      </c>
      <c r="D575" s="1" t="str">
        <f xml:space="preserve"> TEXT(FilmaxData[[#This Row],[Show_Date]],"MMM")</f>
        <v>Jul</v>
      </c>
      <c r="E575" s="1" t="str">
        <f xml:space="preserve"> TEXT(FilmaxData[[#This Row],[Show_Date]],"DDD")</f>
        <v>Fri</v>
      </c>
      <c r="F575" t="s">
        <v>11</v>
      </c>
      <c r="G575" t="s">
        <v>29</v>
      </c>
      <c r="H575">
        <v>4</v>
      </c>
      <c r="I575">
        <v>30</v>
      </c>
      <c r="J575" t="s">
        <v>21</v>
      </c>
      <c r="K575" t="s">
        <v>27</v>
      </c>
      <c r="L575">
        <v>120</v>
      </c>
    </row>
    <row r="576" spans="1:12" x14ac:dyDescent="0.3">
      <c r="A576">
        <v>1970</v>
      </c>
      <c r="B576" t="s">
        <v>24</v>
      </c>
      <c r="C576" s="1">
        <v>45885</v>
      </c>
      <c r="D576" s="1" t="str">
        <f xml:space="preserve"> TEXT(FilmaxData[[#This Row],[Show_Date]],"MMM")</f>
        <v>Aug</v>
      </c>
      <c r="E576" s="1" t="str">
        <f xml:space="preserve"> TEXT(FilmaxData[[#This Row],[Show_Date]],"DDD")</f>
        <v>Sat</v>
      </c>
      <c r="F576" t="s">
        <v>11</v>
      </c>
      <c r="G576" t="s">
        <v>17</v>
      </c>
      <c r="H576">
        <v>2</v>
      </c>
      <c r="I576">
        <v>12</v>
      </c>
      <c r="J576" t="s">
        <v>21</v>
      </c>
      <c r="K576" t="s">
        <v>27</v>
      </c>
      <c r="L576">
        <v>24</v>
      </c>
    </row>
    <row r="577" spans="1:12" x14ac:dyDescent="0.3">
      <c r="A577">
        <v>708</v>
      </c>
      <c r="B577" t="s">
        <v>19</v>
      </c>
      <c r="C577" s="1">
        <v>45906</v>
      </c>
      <c r="D577" s="1" t="str">
        <f xml:space="preserve"> TEXT(FilmaxData[[#This Row],[Show_Date]],"MMM")</f>
        <v>Sep</v>
      </c>
      <c r="E577" s="1" t="str">
        <f xml:space="preserve"> TEXT(FilmaxData[[#This Row],[Show_Date]],"DDD")</f>
        <v>Sat</v>
      </c>
      <c r="F577" t="s">
        <v>11</v>
      </c>
      <c r="G577" t="s">
        <v>17</v>
      </c>
      <c r="H577">
        <v>2</v>
      </c>
      <c r="I577">
        <v>12</v>
      </c>
      <c r="J577" t="s">
        <v>23</v>
      </c>
      <c r="K577" t="s">
        <v>14</v>
      </c>
      <c r="L577">
        <v>24</v>
      </c>
    </row>
    <row r="578" spans="1:12" x14ac:dyDescent="0.3">
      <c r="A578">
        <v>389</v>
      </c>
      <c r="B578" t="s">
        <v>24</v>
      </c>
      <c r="C578" s="1">
        <v>45852</v>
      </c>
      <c r="D578" s="1" t="str">
        <f xml:space="preserve"> TEXT(FilmaxData[[#This Row],[Show_Date]],"MMM")</f>
        <v>Jul</v>
      </c>
      <c r="E578" s="1" t="str">
        <f xml:space="preserve"> TEXT(FilmaxData[[#This Row],[Show_Date]],"DDD")</f>
        <v>Mon</v>
      </c>
      <c r="F578" t="s">
        <v>11</v>
      </c>
      <c r="G578" t="s">
        <v>30</v>
      </c>
      <c r="H578">
        <v>4</v>
      </c>
      <c r="I578">
        <v>8</v>
      </c>
      <c r="J578" t="s">
        <v>21</v>
      </c>
      <c r="K578" t="s">
        <v>18</v>
      </c>
      <c r="L578">
        <v>32</v>
      </c>
    </row>
    <row r="579" spans="1:12" x14ac:dyDescent="0.3">
      <c r="A579">
        <v>114</v>
      </c>
      <c r="B579" t="s">
        <v>10</v>
      </c>
      <c r="C579" s="1">
        <v>45904</v>
      </c>
      <c r="D579" s="1" t="str">
        <f xml:space="preserve"> TEXT(FilmaxData[[#This Row],[Show_Date]],"MMM")</f>
        <v>Sep</v>
      </c>
      <c r="E579" s="1" t="str">
        <f xml:space="preserve"> TEXT(FilmaxData[[#This Row],[Show_Date]],"DDD")</f>
        <v>Thu</v>
      </c>
      <c r="F579" t="s">
        <v>11</v>
      </c>
      <c r="G579" t="s">
        <v>22</v>
      </c>
      <c r="H579">
        <v>5</v>
      </c>
      <c r="I579">
        <v>20</v>
      </c>
      <c r="J579" t="s">
        <v>21</v>
      </c>
      <c r="K579" t="s">
        <v>25</v>
      </c>
      <c r="L579">
        <v>100</v>
      </c>
    </row>
    <row r="580" spans="1:12" x14ac:dyDescent="0.3">
      <c r="A580">
        <v>1648</v>
      </c>
      <c r="B580" t="s">
        <v>31</v>
      </c>
      <c r="C580" s="1">
        <v>45866</v>
      </c>
      <c r="D580" s="1" t="str">
        <f xml:space="preserve"> TEXT(FilmaxData[[#This Row],[Show_Date]],"MMM")</f>
        <v>Jul</v>
      </c>
      <c r="E580" s="1" t="str">
        <f xml:space="preserve"> TEXT(FilmaxData[[#This Row],[Show_Date]],"DDD")</f>
        <v>Mon</v>
      </c>
      <c r="F580" t="s">
        <v>11</v>
      </c>
      <c r="G580" t="s">
        <v>17</v>
      </c>
      <c r="H580">
        <v>4</v>
      </c>
      <c r="I580">
        <v>12</v>
      </c>
      <c r="J580" t="s">
        <v>21</v>
      </c>
      <c r="K580" t="s">
        <v>25</v>
      </c>
      <c r="L580">
        <v>48</v>
      </c>
    </row>
    <row r="581" spans="1:12" x14ac:dyDescent="0.3">
      <c r="A581">
        <v>1329</v>
      </c>
      <c r="B581" t="s">
        <v>10</v>
      </c>
      <c r="C581" s="1">
        <v>45872</v>
      </c>
      <c r="D581" s="1" t="str">
        <f xml:space="preserve"> TEXT(FilmaxData[[#This Row],[Show_Date]],"MMM")</f>
        <v>Aug</v>
      </c>
      <c r="E581" s="1" t="str">
        <f xml:space="preserve"> TEXT(FilmaxData[[#This Row],[Show_Date]],"DDD")</f>
        <v>Sun</v>
      </c>
      <c r="F581" t="s">
        <v>11</v>
      </c>
      <c r="G581" t="s">
        <v>17</v>
      </c>
      <c r="H581">
        <v>2</v>
      </c>
      <c r="I581">
        <v>12</v>
      </c>
      <c r="J581" t="s">
        <v>13</v>
      </c>
      <c r="K581" t="s">
        <v>18</v>
      </c>
      <c r="L581">
        <v>24</v>
      </c>
    </row>
    <row r="582" spans="1:12" x14ac:dyDescent="0.3">
      <c r="A582">
        <v>1735</v>
      </c>
      <c r="B582" t="s">
        <v>10</v>
      </c>
      <c r="C582" s="1">
        <v>45900</v>
      </c>
      <c r="D582" s="1" t="str">
        <f xml:space="preserve"> TEXT(FilmaxData[[#This Row],[Show_Date]],"MMM")</f>
        <v>Aug</v>
      </c>
      <c r="E582" s="1" t="str">
        <f xml:space="preserve"> TEXT(FilmaxData[[#This Row],[Show_Date]],"DDD")</f>
        <v>Sun</v>
      </c>
      <c r="F582" t="s">
        <v>11</v>
      </c>
      <c r="G582" t="s">
        <v>17</v>
      </c>
      <c r="H582">
        <v>1</v>
      </c>
      <c r="I582">
        <v>12</v>
      </c>
      <c r="J582" t="s">
        <v>23</v>
      </c>
      <c r="K582" t="s">
        <v>14</v>
      </c>
      <c r="L582">
        <v>12</v>
      </c>
    </row>
    <row r="583" spans="1:12" x14ac:dyDescent="0.3">
      <c r="A583">
        <v>1465</v>
      </c>
      <c r="B583" t="s">
        <v>10</v>
      </c>
      <c r="C583" s="1">
        <v>45887</v>
      </c>
      <c r="D583" s="1" t="str">
        <f xml:space="preserve"> TEXT(FilmaxData[[#This Row],[Show_Date]],"MMM")</f>
        <v>Aug</v>
      </c>
      <c r="E583" s="1" t="str">
        <f xml:space="preserve"> TEXT(FilmaxData[[#This Row],[Show_Date]],"DDD")</f>
        <v>Mon</v>
      </c>
      <c r="F583" t="s">
        <v>11</v>
      </c>
      <c r="G583" t="s">
        <v>17</v>
      </c>
      <c r="H583">
        <v>2</v>
      </c>
      <c r="I583">
        <v>12</v>
      </c>
      <c r="J583" t="s">
        <v>13</v>
      </c>
      <c r="K583" t="s">
        <v>14</v>
      </c>
      <c r="L583">
        <v>24</v>
      </c>
    </row>
    <row r="584" spans="1:12" x14ac:dyDescent="0.3">
      <c r="A584">
        <v>830</v>
      </c>
      <c r="B584" t="s">
        <v>10</v>
      </c>
      <c r="C584" s="1">
        <v>45896</v>
      </c>
      <c r="D584" s="1" t="str">
        <f xml:space="preserve"> TEXT(FilmaxData[[#This Row],[Show_Date]],"MMM")</f>
        <v>Aug</v>
      </c>
      <c r="E584" s="1" t="str">
        <f xml:space="preserve"> TEXT(FilmaxData[[#This Row],[Show_Date]],"DDD")</f>
        <v>Wed</v>
      </c>
      <c r="F584" t="s">
        <v>11</v>
      </c>
      <c r="G584" t="s">
        <v>17</v>
      </c>
      <c r="H584">
        <v>1</v>
      </c>
      <c r="I584">
        <v>12</v>
      </c>
      <c r="J584" t="s">
        <v>23</v>
      </c>
      <c r="K584" t="s">
        <v>18</v>
      </c>
      <c r="L584">
        <v>12</v>
      </c>
    </row>
    <row r="585" spans="1:12" x14ac:dyDescent="0.3">
      <c r="A585">
        <v>3</v>
      </c>
      <c r="B585" t="s">
        <v>10</v>
      </c>
      <c r="C585" s="1">
        <v>45895</v>
      </c>
      <c r="D585" s="1" t="str">
        <f xml:space="preserve"> TEXT(FilmaxData[[#This Row],[Show_Date]],"MMM")</f>
        <v>Aug</v>
      </c>
      <c r="E585" s="1" t="str">
        <f xml:space="preserve"> TEXT(FilmaxData[[#This Row],[Show_Date]],"DDD")</f>
        <v>Tue</v>
      </c>
      <c r="F585" t="s">
        <v>11</v>
      </c>
      <c r="G585" t="s">
        <v>29</v>
      </c>
      <c r="H585">
        <v>5</v>
      </c>
      <c r="I585">
        <v>30</v>
      </c>
      <c r="J585" t="s">
        <v>23</v>
      </c>
      <c r="K585" t="s">
        <v>27</v>
      </c>
      <c r="L585">
        <v>150</v>
      </c>
    </row>
    <row r="586" spans="1:12" x14ac:dyDescent="0.3">
      <c r="A586">
        <v>526</v>
      </c>
      <c r="B586" t="s">
        <v>10</v>
      </c>
      <c r="C586" s="1">
        <v>45913</v>
      </c>
      <c r="D586" s="1" t="str">
        <f xml:space="preserve"> TEXT(FilmaxData[[#This Row],[Show_Date]],"MMM")</f>
        <v>Sep</v>
      </c>
      <c r="E586" s="1" t="str">
        <f xml:space="preserve"> TEXT(FilmaxData[[#This Row],[Show_Date]],"DDD")</f>
        <v>Sat</v>
      </c>
      <c r="F586" t="s">
        <v>11</v>
      </c>
      <c r="G586" t="s">
        <v>17</v>
      </c>
      <c r="H586">
        <v>4</v>
      </c>
      <c r="I586">
        <v>12</v>
      </c>
      <c r="J586" t="s">
        <v>13</v>
      </c>
      <c r="K586" t="s">
        <v>27</v>
      </c>
      <c r="L586">
        <v>48</v>
      </c>
    </row>
    <row r="587" spans="1:12" x14ac:dyDescent="0.3">
      <c r="A587">
        <v>809</v>
      </c>
      <c r="B587" t="s">
        <v>10</v>
      </c>
      <c r="C587" s="1">
        <v>45864</v>
      </c>
      <c r="D587" s="1" t="str">
        <f xml:space="preserve"> TEXT(FilmaxData[[#This Row],[Show_Date]],"MMM")</f>
        <v>Jul</v>
      </c>
      <c r="E587" s="1" t="str">
        <f xml:space="preserve"> TEXT(FilmaxData[[#This Row],[Show_Date]],"DDD")</f>
        <v>Sat</v>
      </c>
      <c r="F587" t="s">
        <v>11</v>
      </c>
      <c r="G587" t="s">
        <v>17</v>
      </c>
      <c r="H587">
        <v>5</v>
      </c>
      <c r="I587">
        <v>12</v>
      </c>
      <c r="J587" t="s">
        <v>23</v>
      </c>
      <c r="K587" t="s">
        <v>14</v>
      </c>
      <c r="L587">
        <v>60</v>
      </c>
    </row>
    <row r="588" spans="1:12" x14ac:dyDescent="0.3">
      <c r="A588">
        <v>1745</v>
      </c>
      <c r="B588" t="s">
        <v>10</v>
      </c>
      <c r="C588" s="1">
        <v>45927</v>
      </c>
      <c r="D588" s="1" t="str">
        <f xml:space="preserve"> TEXT(FilmaxData[[#This Row],[Show_Date]],"MMM")</f>
        <v>Sep</v>
      </c>
      <c r="E588" s="1" t="str">
        <f xml:space="preserve"> TEXT(FilmaxData[[#This Row],[Show_Date]],"DDD")</f>
        <v>Sat</v>
      </c>
      <c r="F588" t="s">
        <v>11</v>
      </c>
      <c r="G588" t="s">
        <v>17</v>
      </c>
      <c r="H588">
        <v>2</v>
      </c>
      <c r="I588">
        <v>12</v>
      </c>
      <c r="J588" t="s">
        <v>13</v>
      </c>
      <c r="K588" t="s">
        <v>18</v>
      </c>
      <c r="L588">
        <v>24</v>
      </c>
    </row>
    <row r="589" spans="1:12" x14ac:dyDescent="0.3">
      <c r="A589">
        <v>1439</v>
      </c>
      <c r="B589" t="s">
        <v>19</v>
      </c>
      <c r="C589" s="1">
        <v>45874</v>
      </c>
      <c r="D589" s="1" t="str">
        <f xml:space="preserve"> TEXT(FilmaxData[[#This Row],[Show_Date]],"MMM")</f>
        <v>Aug</v>
      </c>
      <c r="E589" s="1" t="str">
        <f xml:space="preserve"> TEXT(FilmaxData[[#This Row],[Show_Date]],"DDD")</f>
        <v>Tue</v>
      </c>
      <c r="F589" t="s">
        <v>11</v>
      </c>
      <c r="G589" t="s">
        <v>29</v>
      </c>
      <c r="H589">
        <v>1</v>
      </c>
      <c r="I589">
        <v>30</v>
      </c>
      <c r="J589" t="s">
        <v>23</v>
      </c>
      <c r="K589" t="s">
        <v>18</v>
      </c>
      <c r="L589">
        <v>30</v>
      </c>
    </row>
    <row r="590" spans="1:12" x14ac:dyDescent="0.3">
      <c r="A590">
        <v>1552</v>
      </c>
      <c r="B590" t="s">
        <v>15</v>
      </c>
      <c r="C590" s="1">
        <v>45840</v>
      </c>
      <c r="D590" s="1" t="str">
        <f xml:space="preserve"> TEXT(FilmaxData[[#This Row],[Show_Date]],"MMM")</f>
        <v>Jul</v>
      </c>
      <c r="E590" s="1" t="str">
        <f xml:space="preserve"> TEXT(FilmaxData[[#This Row],[Show_Date]],"DDD")</f>
        <v>Wed</v>
      </c>
      <c r="F590" t="s">
        <v>11</v>
      </c>
      <c r="G590" t="s">
        <v>17</v>
      </c>
      <c r="H590">
        <v>1</v>
      </c>
      <c r="I590">
        <v>12</v>
      </c>
      <c r="J590" t="s">
        <v>23</v>
      </c>
      <c r="K590" t="s">
        <v>25</v>
      </c>
      <c r="L590">
        <v>12</v>
      </c>
    </row>
    <row r="591" spans="1:12" x14ac:dyDescent="0.3">
      <c r="A591">
        <v>1071</v>
      </c>
      <c r="B591" t="s">
        <v>15</v>
      </c>
      <c r="C591" s="1">
        <v>45902</v>
      </c>
      <c r="D591" s="1" t="str">
        <f xml:space="preserve"> TEXT(FilmaxData[[#This Row],[Show_Date]],"MMM")</f>
        <v>Sep</v>
      </c>
      <c r="E591" s="1" t="str">
        <f xml:space="preserve"> TEXT(FilmaxData[[#This Row],[Show_Date]],"DDD")</f>
        <v>Tue</v>
      </c>
      <c r="F591" t="s">
        <v>11</v>
      </c>
      <c r="G591" t="s">
        <v>30</v>
      </c>
      <c r="H591">
        <v>5</v>
      </c>
      <c r="I591">
        <v>8</v>
      </c>
      <c r="J591" t="s">
        <v>13</v>
      </c>
      <c r="K591" t="s">
        <v>18</v>
      </c>
      <c r="L591">
        <v>40</v>
      </c>
    </row>
    <row r="592" spans="1:12" x14ac:dyDescent="0.3">
      <c r="A592">
        <v>1087</v>
      </c>
      <c r="B592" t="s">
        <v>24</v>
      </c>
      <c r="C592" s="1">
        <v>45839</v>
      </c>
      <c r="D592" s="1" t="str">
        <f xml:space="preserve"> TEXT(FilmaxData[[#This Row],[Show_Date]],"MMM")</f>
        <v>Jul</v>
      </c>
      <c r="E592" s="1" t="str">
        <f xml:space="preserve"> TEXT(FilmaxData[[#This Row],[Show_Date]],"DDD")</f>
        <v>Tue</v>
      </c>
      <c r="F592" t="s">
        <v>11</v>
      </c>
      <c r="G592" t="s">
        <v>17</v>
      </c>
      <c r="H592">
        <v>3</v>
      </c>
      <c r="I592">
        <v>12</v>
      </c>
      <c r="J592" t="s">
        <v>23</v>
      </c>
      <c r="K592" t="s">
        <v>14</v>
      </c>
      <c r="L592">
        <v>36</v>
      </c>
    </row>
    <row r="593" spans="1:12" x14ac:dyDescent="0.3">
      <c r="A593">
        <v>1003</v>
      </c>
      <c r="B593" t="s">
        <v>24</v>
      </c>
      <c r="C593" s="1">
        <v>45878</v>
      </c>
      <c r="D593" s="1" t="str">
        <f xml:space="preserve"> TEXT(FilmaxData[[#This Row],[Show_Date]],"MMM")</f>
        <v>Aug</v>
      </c>
      <c r="E593" s="1" t="str">
        <f xml:space="preserve"> TEXT(FilmaxData[[#This Row],[Show_Date]],"DDD")</f>
        <v>Sat</v>
      </c>
      <c r="F593" t="s">
        <v>20</v>
      </c>
      <c r="G593" t="s">
        <v>17</v>
      </c>
      <c r="H593">
        <v>3</v>
      </c>
      <c r="I593">
        <v>12</v>
      </c>
      <c r="J593" t="s">
        <v>23</v>
      </c>
      <c r="K593" t="s">
        <v>25</v>
      </c>
      <c r="L593">
        <v>36</v>
      </c>
    </row>
    <row r="594" spans="1:12" x14ac:dyDescent="0.3">
      <c r="A594">
        <v>996</v>
      </c>
      <c r="B594" t="s">
        <v>15</v>
      </c>
      <c r="C594" s="1">
        <v>45872</v>
      </c>
      <c r="D594" s="1" t="str">
        <f xml:space="preserve"> TEXT(FilmaxData[[#This Row],[Show_Date]],"MMM")</f>
        <v>Aug</v>
      </c>
      <c r="E594" s="1" t="str">
        <f xml:space="preserve"> TEXT(FilmaxData[[#This Row],[Show_Date]],"DDD")</f>
        <v>Sun</v>
      </c>
      <c r="F594" t="s">
        <v>33</v>
      </c>
      <c r="G594" t="s">
        <v>22</v>
      </c>
      <c r="H594">
        <v>4</v>
      </c>
      <c r="I594">
        <v>20</v>
      </c>
      <c r="J594" t="s">
        <v>21</v>
      </c>
      <c r="K594" t="s">
        <v>18</v>
      </c>
      <c r="L594">
        <v>80</v>
      </c>
    </row>
    <row r="595" spans="1:12" x14ac:dyDescent="0.3">
      <c r="A595">
        <v>954</v>
      </c>
      <c r="B595" t="s">
        <v>31</v>
      </c>
      <c r="C595" s="1">
        <v>45921</v>
      </c>
      <c r="D595" s="1" t="str">
        <f xml:space="preserve"> TEXT(FilmaxData[[#This Row],[Show_Date]],"MMM")</f>
        <v>Sep</v>
      </c>
      <c r="E595" s="1" t="str">
        <f xml:space="preserve"> TEXT(FilmaxData[[#This Row],[Show_Date]],"DDD")</f>
        <v>Sun</v>
      </c>
      <c r="F595" t="s">
        <v>20</v>
      </c>
      <c r="G595" t="s">
        <v>17</v>
      </c>
      <c r="H595">
        <v>2</v>
      </c>
      <c r="I595">
        <v>12</v>
      </c>
      <c r="J595" t="s">
        <v>21</v>
      </c>
      <c r="K595" t="s">
        <v>18</v>
      </c>
      <c r="L595">
        <v>24</v>
      </c>
    </row>
    <row r="596" spans="1:12" x14ac:dyDescent="0.3">
      <c r="A596">
        <v>657</v>
      </c>
      <c r="B596" t="s">
        <v>28</v>
      </c>
      <c r="C596" s="1">
        <v>45892</v>
      </c>
      <c r="D596" s="1" t="str">
        <f xml:space="preserve"> TEXT(FilmaxData[[#This Row],[Show_Date]],"MMM")</f>
        <v>Aug</v>
      </c>
      <c r="E596" s="1" t="str">
        <f xml:space="preserve"> TEXT(FilmaxData[[#This Row],[Show_Date]],"DDD")</f>
        <v>Sat</v>
      </c>
      <c r="F596" t="s">
        <v>11</v>
      </c>
      <c r="G596" t="s">
        <v>22</v>
      </c>
      <c r="H596">
        <v>5</v>
      </c>
      <c r="I596">
        <v>20</v>
      </c>
      <c r="J596" t="s">
        <v>13</v>
      </c>
      <c r="K596" t="s">
        <v>25</v>
      </c>
      <c r="L596">
        <v>100</v>
      </c>
    </row>
    <row r="597" spans="1:12" x14ac:dyDescent="0.3">
      <c r="A597">
        <v>1598</v>
      </c>
      <c r="B597" t="s">
        <v>15</v>
      </c>
      <c r="C597" s="1">
        <v>45922</v>
      </c>
      <c r="D597" s="1" t="str">
        <f xml:space="preserve"> TEXT(FilmaxData[[#This Row],[Show_Date]],"MMM")</f>
        <v>Sep</v>
      </c>
      <c r="E597" s="1" t="str">
        <f xml:space="preserve"> TEXT(FilmaxData[[#This Row],[Show_Date]],"DDD")</f>
        <v>Mon</v>
      </c>
      <c r="F597" t="s">
        <v>11</v>
      </c>
      <c r="G597" t="s">
        <v>12</v>
      </c>
      <c r="H597">
        <v>2</v>
      </c>
      <c r="I597">
        <v>25</v>
      </c>
      <c r="J597" t="s">
        <v>13</v>
      </c>
      <c r="K597" t="s">
        <v>27</v>
      </c>
      <c r="L597">
        <v>50</v>
      </c>
    </row>
    <row r="598" spans="1:12" x14ac:dyDescent="0.3">
      <c r="A598">
        <v>183</v>
      </c>
      <c r="B598" t="s">
        <v>10</v>
      </c>
      <c r="C598" s="1">
        <v>45845</v>
      </c>
      <c r="D598" s="1" t="str">
        <f xml:space="preserve"> TEXT(FilmaxData[[#This Row],[Show_Date]],"MMM")</f>
        <v>Jul</v>
      </c>
      <c r="E598" s="1" t="str">
        <f xml:space="preserve"> TEXT(FilmaxData[[#This Row],[Show_Date]],"DDD")</f>
        <v>Mon</v>
      </c>
      <c r="F598" t="s">
        <v>11</v>
      </c>
      <c r="G598" t="s">
        <v>17</v>
      </c>
      <c r="H598">
        <v>4</v>
      </c>
      <c r="I598">
        <v>12</v>
      </c>
      <c r="J598" t="s">
        <v>23</v>
      </c>
      <c r="K598" t="s">
        <v>18</v>
      </c>
      <c r="L598">
        <v>48</v>
      </c>
    </row>
    <row r="599" spans="1:12" x14ac:dyDescent="0.3">
      <c r="A599">
        <v>1218</v>
      </c>
      <c r="B599" t="s">
        <v>26</v>
      </c>
      <c r="C599" s="1">
        <v>45855</v>
      </c>
      <c r="D599" s="1" t="str">
        <f xml:space="preserve"> TEXT(FilmaxData[[#This Row],[Show_Date]],"MMM")</f>
        <v>Jul</v>
      </c>
      <c r="E599" s="1" t="str">
        <f xml:space="preserve"> TEXT(FilmaxData[[#This Row],[Show_Date]],"DDD")</f>
        <v>Thu</v>
      </c>
      <c r="F599" t="s">
        <v>16</v>
      </c>
      <c r="G599" t="s">
        <v>17</v>
      </c>
      <c r="H599">
        <v>4</v>
      </c>
      <c r="I599">
        <v>12</v>
      </c>
      <c r="J599" t="s">
        <v>21</v>
      </c>
      <c r="K599" t="s">
        <v>25</v>
      </c>
      <c r="L599">
        <v>48</v>
      </c>
    </row>
    <row r="600" spans="1:12" x14ac:dyDescent="0.3">
      <c r="A600">
        <v>705</v>
      </c>
      <c r="B600" t="s">
        <v>15</v>
      </c>
      <c r="C600" s="1">
        <v>45853</v>
      </c>
      <c r="D600" s="1" t="str">
        <f xml:space="preserve"> TEXT(FilmaxData[[#This Row],[Show_Date]],"MMM")</f>
        <v>Jul</v>
      </c>
      <c r="E600" s="1" t="str">
        <f xml:space="preserve"> TEXT(FilmaxData[[#This Row],[Show_Date]],"DDD")</f>
        <v>Tue</v>
      </c>
      <c r="F600" t="s">
        <v>16</v>
      </c>
      <c r="G600" t="s">
        <v>30</v>
      </c>
      <c r="H600">
        <v>5</v>
      </c>
      <c r="I600">
        <v>8</v>
      </c>
      <c r="J600" t="s">
        <v>23</v>
      </c>
      <c r="K600" t="s">
        <v>18</v>
      </c>
      <c r="L600">
        <v>40</v>
      </c>
    </row>
    <row r="601" spans="1:12" x14ac:dyDescent="0.3">
      <c r="A601">
        <v>1373</v>
      </c>
      <c r="B601" t="s">
        <v>19</v>
      </c>
      <c r="C601" s="1">
        <v>45876</v>
      </c>
      <c r="D601" s="1" t="str">
        <f xml:space="preserve"> TEXT(FilmaxData[[#This Row],[Show_Date]],"MMM")</f>
        <v>Aug</v>
      </c>
      <c r="E601" s="1" t="str">
        <f xml:space="preserve"> TEXT(FilmaxData[[#This Row],[Show_Date]],"DDD")</f>
        <v>Thu</v>
      </c>
      <c r="F601" t="s">
        <v>16</v>
      </c>
      <c r="G601" t="s">
        <v>17</v>
      </c>
      <c r="H601">
        <v>3</v>
      </c>
      <c r="I601">
        <v>12</v>
      </c>
      <c r="J601" t="s">
        <v>21</v>
      </c>
      <c r="K601" t="s">
        <v>14</v>
      </c>
      <c r="L601">
        <v>36</v>
      </c>
    </row>
    <row r="602" spans="1:12" x14ac:dyDescent="0.3">
      <c r="A602">
        <v>1190</v>
      </c>
      <c r="B602" t="s">
        <v>19</v>
      </c>
      <c r="C602" s="1">
        <v>45844</v>
      </c>
      <c r="D602" s="1" t="str">
        <f xml:space="preserve"> TEXT(FilmaxData[[#This Row],[Show_Date]],"MMM")</f>
        <v>Jul</v>
      </c>
      <c r="E602" s="1" t="str">
        <f xml:space="preserve"> TEXT(FilmaxData[[#This Row],[Show_Date]],"DDD")</f>
        <v>Sun</v>
      </c>
      <c r="F602" t="s">
        <v>20</v>
      </c>
      <c r="G602" t="s">
        <v>30</v>
      </c>
      <c r="H602">
        <v>4</v>
      </c>
      <c r="I602">
        <v>8</v>
      </c>
      <c r="J602" t="s">
        <v>23</v>
      </c>
      <c r="K602" t="s">
        <v>27</v>
      </c>
      <c r="L602">
        <v>32</v>
      </c>
    </row>
    <row r="603" spans="1:12" x14ac:dyDescent="0.3">
      <c r="A603">
        <v>938</v>
      </c>
      <c r="B603" t="s">
        <v>15</v>
      </c>
      <c r="C603" s="1">
        <v>45927</v>
      </c>
      <c r="D603" s="1" t="str">
        <f xml:space="preserve"> TEXT(FilmaxData[[#This Row],[Show_Date]],"MMM")</f>
        <v>Sep</v>
      </c>
      <c r="E603" s="1" t="str">
        <f xml:space="preserve"> TEXT(FilmaxData[[#This Row],[Show_Date]],"DDD")</f>
        <v>Sat</v>
      </c>
      <c r="F603" t="s">
        <v>33</v>
      </c>
      <c r="G603" t="s">
        <v>12</v>
      </c>
      <c r="H603">
        <v>2</v>
      </c>
      <c r="I603">
        <v>25</v>
      </c>
      <c r="J603" t="s">
        <v>21</v>
      </c>
      <c r="K603" t="s">
        <v>14</v>
      </c>
      <c r="L603">
        <v>50</v>
      </c>
    </row>
    <row r="604" spans="1:12" x14ac:dyDescent="0.3">
      <c r="A604">
        <v>1663</v>
      </c>
      <c r="B604" t="s">
        <v>31</v>
      </c>
      <c r="C604" s="1">
        <v>45913</v>
      </c>
      <c r="D604" s="1" t="str">
        <f xml:space="preserve"> TEXT(FilmaxData[[#This Row],[Show_Date]],"MMM")</f>
        <v>Sep</v>
      </c>
      <c r="E604" s="1" t="str">
        <f xml:space="preserve"> TEXT(FilmaxData[[#This Row],[Show_Date]],"DDD")</f>
        <v>Sat</v>
      </c>
      <c r="F604" t="s">
        <v>20</v>
      </c>
      <c r="G604" t="s">
        <v>17</v>
      </c>
      <c r="H604">
        <v>3</v>
      </c>
      <c r="I604">
        <v>12</v>
      </c>
      <c r="J604" t="s">
        <v>21</v>
      </c>
      <c r="K604" t="s">
        <v>18</v>
      </c>
      <c r="L604">
        <v>36</v>
      </c>
    </row>
    <row r="605" spans="1:12" x14ac:dyDescent="0.3">
      <c r="A605">
        <v>842</v>
      </c>
      <c r="B605" t="s">
        <v>19</v>
      </c>
      <c r="C605" s="1">
        <v>45910</v>
      </c>
      <c r="D605" s="1" t="str">
        <f xml:space="preserve"> TEXT(FilmaxData[[#This Row],[Show_Date]],"MMM")</f>
        <v>Sep</v>
      </c>
      <c r="E605" s="1" t="str">
        <f xml:space="preserve"> TEXT(FilmaxData[[#This Row],[Show_Date]],"DDD")</f>
        <v>Wed</v>
      </c>
      <c r="F605" t="s">
        <v>33</v>
      </c>
      <c r="G605" t="s">
        <v>30</v>
      </c>
      <c r="H605">
        <v>4</v>
      </c>
      <c r="I605">
        <v>8</v>
      </c>
      <c r="J605" t="s">
        <v>13</v>
      </c>
      <c r="K605" t="s">
        <v>18</v>
      </c>
      <c r="L605">
        <v>32</v>
      </c>
    </row>
    <row r="606" spans="1:12" x14ac:dyDescent="0.3">
      <c r="A606">
        <v>517</v>
      </c>
      <c r="B606" t="s">
        <v>19</v>
      </c>
      <c r="C606" s="1">
        <v>45874</v>
      </c>
      <c r="D606" s="1" t="str">
        <f xml:space="preserve"> TEXT(FilmaxData[[#This Row],[Show_Date]],"MMM")</f>
        <v>Aug</v>
      </c>
      <c r="E606" s="1" t="str">
        <f xml:space="preserve"> TEXT(FilmaxData[[#This Row],[Show_Date]],"DDD")</f>
        <v>Tue</v>
      </c>
      <c r="F606" t="s">
        <v>11</v>
      </c>
      <c r="G606" t="s">
        <v>17</v>
      </c>
      <c r="H606">
        <v>1</v>
      </c>
      <c r="I606">
        <v>12</v>
      </c>
      <c r="J606" t="s">
        <v>23</v>
      </c>
      <c r="K606" t="s">
        <v>25</v>
      </c>
      <c r="L606">
        <v>12</v>
      </c>
    </row>
    <row r="607" spans="1:12" x14ac:dyDescent="0.3">
      <c r="A607">
        <v>402</v>
      </c>
      <c r="B607" t="s">
        <v>31</v>
      </c>
      <c r="C607" s="1">
        <v>45863</v>
      </c>
      <c r="D607" s="1" t="str">
        <f xml:space="preserve"> TEXT(FilmaxData[[#This Row],[Show_Date]],"MMM")</f>
        <v>Jul</v>
      </c>
      <c r="E607" s="1" t="str">
        <f xml:space="preserve"> TEXT(FilmaxData[[#This Row],[Show_Date]],"DDD")</f>
        <v>Fri</v>
      </c>
      <c r="F607" t="s">
        <v>16</v>
      </c>
      <c r="G607" t="s">
        <v>17</v>
      </c>
      <c r="H607">
        <v>2</v>
      </c>
      <c r="I607">
        <v>12</v>
      </c>
      <c r="J607" t="s">
        <v>23</v>
      </c>
      <c r="K607" t="s">
        <v>18</v>
      </c>
      <c r="L607">
        <v>24</v>
      </c>
    </row>
    <row r="608" spans="1:12" x14ac:dyDescent="0.3">
      <c r="A608">
        <v>1466</v>
      </c>
      <c r="B608" t="s">
        <v>10</v>
      </c>
      <c r="C608" s="1">
        <v>45899</v>
      </c>
      <c r="D608" s="1" t="str">
        <f xml:space="preserve"> TEXT(FilmaxData[[#This Row],[Show_Date]],"MMM")</f>
        <v>Aug</v>
      </c>
      <c r="E608" s="1" t="str">
        <f xml:space="preserve"> TEXT(FilmaxData[[#This Row],[Show_Date]],"DDD")</f>
        <v>Sat</v>
      </c>
      <c r="F608" t="s">
        <v>20</v>
      </c>
      <c r="G608" t="s">
        <v>30</v>
      </c>
      <c r="H608">
        <v>1</v>
      </c>
      <c r="I608">
        <v>8</v>
      </c>
      <c r="J608" t="s">
        <v>23</v>
      </c>
      <c r="K608" t="s">
        <v>25</v>
      </c>
      <c r="L608">
        <v>8</v>
      </c>
    </row>
    <row r="609" spans="1:12" x14ac:dyDescent="0.3">
      <c r="A609">
        <v>1922</v>
      </c>
      <c r="B609" t="s">
        <v>15</v>
      </c>
      <c r="C609" s="1">
        <v>45927</v>
      </c>
      <c r="D609" s="1" t="str">
        <f xml:space="preserve"> TEXT(FilmaxData[[#This Row],[Show_Date]],"MMM")</f>
        <v>Sep</v>
      </c>
      <c r="E609" s="1" t="str">
        <f xml:space="preserve"> TEXT(FilmaxData[[#This Row],[Show_Date]],"DDD")</f>
        <v>Sat</v>
      </c>
      <c r="F609" t="s">
        <v>11</v>
      </c>
      <c r="G609" t="s">
        <v>17</v>
      </c>
      <c r="H609">
        <v>2</v>
      </c>
      <c r="I609">
        <v>12</v>
      </c>
      <c r="J609" t="s">
        <v>21</v>
      </c>
      <c r="K609" t="s">
        <v>18</v>
      </c>
      <c r="L609">
        <v>24</v>
      </c>
    </row>
    <row r="610" spans="1:12" x14ac:dyDescent="0.3">
      <c r="A610">
        <v>1897</v>
      </c>
      <c r="B610" t="s">
        <v>10</v>
      </c>
      <c r="C610" s="1">
        <v>45862</v>
      </c>
      <c r="D610" s="1" t="str">
        <f xml:space="preserve"> TEXT(FilmaxData[[#This Row],[Show_Date]],"MMM")</f>
        <v>Jul</v>
      </c>
      <c r="E610" s="1" t="str">
        <f xml:space="preserve"> TEXT(FilmaxData[[#This Row],[Show_Date]],"DDD")</f>
        <v>Thu</v>
      </c>
      <c r="F610" t="s">
        <v>11</v>
      </c>
      <c r="G610" t="s">
        <v>17</v>
      </c>
      <c r="H610">
        <v>2</v>
      </c>
      <c r="I610">
        <v>12</v>
      </c>
      <c r="J610" t="s">
        <v>21</v>
      </c>
      <c r="K610" t="s">
        <v>25</v>
      </c>
      <c r="L610">
        <v>24</v>
      </c>
    </row>
    <row r="611" spans="1:12" x14ac:dyDescent="0.3">
      <c r="A611">
        <v>1950</v>
      </c>
      <c r="B611" t="s">
        <v>28</v>
      </c>
      <c r="C611" s="1">
        <v>45923</v>
      </c>
      <c r="D611" s="1" t="str">
        <f xml:space="preserve"> TEXT(FilmaxData[[#This Row],[Show_Date]],"MMM")</f>
        <v>Sep</v>
      </c>
      <c r="E611" s="1" t="str">
        <f xml:space="preserve"> TEXT(FilmaxData[[#This Row],[Show_Date]],"DDD")</f>
        <v>Tue</v>
      </c>
      <c r="F611" t="s">
        <v>11</v>
      </c>
      <c r="G611" t="s">
        <v>17</v>
      </c>
      <c r="H611">
        <v>2</v>
      </c>
      <c r="I611">
        <v>12</v>
      </c>
      <c r="J611" t="s">
        <v>23</v>
      </c>
      <c r="K611" t="s">
        <v>18</v>
      </c>
      <c r="L611">
        <v>24</v>
      </c>
    </row>
    <row r="612" spans="1:12" x14ac:dyDescent="0.3">
      <c r="A612">
        <v>1306</v>
      </c>
      <c r="B612" t="s">
        <v>28</v>
      </c>
      <c r="C612" s="1">
        <v>45906</v>
      </c>
      <c r="D612" s="1" t="str">
        <f xml:space="preserve"> TEXT(FilmaxData[[#This Row],[Show_Date]],"MMM")</f>
        <v>Sep</v>
      </c>
      <c r="E612" s="1" t="str">
        <f xml:space="preserve"> TEXT(FilmaxData[[#This Row],[Show_Date]],"DDD")</f>
        <v>Sat</v>
      </c>
      <c r="F612" t="s">
        <v>33</v>
      </c>
      <c r="G612" t="s">
        <v>17</v>
      </c>
      <c r="H612">
        <v>1</v>
      </c>
      <c r="I612">
        <v>12</v>
      </c>
      <c r="J612" t="s">
        <v>13</v>
      </c>
      <c r="K612" t="s">
        <v>18</v>
      </c>
      <c r="L612">
        <v>12</v>
      </c>
    </row>
    <row r="613" spans="1:12" x14ac:dyDescent="0.3">
      <c r="A613">
        <v>169</v>
      </c>
      <c r="B613" t="s">
        <v>28</v>
      </c>
      <c r="C613" s="1">
        <v>45871</v>
      </c>
      <c r="D613" s="1" t="str">
        <f xml:space="preserve"> TEXT(FilmaxData[[#This Row],[Show_Date]],"MMM")</f>
        <v>Aug</v>
      </c>
      <c r="E613" s="1" t="str">
        <f xml:space="preserve"> TEXT(FilmaxData[[#This Row],[Show_Date]],"DDD")</f>
        <v>Sat</v>
      </c>
      <c r="F613" t="s">
        <v>20</v>
      </c>
      <c r="G613" t="s">
        <v>30</v>
      </c>
      <c r="H613">
        <v>5</v>
      </c>
      <c r="I613">
        <v>8</v>
      </c>
      <c r="J613" t="s">
        <v>21</v>
      </c>
      <c r="K613" t="s">
        <v>14</v>
      </c>
      <c r="L613">
        <v>40</v>
      </c>
    </row>
    <row r="614" spans="1:12" x14ac:dyDescent="0.3">
      <c r="A614">
        <v>1157</v>
      </c>
      <c r="B614" t="s">
        <v>26</v>
      </c>
      <c r="C614" s="1">
        <v>45930</v>
      </c>
      <c r="D614" s="1" t="str">
        <f xml:space="preserve"> TEXT(FilmaxData[[#This Row],[Show_Date]],"MMM")</f>
        <v>Sep</v>
      </c>
      <c r="E614" s="1" t="str">
        <f xml:space="preserve"> TEXT(FilmaxData[[#This Row],[Show_Date]],"DDD")</f>
        <v>Tue</v>
      </c>
      <c r="F614" t="s">
        <v>16</v>
      </c>
      <c r="G614" t="s">
        <v>29</v>
      </c>
      <c r="H614">
        <v>2</v>
      </c>
      <c r="I614">
        <v>30</v>
      </c>
      <c r="J614" t="s">
        <v>13</v>
      </c>
      <c r="K614" t="s">
        <v>14</v>
      </c>
      <c r="L614">
        <v>60</v>
      </c>
    </row>
    <row r="615" spans="1:12" x14ac:dyDescent="0.3">
      <c r="A615">
        <v>1314</v>
      </c>
      <c r="B615" t="s">
        <v>15</v>
      </c>
      <c r="C615" s="1">
        <v>45893</v>
      </c>
      <c r="D615" s="1" t="str">
        <f xml:space="preserve"> TEXT(FilmaxData[[#This Row],[Show_Date]],"MMM")</f>
        <v>Aug</v>
      </c>
      <c r="E615" s="1" t="str">
        <f xml:space="preserve"> TEXT(FilmaxData[[#This Row],[Show_Date]],"DDD")</f>
        <v>Sun</v>
      </c>
      <c r="F615" t="s">
        <v>11</v>
      </c>
      <c r="G615" t="s">
        <v>17</v>
      </c>
      <c r="H615">
        <v>5</v>
      </c>
      <c r="I615">
        <v>12</v>
      </c>
      <c r="J615" t="s">
        <v>21</v>
      </c>
      <c r="K615" t="s">
        <v>27</v>
      </c>
      <c r="L615">
        <v>60</v>
      </c>
    </row>
    <row r="616" spans="1:12" x14ac:dyDescent="0.3">
      <c r="A616">
        <v>1509</v>
      </c>
      <c r="B616" t="s">
        <v>19</v>
      </c>
      <c r="C616" s="1">
        <v>45848</v>
      </c>
      <c r="D616" s="1" t="str">
        <f xml:space="preserve"> TEXT(FilmaxData[[#This Row],[Show_Date]],"MMM")</f>
        <v>Jul</v>
      </c>
      <c r="E616" s="1" t="str">
        <f xml:space="preserve"> TEXT(FilmaxData[[#This Row],[Show_Date]],"DDD")</f>
        <v>Thu</v>
      </c>
      <c r="F616" t="s">
        <v>11</v>
      </c>
      <c r="G616" t="s">
        <v>22</v>
      </c>
      <c r="H616">
        <v>4</v>
      </c>
      <c r="I616">
        <v>20</v>
      </c>
      <c r="J616" t="s">
        <v>23</v>
      </c>
      <c r="K616" t="s">
        <v>18</v>
      </c>
      <c r="L616">
        <v>80</v>
      </c>
    </row>
    <row r="617" spans="1:12" x14ac:dyDescent="0.3">
      <c r="A617">
        <v>103</v>
      </c>
      <c r="B617" t="s">
        <v>26</v>
      </c>
      <c r="C617" s="1">
        <v>45898</v>
      </c>
      <c r="D617" s="1" t="str">
        <f xml:space="preserve"> TEXT(FilmaxData[[#This Row],[Show_Date]],"MMM")</f>
        <v>Aug</v>
      </c>
      <c r="E617" s="1" t="str">
        <f xml:space="preserve"> TEXT(FilmaxData[[#This Row],[Show_Date]],"DDD")</f>
        <v>Fri</v>
      </c>
      <c r="F617" t="s">
        <v>11</v>
      </c>
      <c r="G617" t="s">
        <v>17</v>
      </c>
      <c r="H617">
        <v>4</v>
      </c>
      <c r="I617">
        <v>12</v>
      </c>
      <c r="J617" t="s">
        <v>23</v>
      </c>
      <c r="K617" t="s">
        <v>25</v>
      </c>
      <c r="L617">
        <v>48</v>
      </c>
    </row>
    <row r="618" spans="1:12" x14ac:dyDescent="0.3">
      <c r="A618">
        <v>1470</v>
      </c>
      <c r="B618" t="s">
        <v>24</v>
      </c>
      <c r="C618" s="1">
        <v>45916</v>
      </c>
      <c r="D618" s="1" t="str">
        <f xml:space="preserve"> TEXT(FilmaxData[[#This Row],[Show_Date]],"MMM")</f>
        <v>Sep</v>
      </c>
      <c r="E618" s="1" t="str">
        <f xml:space="preserve"> TEXT(FilmaxData[[#This Row],[Show_Date]],"DDD")</f>
        <v>Tue</v>
      </c>
      <c r="F618" t="s">
        <v>11</v>
      </c>
      <c r="G618" t="s">
        <v>17</v>
      </c>
      <c r="H618">
        <v>5</v>
      </c>
      <c r="I618">
        <v>12</v>
      </c>
      <c r="J618" t="s">
        <v>23</v>
      </c>
      <c r="K618" t="s">
        <v>14</v>
      </c>
      <c r="L618">
        <v>60</v>
      </c>
    </row>
    <row r="619" spans="1:12" x14ac:dyDescent="0.3">
      <c r="A619">
        <v>383</v>
      </c>
      <c r="B619" t="s">
        <v>31</v>
      </c>
      <c r="C619" s="1">
        <v>45903</v>
      </c>
      <c r="D619" s="1" t="str">
        <f xml:space="preserve"> TEXT(FilmaxData[[#This Row],[Show_Date]],"MMM")</f>
        <v>Sep</v>
      </c>
      <c r="E619" s="1" t="str">
        <f xml:space="preserve"> TEXT(FilmaxData[[#This Row],[Show_Date]],"DDD")</f>
        <v>Wed</v>
      </c>
      <c r="F619" t="s">
        <v>11</v>
      </c>
      <c r="G619" t="s">
        <v>29</v>
      </c>
      <c r="H619">
        <v>3</v>
      </c>
      <c r="I619">
        <v>30</v>
      </c>
      <c r="J619" t="s">
        <v>13</v>
      </c>
      <c r="K619" t="s">
        <v>14</v>
      </c>
      <c r="L619">
        <v>90</v>
      </c>
    </row>
    <row r="620" spans="1:12" x14ac:dyDescent="0.3">
      <c r="A620">
        <v>274</v>
      </c>
      <c r="B620" t="s">
        <v>19</v>
      </c>
      <c r="C620" s="1">
        <v>45843</v>
      </c>
      <c r="D620" s="1" t="str">
        <f xml:space="preserve"> TEXT(FilmaxData[[#This Row],[Show_Date]],"MMM")</f>
        <v>Jul</v>
      </c>
      <c r="E620" s="1" t="str">
        <f xml:space="preserve"> TEXT(FilmaxData[[#This Row],[Show_Date]],"DDD")</f>
        <v>Sat</v>
      </c>
      <c r="F620" t="s">
        <v>11</v>
      </c>
      <c r="G620" t="s">
        <v>30</v>
      </c>
      <c r="H620">
        <v>2</v>
      </c>
      <c r="I620">
        <v>8</v>
      </c>
      <c r="J620" t="s">
        <v>23</v>
      </c>
      <c r="K620" t="s">
        <v>27</v>
      </c>
      <c r="L620">
        <v>16</v>
      </c>
    </row>
    <row r="621" spans="1:12" x14ac:dyDescent="0.3">
      <c r="A621">
        <v>1589</v>
      </c>
      <c r="B621" t="s">
        <v>28</v>
      </c>
      <c r="C621" s="1">
        <v>45914</v>
      </c>
      <c r="D621" s="1" t="str">
        <f xml:space="preserve"> TEXT(FilmaxData[[#This Row],[Show_Date]],"MMM")</f>
        <v>Sep</v>
      </c>
      <c r="E621" s="1" t="str">
        <f xml:space="preserve"> TEXT(FilmaxData[[#This Row],[Show_Date]],"DDD")</f>
        <v>Sun</v>
      </c>
      <c r="F621" t="s">
        <v>11</v>
      </c>
      <c r="G621" t="s">
        <v>17</v>
      </c>
      <c r="H621">
        <v>3</v>
      </c>
      <c r="I621">
        <v>12</v>
      </c>
      <c r="J621" t="s">
        <v>21</v>
      </c>
      <c r="K621" t="s">
        <v>14</v>
      </c>
      <c r="L621">
        <v>36</v>
      </c>
    </row>
    <row r="622" spans="1:12" x14ac:dyDescent="0.3">
      <c r="A622">
        <v>1280</v>
      </c>
      <c r="B622" t="s">
        <v>31</v>
      </c>
      <c r="C622" s="1">
        <v>45906</v>
      </c>
      <c r="D622" s="1" t="str">
        <f xml:space="preserve"> TEXT(FilmaxData[[#This Row],[Show_Date]],"MMM")</f>
        <v>Sep</v>
      </c>
      <c r="E622" s="1" t="str">
        <f xml:space="preserve"> TEXT(FilmaxData[[#This Row],[Show_Date]],"DDD")</f>
        <v>Sat</v>
      </c>
      <c r="F622" t="s">
        <v>11</v>
      </c>
      <c r="G622" t="s">
        <v>30</v>
      </c>
      <c r="H622">
        <v>1</v>
      </c>
      <c r="I622">
        <v>8</v>
      </c>
      <c r="J622" t="s">
        <v>21</v>
      </c>
      <c r="K622" t="s">
        <v>18</v>
      </c>
      <c r="L622">
        <v>8</v>
      </c>
    </row>
    <row r="623" spans="1:12" x14ac:dyDescent="0.3">
      <c r="A623">
        <v>1716</v>
      </c>
      <c r="B623" t="s">
        <v>19</v>
      </c>
      <c r="C623" s="1">
        <v>45918</v>
      </c>
      <c r="D623" s="1" t="str">
        <f xml:space="preserve"> TEXT(FilmaxData[[#This Row],[Show_Date]],"MMM")</f>
        <v>Sep</v>
      </c>
      <c r="E623" s="1" t="str">
        <f xml:space="preserve"> TEXT(FilmaxData[[#This Row],[Show_Date]],"DDD")</f>
        <v>Thu</v>
      </c>
      <c r="F623" t="s">
        <v>11</v>
      </c>
      <c r="G623" t="s">
        <v>17</v>
      </c>
      <c r="H623">
        <v>2</v>
      </c>
      <c r="I623">
        <v>12</v>
      </c>
      <c r="J623" t="s">
        <v>21</v>
      </c>
      <c r="K623" t="s">
        <v>27</v>
      </c>
      <c r="L623">
        <v>24</v>
      </c>
    </row>
    <row r="624" spans="1:12" x14ac:dyDescent="0.3">
      <c r="A624">
        <v>808</v>
      </c>
      <c r="B624" t="s">
        <v>24</v>
      </c>
      <c r="C624" s="1">
        <v>45845</v>
      </c>
      <c r="D624" s="1" t="str">
        <f xml:space="preserve"> TEXT(FilmaxData[[#This Row],[Show_Date]],"MMM")</f>
        <v>Jul</v>
      </c>
      <c r="E624" s="1" t="str">
        <f xml:space="preserve"> TEXT(FilmaxData[[#This Row],[Show_Date]],"DDD")</f>
        <v>Mon</v>
      </c>
      <c r="F624" t="s">
        <v>11</v>
      </c>
      <c r="G624" t="s">
        <v>17</v>
      </c>
      <c r="H624">
        <v>1</v>
      </c>
      <c r="I624">
        <v>12</v>
      </c>
      <c r="J624" t="s">
        <v>21</v>
      </c>
      <c r="K624" t="s">
        <v>18</v>
      </c>
      <c r="L624">
        <v>12</v>
      </c>
    </row>
    <row r="625" spans="1:12" x14ac:dyDescent="0.3">
      <c r="A625">
        <v>435</v>
      </c>
      <c r="B625" t="s">
        <v>31</v>
      </c>
      <c r="C625" s="1">
        <v>45857</v>
      </c>
      <c r="D625" s="1" t="str">
        <f xml:space="preserve"> TEXT(FilmaxData[[#This Row],[Show_Date]],"MMM")</f>
        <v>Jul</v>
      </c>
      <c r="E625" s="1" t="str">
        <f xml:space="preserve"> TEXT(FilmaxData[[#This Row],[Show_Date]],"DDD")</f>
        <v>Sat</v>
      </c>
      <c r="F625" t="s">
        <v>20</v>
      </c>
      <c r="G625" t="s">
        <v>29</v>
      </c>
      <c r="H625">
        <v>4</v>
      </c>
      <c r="I625">
        <v>30</v>
      </c>
      <c r="J625" t="s">
        <v>21</v>
      </c>
      <c r="K625" t="s">
        <v>18</v>
      </c>
      <c r="L625">
        <v>120</v>
      </c>
    </row>
    <row r="626" spans="1:12" x14ac:dyDescent="0.3">
      <c r="A626">
        <v>1303</v>
      </c>
      <c r="B626" t="s">
        <v>28</v>
      </c>
      <c r="C626" s="1">
        <v>45871</v>
      </c>
      <c r="D626" s="1" t="str">
        <f xml:space="preserve"> TEXT(FilmaxData[[#This Row],[Show_Date]],"MMM")</f>
        <v>Aug</v>
      </c>
      <c r="E626" s="1" t="str">
        <f xml:space="preserve"> TEXT(FilmaxData[[#This Row],[Show_Date]],"DDD")</f>
        <v>Sat</v>
      </c>
      <c r="F626" t="s">
        <v>33</v>
      </c>
      <c r="G626" t="s">
        <v>12</v>
      </c>
      <c r="H626">
        <v>3</v>
      </c>
      <c r="I626">
        <v>25</v>
      </c>
      <c r="J626" t="s">
        <v>23</v>
      </c>
      <c r="K626" t="s">
        <v>25</v>
      </c>
      <c r="L626">
        <v>75</v>
      </c>
    </row>
    <row r="627" spans="1:12" x14ac:dyDescent="0.3">
      <c r="A627">
        <v>801</v>
      </c>
      <c r="B627" t="s">
        <v>24</v>
      </c>
      <c r="C627" s="1">
        <v>45906</v>
      </c>
      <c r="D627" s="1" t="str">
        <f xml:space="preserve"> TEXT(FilmaxData[[#This Row],[Show_Date]],"MMM")</f>
        <v>Sep</v>
      </c>
      <c r="E627" s="1" t="str">
        <f xml:space="preserve"> TEXT(FilmaxData[[#This Row],[Show_Date]],"DDD")</f>
        <v>Sat</v>
      </c>
      <c r="F627" t="s">
        <v>16</v>
      </c>
      <c r="G627" t="s">
        <v>30</v>
      </c>
      <c r="H627">
        <v>3</v>
      </c>
      <c r="I627">
        <v>8</v>
      </c>
      <c r="J627" t="s">
        <v>13</v>
      </c>
      <c r="K627" t="s">
        <v>18</v>
      </c>
      <c r="L627">
        <v>24</v>
      </c>
    </row>
    <row r="628" spans="1:12" x14ac:dyDescent="0.3">
      <c r="A628">
        <v>1203</v>
      </c>
      <c r="B628" t="s">
        <v>31</v>
      </c>
      <c r="C628" s="1">
        <v>45882</v>
      </c>
      <c r="D628" s="1" t="str">
        <f xml:space="preserve"> TEXT(FilmaxData[[#This Row],[Show_Date]],"MMM")</f>
        <v>Aug</v>
      </c>
      <c r="E628" s="1" t="str">
        <f xml:space="preserve"> TEXT(FilmaxData[[#This Row],[Show_Date]],"DDD")</f>
        <v>Wed</v>
      </c>
      <c r="F628" t="s">
        <v>16</v>
      </c>
      <c r="G628" t="s">
        <v>17</v>
      </c>
      <c r="H628">
        <v>5</v>
      </c>
      <c r="I628">
        <v>12</v>
      </c>
      <c r="J628" t="s">
        <v>23</v>
      </c>
      <c r="K628" t="s">
        <v>25</v>
      </c>
      <c r="L628">
        <v>60</v>
      </c>
    </row>
    <row r="629" spans="1:12" x14ac:dyDescent="0.3">
      <c r="A629">
        <v>198</v>
      </c>
      <c r="B629" t="s">
        <v>31</v>
      </c>
      <c r="C629" s="1">
        <v>45906</v>
      </c>
      <c r="D629" s="1" t="str">
        <f xml:space="preserve"> TEXT(FilmaxData[[#This Row],[Show_Date]],"MMM")</f>
        <v>Sep</v>
      </c>
      <c r="E629" s="1" t="str">
        <f xml:space="preserve"> TEXT(FilmaxData[[#This Row],[Show_Date]],"DDD")</f>
        <v>Sat</v>
      </c>
      <c r="F629" t="s">
        <v>16</v>
      </c>
      <c r="G629" t="s">
        <v>22</v>
      </c>
      <c r="H629">
        <v>3</v>
      </c>
      <c r="I629">
        <v>20</v>
      </c>
      <c r="J629" t="s">
        <v>13</v>
      </c>
      <c r="K629" t="s">
        <v>14</v>
      </c>
      <c r="L629">
        <v>60</v>
      </c>
    </row>
    <row r="630" spans="1:12" x14ac:dyDescent="0.3">
      <c r="A630">
        <v>994</v>
      </c>
      <c r="B630" t="s">
        <v>31</v>
      </c>
      <c r="C630" s="1">
        <v>45870</v>
      </c>
      <c r="D630" s="1" t="str">
        <f xml:space="preserve"> TEXT(FilmaxData[[#This Row],[Show_Date]],"MMM")</f>
        <v>Aug</v>
      </c>
      <c r="E630" s="1" t="str">
        <f xml:space="preserve"> TEXT(FilmaxData[[#This Row],[Show_Date]],"DDD")</f>
        <v>Fri</v>
      </c>
      <c r="F630" t="s">
        <v>20</v>
      </c>
      <c r="G630" t="s">
        <v>17</v>
      </c>
      <c r="H630">
        <v>5</v>
      </c>
      <c r="I630">
        <v>12</v>
      </c>
      <c r="J630" t="s">
        <v>21</v>
      </c>
      <c r="K630" t="s">
        <v>25</v>
      </c>
      <c r="L630">
        <v>60</v>
      </c>
    </row>
    <row r="631" spans="1:12" x14ac:dyDescent="0.3">
      <c r="A631">
        <v>288</v>
      </c>
      <c r="B631" t="s">
        <v>15</v>
      </c>
      <c r="C631" s="1">
        <v>45912</v>
      </c>
      <c r="D631" s="1" t="str">
        <f xml:space="preserve"> TEXT(FilmaxData[[#This Row],[Show_Date]],"MMM")</f>
        <v>Sep</v>
      </c>
      <c r="E631" s="1" t="str">
        <f xml:space="preserve"> TEXT(FilmaxData[[#This Row],[Show_Date]],"DDD")</f>
        <v>Fri</v>
      </c>
      <c r="F631" t="s">
        <v>33</v>
      </c>
      <c r="G631" t="s">
        <v>17</v>
      </c>
      <c r="H631">
        <v>3</v>
      </c>
      <c r="I631">
        <v>12</v>
      </c>
      <c r="J631" t="s">
        <v>13</v>
      </c>
      <c r="K631" t="s">
        <v>14</v>
      </c>
      <c r="L631">
        <v>36</v>
      </c>
    </row>
    <row r="632" spans="1:12" x14ac:dyDescent="0.3">
      <c r="A632">
        <v>203</v>
      </c>
      <c r="B632" t="s">
        <v>28</v>
      </c>
      <c r="C632" s="1">
        <v>45847</v>
      </c>
      <c r="D632" s="1" t="str">
        <f xml:space="preserve"> TEXT(FilmaxData[[#This Row],[Show_Date]],"MMM")</f>
        <v>Jul</v>
      </c>
      <c r="E632" s="1" t="str">
        <f xml:space="preserve"> TEXT(FilmaxData[[#This Row],[Show_Date]],"DDD")</f>
        <v>Wed</v>
      </c>
      <c r="F632" t="s">
        <v>11</v>
      </c>
      <c r="G632" t="s">
        <v>17</v>
      </c>
      <c r="H632">
        <v>5</v>
      </c>
      <c r="I632">
        <v>12</v>
      </c>
      <c r="J632" t="s">
        <v>23</v>
      </c>
      <c r="K632" t="s">
        <v>25</v>
      </c>
      <c r="L632">
        <v>60</v>
      </c>
    </row>
    <row r="633" spans="1:12" x14ac:dyDescent="0.3">
      <c r="A633">
        <v>965</v>
      </c>
      <c r="B633" t="s">
        <v>28</v>
      </c>
      <c r="C633" s="1">
        <v>45922</v>
      </c>
      <c r="D633" s="1" t="str">
        <f xml:space="preserve"> TEXT(FilmaxData[[#This Row],[Show_Date]],"MMM")</f>
        <v>Sep</v>
      </c>
      <c r="E633" s="1" t="str">
        <f xml:space="preserve"> TEXT(FilmaxData[[#This Row],[Show_Date]],"DDD")</f>
        <v>Mon</v>
      </c>
      <c r="F633" t="s">
        <v>20</v>
      </c>
      <c r="G633" t="s">
        <v>22</v>
      </c>
      <c r="H633">
        <v>4</v>
      </c>
      <c r="I633">
        <v>20</v>
      </c>
      <c r="J633" t="s">
        <v>13</v>
      </c>
      <c r="K633" t="s">
        <v>25</v>
      </c>
      <c r="L633">
        <v>80</v>
      </c>
    </row>
    <row r="634" spans="1:12" x14ac:dyDescent="0.3">
      <c r="A634">
        <v>878</v>
      </c>
      <c r="B634" t="s">
        <v>26</v>
      </c>
      <c r="C634" s="1">
        <v>45878</v>
      </c>
      <c r="D634" s="1" t="str">
        <f xml:space="preserve"> TEXT(FilmaxData[[#This Row],[Show_Date]],"MMM")</f>
        <v>Aug</v>
      </c>
      <c r="E634" s="1" t="str">
        <f xml:space="preserve"> TEXT(FilmaxData[[#This Row],[Show_Date]],"DDD")</f>
        <v>Sat</v>
      </c>
      <c r="F634" t="s">
        <v>16</v>
      </c>
      <c r="G634" t="s">
        <v>17</v>
      </c>
      <c r="H634">
        <v>3</v>
      </c>
      <c r="I634">
        <v>12</v>
      </c>
      <c r="J634" t="s">
        <v>21</v>
      </c>
      <c r="K634" t="s">
        <v>14</v>
      </c>
      <c r="L634">
        <v>36</v>
      </c>
    </row>
    <row r="635" spans="1:12" x14ac:dyDescent="0.3">
      <c r="A635">
        <v>104</v>
      </c>
      <c r="B635" t="s">
        <v>31</v>
      </c>
      <c r="C635" s="1">
        <v>45889</v>
      </c>
      <c r="D635" s="1" t="str">
        <f xml:space="preserve"> TEXT(FilmaxData[[#This Row],[Show_Date]],"MMM")</f>
        <v>Aug</v>
      </c>
      <c r="E635" s="1" t="str">
        <f xml:space="preserve"> TEXT(FilmaxData[[#This Row],[Show_Date]],"DDD")</f>
        <v>Wed</v>
      </c>
      <c r="F635" t="s">
        <v>20</v>
      </c>
      <c r="G635" t="s">
        <v>30</v>
      </c>
      <c r="H635">
        <v>1</v>
      </c>
      <c r="I635">
        <v>8</v>
      </c>
      <c r="J635" t="s">
        <v>23</v>
      </c>
      <c r="K635" t="s">
        <v>14</v>
      </c>
      <c r="L635">
        <v>8</v>
      </c>
    </row>
    <row r="636" spans="1:12" x14ac:dyDescent="0.3">
      <c r="A636">
        <v>216</v>
      </c>
      <c r="B636" t="s">
        <v>15</v>
      </c>
      <c r="C636" s="1">
        <v>45885</v>
      </c>
      <c r="D636" s="1" t="str">
        <f xml:space="preserve"> TEXT(FilmaxData[[#This Row],[Show_Date]],"MMM")</f>
        <v>Aug</v>
      </c>
      <c r="E636" s="1" t="str">
        <f xml:space="preserve"> TEXT(FilmaxData[[#This Row],[Show_Date]],"DDD")</f>
        <v>Sat</v>
      </c>
      <c r="F636" t="s">
        <v>20</v>
      </c>
      <c r="G636" t="s">
        <v>17</v>
      </c>
      <c r="H636">
        <v>5</v>
      </c>
      <c r="I636">
        <v>12</v>
      </c>
      <c r="J636" t="s">
        <v>21</v>
      </c>
      <c r="K636" t="s">
        <v>18</v>
      </c>
      <c r="L636">
        <v>60</v>
      </c>
    </row>
    <row r="637" spans="1:12" x14ac:dyDescent="0.3">
      <c r="A637">
        <v>70</v>
      </c>
      <c r="B637" t="s">
        <v>10</v>
      </c>
      <c r="C637" s="1">
        <v>45906</v>
      </c>
      <c r="D637" s="1" t="str">
        <f xml:space="preserve"> TEXT(FilmaxData[[#This Row],[Show_Date]],"MMM")</f>
        <v>Sep</v>
      </c>
      <c r="E637" s="1" t="str">
        <f xml:space="preserve"> TEXT(FilmaxData[[#This Row],[Show_Date]],"DDD")</f>
        <v>Sat</v>
      </c>
      <c r="F637" t="s">
        <v>11</v>
      </c>
      <c r="G637" t="s">
        <v>17</v>
      </c>
      <c r="H637">
        <v>2</v>
      </c>
      <c r="I637">
        <v>12</v>
      </c>
      <c r="J637" t="s">
        <v>13</v>
      </c>
      <c r="K637" t="s">
        <v>18</v>
      </c>
      <c r="L637">
        <v>24</v>
      </c>
    </row>
    <row r="638" spans="1:12" x14ac:dyDescent="0.3">
      <c r="A638">
        <v>536</v>
      </c>
      <c r="B638" t="s">
        <v>10</v>
      </c>
      <c r="C638" s="1">
        <v>45843</v>
      </c>
      <c r="D638" s="1" t="str">
        <f xml:space="preserve"> TEXT(FilmaxData[[#This Row],[Show_Date]],"MMM")</f>
        <v>Jul</v>
      </c>
      <c r="E638" s="1" t="str">
        <f xml:space="preserve"> TEXT(FilmaxData[[#This Row],[Show_Date]],"DDD")</f>
        <v>Sat</v>
      </c>
      <c r="F638" t="s">
        <v>11</v>
      </c>
      <c r="G638" t="s">
        <v>22</v>
      </c>
      <c r="H638">
        <v>3</v>
      </c>
      <c r="I638">
        <v>20</v>
      </c>
      <c r="J638" t="s">
        <v>13</v>
      </c>
      <c r="K638" t="s">
        <v>25</v>
      </c>
      <c r="L638">
        <v>60</v>
      </c>
    </row>
    <row r="639" spans="1:12" x14ac:dyDescent="0.3">
      <c r="A639">
        <v>1259</v>
      </c>
      <c r="B639" t="s">
        <v>19</v>
      </c>
      <c r="C639" s="1">
        <v>45907</v>
      </c>
      <c r="D639" s="1" t="str">
        <f xml:space="preserve"> TEXT(FilmaxData[[#This Row],[Show_Date]],"MMM")</f>
        <v>Sep</v>
      </c>
      <c r="E639" s="1" t="str">
        <f xml:space="preserve"> TEXT(FilmaxData[[#This Row],[Show_Date]],"DDD")</f>
        <v>Sun</v>
      </c>
      <c r="F639" t="s">
        <v>33</v>
      </c>
      <c r="G639" t="s">
        <v>17</v>
      </c>
      <c r="H639">
        <v>5</v>
      </c>
      <c r="I639">
        <v>12</v>
      </c>
      <c r="J639" t="s">
        <v>21</v>
      </c>
      <c r="K639" t="s">
        <v>27</v>
      </c>
      <c r="L639">
        <v>60</v>
      </c>
    </row>
    <row r="640" spans="1:12" x14ac:dyDescent="0.3">
      <c r="A640">
        <v>1930</v>
      </c>
      <c r="B640" t="s">
        <v>32</v>
      </c>
      <c r="C640" s="1">
        <v>45872</v>
      </c>
      <c r="D640" s="1" t="str">
        <f xml:space="preserve"> TEXT(FilmaxData[[#This Row],[Show_Date]],"MMM")</f>
        <v>Aug</v>
      </c>
      <c r="E640" s="1" t="str">
        <f xml:space="preserve"> TEXT(FilmaxData[[#This Row],[Show_Date]],"DDD")</f>
        <v>Sun</v>
      </c>
      <c r="F640" t="s">
        <v>20</v>
      </c>
      <c r="G640" t="s">
        <v>17</v>
      </c>
      <c r="H640">
        <v>2</v>
      </c>
      <c r="I640">
        <v>12</v>
      </c>
      <c r="J640" t="s">
        <v>21</v>
      </c>
      <c r="K640" t="s">
        <v>27</v>
      </c>
      <c r="L640">
        <v>24</v>
      </c>
    </row>
    <row r="641" spans="1:12" x14ac:dyDescent="0.3">
      <c r="A641">
        <v>862</v>
      </c>
      <c r="B641" t="s">
        <v>24</v>
      </c>
      <c r="C641" s="1">
        <v>45921</v>
      </c>
      <c r="D641" s="1" t="str">
        <f xml:space="preserve"> TEXT(FilmaxData[[#This Row],[Show_Date]],"MMM")</f>
        <v>Sep</v>
      </c>
      <c r="E641" s="1" t="str">
        <f xml:space="preserve"> TEXT(FilmaxData[[#This Row],[Show_Date]],"DDD")</f>
        <v>Sun</v>
      </c>
      <c r="F641" t="s">
        <v>16</v>
      </c>
      <c r="G641" t="s">
        <v>17</v>
      </c>
      <c r="H641">
        <v>5</v>
      </c>
      <c r="I641">
        <v>12</v>
      </c>
      <c r="J641" t="s">
        <v>13</v>
      </c>
      <c r="K641" t="s">
        <v>25</v>
      </c>
      <c r="L641">
        <v>60</v>
      </c>
    </row>
    <row r="642" spans="1:12" x14ac:dyDescent="0.3">
      <c r="A642">
        <v>7</v>
      </c>
      <c r="B642" t="s">
        <v>15</v>
      </c>
      <c r="C642" s="1">
        <v>45921</v>
      </c>
      <c r="D642" s="1" t="str">
        <f xml:space="preserve"> TEXT(FilmaxData[[#This Row],[Show_Date]],"MMM")</f>
        <v>Sep</v>
      </c>
      <c r="E642" s="1" t="str">
        <f xml:space="preserve"> TEXT(FilmaxData[[#This Row],[Show_Date]],"DDD")</f>
        <v>Sun</v>
      </c>
      <c r="F642" t="s">
        <v>16</v>
      </c>
      <c r="G642" t="s">
        <v>17</v>
      </c>
      <c r="H642">
        <v>4</v>
      </c>
      <c r="I642">
        <v>12</v>
      </c>
      <c r="J642" t="s">
        <v>13</v>
      </c>
      <c r="K642" t="s">
        <v>14</v>
      </c>
      <c r="L642">
        <v>48</v>
      </c>
    </row>
    <row r="643" spans="1:12" x14ac:dyDescent="0.3">
      <c r="A643">
        <v>1213</v>
      </c>
      <c r="B643" t="s">
        <v>26</v>
      </c>
      <c r="C643" s="1">
        <v>45910</v>
      </c>
      <c r="D643" s="1" t="str">
        <f xml:space="preserve"> TEXT(FilmaxData[[#This Row],[Show_Date]],"MMM")</f>
        <v>Sep</v>
      </c>
      <c r="E643" s="1" t="str">
        <f xml:space="preserve"> TEXT(FilmaxData[[#This Row],[Show_Date]],"DDD")</f>
        <v>Wed</v>
      </c>
      <c r="F643" t="s">
        <v>20</v>
      </c>
      <c r="G643" t="s">
        <v>17</v>
      </c>
      <c r="H643">
        <v>5</v>
      </c>
      <c r="I643">
        <v>12</v>
      </c>
      <c r="J643" t="s">
        <v>13</v>
      </c>
      <c r="K643" t="s">
        <v>14</v>
      </c>
      <c r="L643">
        <v>60</v>
      </c>
    </row>
    <row r="644" spans="1:12" x14ac:dyDescent="0.3">
      <c r="A644">
        <v>782</v>
      </c>
      <c r="B644" t="s">
        <v>32</v>
      </c>
      <c r="C644" s="1">
        <v>45918</v>
      </c>
      <c r="D644" s="1" t="str">
        <f xml:space="preserve"> TEXT(FilmaxData[[#This Row],[Show_Date]],"MMM")</f>
        <v>Sep</v>
      </c>
      <c r="E644" s="1" t="str">
        <f xml:space="preserve"> TEXT(FilmaxData[[#This Row],[Show_Date]],"DDD")</f>
        <v>Thu</v>
      </c>
      <c r="F644" t="s">
        <v>20</v>
      </c>
      <c r="G644" t="s">
        <v>22</v>
      </c>
      <c r="H644">
        <v>5</v>
      </c>
      <c r="I644">
        <v>20</v>
      </c>
      <c r="J644" t="s">
        <v>23</v>
      </c>
      <c r="K644" t="s">
        <v>14</v>
      </c>
      <c r="L644">
        <v>100</v>
      </c>
    </row>
    <row r="645" spans="1:12" x14ac:dyDescent="0.3">
      <c r="A645">
        <v>289</v>
      </c>
      <c r="B645" t="s">
        <v>24</v>
      </c>
      <c r="C645" s="1">
        <v>45855</v>
      </c>
      <c r="D645" s="1" t="str">
        <f xml:space="preserve"> TEXT(FilmaxData[[#This Row],[Show_Date]],"MMM")</f>
        <v>Jul</v>
      </c>
      <c r="E645" s="1" t="str">
        <f xml:space="preserve"> TEXT(FilmaxData[[#This Row],[Show_Date]],"DDD")</f>
        <v>Thu</v>
      </c>
      <c r="F645" t="s">
        <v>33</v>
      </c>
      <c r="G645" t="s">
        <v>17</v>
      </c>
      <c r="H645">
        <v>5</v>
      </c>
      <c r="I645">
        <v>12</v>
      </c>
      <c r="J645" t="s">
        <v>13</v>
      </c>
      <c r="K645" t="s">
        <v>25</v>
      </c>
      <c r="L645">
        <v>60</v>
      </c>
    </row>
    <row r="646" spans="1:12" x14ac:dyDescent="0.3">
      <c r="A646">
        <v>860</v>
      </c>
      <c r="B646" t="s">
        <v>28</v>
      </c>
      <c r="C646" s="1">
        <v>45929</v>
      </c>
      <c r="D646" s="1" t="str">
        <f xml:space="preserve"> TEXT(FilmaxData[[#This Row],[Show_Date]],"MMM")</f>
        <v>Sep</v>
      </c>
      <c r="E646" s="1" t="str">
        <f xml:space="preserve"> TEXT(FilmaxData[[#This Row],[Show_Date]],"DDD")</f>
        <v>Mon</v>
      </c>
      <c r="F646" t="s">
        <v>11</v>
      </c>
      <c r="G646" t="s">
        <v>17</v>
      </c>
      <c r="H646">
        <v>4</v>
      </c>
      <c r="I646">
        <v>12</v>
      </c>
      <c r="J646" t="s">
        <v>23</v>
      </c>
      <c r="K646" t="s">
        <v>18</v>
      </c>
      <c r="L646">
        <v>48</v>
      </c>
    </row>
    <row r="647" spans="1:12" x14ac:dyDescent="0.3">
      <c r="A647">
        <v>1557</v>
      </c>
      <c r="B647" t="s">
        <v>26</v>
      </c>
      <c r="C647" s="1">
        <v>45844</v>
      </c>
      <c r="D647" s="1" t="str">
        <f xml:space="preserve"> TEXT(FilmaxData[[#This Row],[Show_Date]],"MMM")</f>
        <v>Jul</v>
      </c>
      <c r="E647" s="1" t="str">
        <f xml:space="preserve"> TEXT(FilmaxData[[#This Row],[Show_Date]],"DDD")</f>
        <v>Sun</v>
      </c>
      <c r="F647" t="s">
        <v>33</v>
      </c>
      <c r="G647" t="s">
        <v>17</v>
      </c>
      <c r="H647">
        <v>3</v>
      </c>
      <c r="I647">
        <v>12</v>
      </c>
      <c r="J647" t="s">
        <v>23</v>
      </c>
      <c r="K647" t="s">
        <v>25</v>
      </c>
      <c r="L647">
        <v>36</v>
      </c>
    </row>
    <row r="648" spans="1:12" x14ac:dyDescent="0.3">
      <c r="A648">
        <v>759</v>
      </c>
      <c r="B648" t="s">
        <v>24</v>
      </c>
      <c r="C648" s="1">
        <v>45877</v>
      </c>
      <c r="D648" s="1" t="str">
        <f xml:space="preserve"> TEXT(FilmaxData[[#This Row],[Show_Date]],"MMM")</f>
        <v>Aug</v>
      </c>
      <c r="E648" s="1" t="str">
        <f xml:space="preserve"> TEXT(FilmaxData[[#This Row],[Show_Date]],"DDD")</f>
        <v>Fri</v>
      </c>
      <c r="F648" t="s">
        <v>20</v>
      </c>
      <c r="G648" t="s">
        <v>30</v>
      </c>
      <c r="H648">
        <v>5</v>
      </c>
      <c r="I648">
        <v>8</v>
      </c>
      <c r="J648" t="s">
        <v>23</v>
      </c>
      <c r="K648" t="s">
        <v>14</v>
      </c>
      <c r="L648">
        <v>40</v>
      </c>
    </row>
    <row r="649" spans="1:12" x14ac:dyDescent="0.3">
      <c r="A649">
        <v>1558</v>
      </c>
      <c r="B649" t="s">
        <v>32</v>
      </c>
      <c r="C649" s="1">
        <v>45911</v>
      </c>
      <c r="D649" s="1" t="str">
        <f xml:space="preserve"> TEXT(FilmaxData[[#This Row],[Show_Date]],"MMM")</f>
        <v>Sep</v>
      </c>
      <c r="E649" s="1" t="str">
        <f xml:space="preserve"> TEXT(FilmaxData[[#This Row],[Show_Date]],"DDD")</f>
        <v>Thu</v>
      </c>
      <c r="F649" t="s">
        <v>33</v>
      </c>
      <c r="G649" t="s">
        <v>17</v>
      </c>
      <c r="H649">
        <v>4</v>
      </c>
      <c r="I649">
        <v>12</v>
      </c>
      <c r="J649" t="s">
        <v>23</v>
      </c>
      <c r="K649" t="s">
        <v>14</v>
      </c>
      <c r="L649">
        <v>48</v>
      </c>
    </row>
    <row r="650" spans="1:12" x14ac:dyDescent="0.3">
      <c r="A650">
        <v>1463</v>
      </c>
      <c r="B650" t="s">
        <v>15</v>
      </c>
      <c r="C650" s="1">
        <v>45901</v>
      </c>
      <c r="D650" s="1" t="str">
        <f xml:space="preserve"> TEXT(FilmaxData[[#This Row],[Show_Date]],"MMM")</f>
        <v>Sep</v>
      </c>
      <c r="E650" s="1" t="str">
        <f xml:space="preserve"> TEXT(FilmaxData[[#This Row],[Show_Date]],"DDD")</f>
        <v>Mon</v>
      </c>
      <c r="F650" t="s">
        <v>16</v>
      </c>
      <c r="G650" t="s">
        <v>12</v>
      </c>
      <c r="H650">
        <v>4</v>
      </c>
      <c r="I650">
        <v>25</v>
      </c>
      <c r="J650" t="s">
        <v>21</v>
      </c>
      <c r="K650" t="s">
        <v>18</v>
      </c>
      <c r="L650">
        <v>100</v>
      </c>
    </row>
    <row r="651" spans="1:12" x14ac:dyDescent="0.3">
      <c r="A651">
        <v>1173</v>
      </c>
      <c r="B651" t="s">
        <v>32</v>
      </c>
      <c r="C651" s="1">
        <v>45884</v>
      </c>
      <c r="D651" s="1" t="str">
        <f xml:space="preserve"> TEXT(FilmaxData[[#This Row],[Show_Date]],"MMM")</f>
        <v>Aug</v>
      </c>
      <c r="E651" s="1" t="str">
        <f xml:space="preserve"> TEXT(FilmaxData[[#This Row],[Show_Date]],"DDD")</f>
        <v>Fri</v>
      </c>
      <c r="F651" t="s">
        <v>11</v>
      </c>
      <c r="G651" t="s">
        <v>17</v>
      </c>
      <c r="H651">
        <v>3</v>
      </c>
      <c r="I651">
        <v>12</v>
      </c>
      <c r="J651" t="s">
        <v>23</v>
      </c>
      <c r="K651" t="s">
        <v>14</v>
      </c>
      <c r="L651">
        <v>36</v>
      </c>
    </row>
    <row r="652" spans="1:12" x14ac:dyDescent="0.3">
      <c r="A652">
        <v>199</v>
      </c>
      <c r="B652" t="s">
        <v>15</v>
      </c>
      <c r="C652" s="1">
        <v>45844</v>
      </c>
      <c r="D652" s="1" t="str">
        <f xml:space="preserve"> TEXT(FilmaxData[[#This Row],[Show_Date]],"MMM")</f>
        <v>Jul</v>
      </c>
      <c r="E652" s="1" t="str">
        <f xml:space="preserve"> TEXT(FilmaxData[[#This Row],[Show_Date]],"DDD")</f>
        <v>Sun</v>
      </c>
      <c r="F652" t="s">
        <v>11</v>
      </c>
      <c r="G652" t="s">
        <v>12</v>
      </c>
      <c r="H652">
        <v>4</v>
      </c>
      <c r="I652">
        <v>25</v>
      </c>
      <c r="J652" t="s">
        <v>23</v>
      </c>
      <c r="K652" t="s">
        <v>27</v>
      </c>
      <c r="L652">
        <v>100</v>
      </c>
    </row>
    <row r="653" spans="1:12" x14ac:dyDescent="0.3">
      <c r="A653">
        <v>1196</v>
      </c>
      <c r="B653" t="s">
        <v>15</v>
      </c>
      <c r="C653" s="1">
        <v>45929</v>
      </c>
      <c r="D653" s="1" t="str">
        <f xml:space="preserve"> TEXT(FilmaxData[[#This Row],[Show_Date]],"MMM")</f>
        <v>Sep</v>
      </c>
      <c r="E653" s="1" t="str">
        <f xml:space="preserve"> TEXT(FilmaxData[[#This Row],[Show_Date]],"DDD")</f>
        <v>Mon</v>
      </c>
      <c r="F653" t="s">
        <v>11</v>
      </c>
      <c r="G653" t="s">
        <v>12</v>
      </c>
      <c r="H653">
        <v>2</v>
      </c>
      <c r="I653">
        <v>25</v>
      </c>
      <c r="J653" t="s">
        <v>23</v>
      </c>
      <c r="K653" t="s">
        <v>14</v>
      </c>
      <c r="L653">
        <v>50</v>
      </c>
    </row>
    <row r="654" spans="1:12" x14ac:dyDescent="0.3">
      <c r="A654">
        <v>34</v>
      </c>
      <c r="B654" t="s">
        <v>26</v>
      </c>
      <c r="C654" s="1">
        <v>45909</v>
      </c>
      <c r="D654" s="1" t="str">
        <f xml:space="preserve"> TEXT(FilmaxData[[#This Row],[Show_Date]],"MMM")</f>
        <v>Sep</v>
      </c>
      <c r="E654" s="1" t="str">
        <f xml:space="preserve"> TEXT(FilmaxData[[#This Row],[Show_Date]],"DDD")</f>
        <v>Tue</v>
      </c>
      <c r="F654" t="s">
        <v>11</v>
      </c>
      <c r="G654" t="s">
        <v>29</v>
      </c>
      <c r="H654">
        <v>5</v>
      </c>
      <c r="I654">
        <v>30</v>
      </c>
      <c r="J654" t="s">
        <v>13</v>
      </c>
      <c r="K654" t="s">
        <v>14</v>
      </c>
      <c r="L654">
        <v>150</v>
      </c>
    </row>
    <row r="655" spans="1:12" x14ac:dyDescent="0.3">
      <c r="A655">
        <v>1601</v>
      </c>
      <c r="B655" t="s">
        <v>19</v>
      </c>
      <c r="C655" s="1">
        <v>45867</v>
      </c>
      <c r="D655" s="1" t="str">
        <f xml:space="preserve"> TEXT(FilmaxData[[#This Row],[Show_Date]],"MMM")</f>
        <v>Jul</v>
      </c>
      <c r="E655" s="1" t="str">
        <f xml:space="preserve"> TEXT(FilmaxData[[#This Row],[Show_Date]],"DDD")</f>
        <v>Tue</v>
      </c>
      <c r="F655" t="s">
        <v>11</v>
      </c>
      <c r="G655" t="s">
        <v>17</v>
      </c>
      <c r="H655">
        <v>2</v>
      </c>
      <c r="I655">
        <v>12</v>
      </c>
      <c r="J655" t="s">
        <v>23</v>
      </c>
      <c r="K655" t="s">
        <v>25</v>
      </c>
      <c r="L655">
        <v>24</v>
      </c>
    </row>
    <row r="656" spans="1:12" x14ac:dyDescent="0.3">
      <c r="A656">
        <v>1225</v>
      </c>
      <c r="B656" t="s">
        <v>24</v>
      </c>
      <c r="C656" s="1">
        <v>45906</v>
      </c>
      <c r="D656" s="1" t="str">
        <f xml:space="preserve"> TEXT(FilmaxData[[#This Row],[Show_Date]],"MMM")</f>
        <v>Sep</v>
      </c>
      <c r="E656" s="1" t="str">
        <f xml:space="preserve"> TEXT(FilmaxData[[#This Row],[Show_Date]],"DDD")</f>
        <v>Sat</v>
      </c>
      <c r="F656" t="s">
        <v>11</v>
      </c>
      <c r="G656" t="s">
        <v>17</v>
      </c>
      <c r="H656">
        <v>4</v>
      </c>
      <c r="I656">
        <v>12</v>
      </c>
      <c r="J656" t="s">
        <v>21</v>
      </c>
      <c r="K656" t="s">
        <v>14</v>
      </c>
      <c r="L656">
        <v>48</v>
      </c>
    </row>
    <row r="657" spans="1:12" x14ac:dyDescent="0.3">
      <c r="A657">
        <v>1398</v>
      </c>
      <c r="B657" t="s">
        <v>28</v>
      </c>
      <c r="C657" s="1">
        <v>45850</v>
      </c>
      <c r="D657" s="1" t="str">
        <f xml:space="preserve"> TEXT(FilmaxData[[#This Row],[Show_Date]],"MMM")</f>
        <v>Jul</v>
      </c>
      <c r="E657" s="1" t="str">
        <f xml:space="preserve"> TEXT(FilmaxData[[#This Row],[Show_Date]],"DDD")</f>
        <v>Sat</v>
      </c>
      <c r="F657" t="s">
        <v>11</v>
      </c>
      <c r="G657" t="s">
        <v>22</v>
      </c>
      <c r="H657">
        <v>3</v>
      </c>
      <c r="I657">
        <v>20</v>
      </c>
      <c r="J657" t="s">
        <v>21</v>
      </c>
      <c r="K657" t="s">
        <v>18</v>
      </c>
      <c r="L657">
        <v>60</v>
      </c>
    </row>
    <row r="658" spans="1:12" x14ac:dyDescent="0.3">
      <c r="A658">
        <v>1164</v>
      </c>
      <c r="B658" t="s">
        <v>10</v>
      </c>
      <c r="C658" s="1">
        <v>45927</v>
      </c>
      <c r="D658" s="1" t="str">
        <f xml:space="preserve"> TEXT(FilmaxData[[#This Row],[Show_Date]],"MMM")</f>
        <v>Sep</v>
      </c>
      <c r="E658" s="1" t="str">
        <f xml:space="preserve"> TEXT(FilmaxData[[#This Row],[Show_Date]],"DDD")</f>
        <v>Sat</v>
      </c>
      <c r="F658" t="s">
        <v>11</v>
      </c>
      <c r="G658" t="s">
        <v>12</v>
      </c>
      <c r="H658">
        <v>2</v>
      </c>
      <c r="I658">
        <v>25</v>
      </c>
      <c r="J658" t="s">
        <v>21</v>
      </c>
      <c r="K658" t="s">
        <v>14</v>
      </c>
      <c r="L658">
        <v>50</v>
      </c>
    </row>
    <row r="659" spans="1:12" x14ac:dyDescent="0.3">
      <c r="A659">
        <v>1379</v>
      </c>
      <c r="B659" t="s">
        <v>10</v>
      </c>
      <c r="C659" s="1">
        <v>45858</v>
      </c>
      <c r="D659" s="1" t="str">
        <f xml:space="preserve"> TEXT(FilmaxData[[#This Row],[Show_Date]],"MMM")</f>
        <v>Jul</v>
      </c>
      <c r="E659" s="1" t="str">
        <f xml:space="preserve"> TEXT(FilmaxData[[#This Row],[Show_Date]],"DDD")</f>
        <v>Sun</v>
      </c>
      <c r="F659" t="s">
        <v>11</v>
      </c>
      <c r="G659" t="s">
        <v>17</v>
      </c>
      <c r="H659">
        <v>5</v>
      </c>
      <c r="I659">
        <v>12</v>
      </c>
      <c r="J659" t="s">
        <v>23</v>
      </c>
      <c r="K659" t="s">
        <v>14</v>
      </c>
      <c r="L659">
        <v>60</v>
      </c>
    </row>
    <row r="660" spans="1:12" x14ac:dyDescent="0.3">
      <c r="A660">
        <v>622</v>
      </c>
      <c r="B660" t="s">
        <v>26</v>
      </c>
      <c r="C660" s="1">
        <v>45839</v>
      </c>
      <c r="D660" s="1" t="str">
        <f xml:space="preserve"> TEXT(FilmaxData[[#This Row],[Show_Date]],"MMM")</f>
        <v>Jul</v>
      </c>
      <c r="E660" s="1" t="str">
        <f xml:space="preserve"> TEXT(FilmaxData[[#This Row],[Show_Date]],"DDD")</f>
        <v>Tue</v>
      </c>
      <c r="F660" t="s">
        <v>11</v>
      </c>
      <c r="G660" t="s">
        <v>22</v>
      </c>
      <c r="H660">
        <v>5</v>
      </c>
      <c r="I660">
        <v>20</v>
      </c>
      <c r="J660" t="s">
        <v>23</v>
      </c>
      <c r="K660" t="s">
        <v>25</v>
      </c>
      <c r="L660">
        <v>100</v>
      </c>
    </row>
    <row r="661" spans="1:12" x14ac:dyDescent="0.3">
      <c r="A661">
        <v>985</v>
      </c>
      <c r="B661" t="s">
        <v>19</v>
      </c>
      <c r="C661" s="1">
        <v>45914</v>
      </c>
      <c r="D661" s="1" t="str">
        <f xml:space="preserve"> TEXT(FilmaxData[[#This Row],[Show_Date]],"MMM")</f>
        <v>Sep</v>
      </c>
      <c r="E661" s="1" t="str">
        <f xml:space="preserve"> TEXT(FilmaxData[[#This Row],[Show_Date]],"DDD")</f>
        <v>Sun</v>
      </c>
      <c r="F661" t="s">
        <v>16</v>
      </c>
      <c r="G661" t="s">
        <v>12</v>
      </c>
      <c r="H661">
        <v>1</v>
      </c>
      <c r="I661">
        <v>25</v>
      </c>
      <c r="J661" t="s">
        <v>13</v>
      </c>
      <c r="K661" t="s">
        <v>18</v>
      </c>
      <c r="L661">
        <v>25</v>
      </c>
    </row>
    <row r="662" spans="1:12" x14ac:dyDescent="0.3">
      <c r="A662">
        <v>562</v>
      </c>
      <c r="B662" t="s">
        <v>32</v>
      </c>
      <c r="C662" s="1">
        <v>45890</v>
      </c>
      <c r="D662" s="1" t="str">
        <f xml:space="preserve"> TEXT(FilmaxData[[#This Row],[Show_Date]],"MMM")</f>
        <v>Aug</v>
      </c>
      <c r="E662" s="1" t="str">
        <f xml:space="preserve"> TEXT(FilmaxData[[#This Row],[Show_Date]],"DDD")</f>
        <v>Thu</v>
      </c>
      <c r="F662" t="s">
        <v>16</v>
      </c>
      <c r="G662" t="s">
        <v>30</v>
      </c>
      <c r="H662">
        <v>3</v>
      </c>
      <c r="I662">
        <v>8</v>
      </c>
      <c r="J662" t="s">
        <v>23</v>
      </c>
      <c r="K662" t="s">
        <v>25</v>
      </c>
      <c r="L662">
        <v>24</v>
      </c>
    </row>
    <row r="663" spans="1:12" x14ac:dyDescent="0.3">
      <c r="A663">
        <v>615</v>
      </c>
      <c r="B663" t="s">
        <v>10</v>
      </c>
      <c r="C663" s="1">
        <v>45897</v>
      </c>
      <c r="D663" s="1" t="str">
        <f xml:space="preserve"> TEXT(FilmaxData[[#This Row],[Show_Date]],"MMM")</f>
        <v>Aug</v>
      </c>
      <c r="E663" s="1" t="str">
        <f xml:space="preserve"> TEXT(FilmaxData[[#This Row],[Show_Date]],"DDD")</f>
        <v>Thu</v>
      </c>
      <c r="F663" t="s">
        <v>20</v>
      </c>
      <c r="G663" t="s">
        <v>17</v>
      </c>
      <c r="H663">
        <v>3</v>
      </c>
      <c r="I663">
        <v>12</v>
      </c>
      <c r="J663" t="s">
        <v>13</v>
      </c>
      <c r="K663" t="s">
        <v>14</v>
      </c>
      <c r="L663">
        <v>36</v>
      </c>
    </row>
    <row r="664" spans="1:12" x14ac:dyDescent="0.3">
      <c r="A664">
        <v>789</v>
      </c>
      <c r="B664" t="s">
        <v>19</v>
      </c>
      <c r="C664" s="1">
        <v>45844</v>
      </c>
      <c r="D664" s="1" t="str">
        <f xml:space="preserve"> TEXT(FilmaxData[[#This Row],[Show_Date]],"MMM")</f>
        <v>Jul</v>
      </c>
      <c r="E664" s="1" t="str">
        <f xml:space="preserve"> TEXT(FilmaxData[[#This Row],[Show_Date]],"DDD")</f>
        <v>Sun</v>
      </c>
      <c r="F664" t="s">
        <v>20</v>
      </c>
      <c r="G664" t="s">
        <v>29</v>
      </c>
      <c r="H664">
        <v>2</v>
      </c>
      <c r="I664">
        <v>30</v>
      </c>
      <c r="J664" t="s">
        <v>21</v>
      </c>
      <c r="K664" t="s">
        <v>14</v>
      </c>
      <c r="L664">
        <v>60</v>
      </c>
    </row>
    <row r="665" spans="1:12" x14ac:dyDescent="0.3">
      <c r="A665">
        <v>1176</v>
      </c>
      <c r="B665" t="s">
        <v>28</v>
      </c>
      <c r="C665" s="1">
        <v>45929</v>
      </c>
      <c r="D665" s="1" t="str">
        <f xml:space="preserve"> TEXT(FilmaxData[[#This Row],[Show_Date]],"MMM")</f>
        <v>Sep</v>
      </c>
      <c r="E665" s="1" t="str">
        <f xml:space="preserve"> TEXT(FilmaxData[[#This Row],[Show_Date]],"DDD")</f>
        <v>Mon</v>
      </c>
      <c r="F665" t="s">
        <v>20</v>
      </c>
      <c r="G665" t="s">
        <v>17</v>
      </c>
      <c r="H665">
        <v>2</v>
      </c>
      <c r="I665">
        <v>12</v>
      </c>
      <c r="J665" t="s">
        <v>13</v>
      </c>
      <c r="K665" t="s">
        <v>18</v>
      </c>
      <c r="L665">
        <v>24</v>
      </c>
    </row>
    <row r="666" spans="1:12" x14ac:dyDescent="0.3">
      <c r="A666">
        <v>1233</v>
      </c>
      <c r="B666" t="s">
        <v>15</v>
      </c>
      <c r="C666" s="1">
        <v>45882</v>
      </c>
      <c r="D666" s="1" t="str">
        <f xml:space="preserve"> TEXT(FilmaxData[[#This Row],[Show_Date]],"MMM")</f>
        <v>Aug</v>
      </c>
      <c r="E666" s="1" t="str">
        <f xml:space="preserve"> TEXT(FilmaxData[[#This Row],[Show_Date]],"DDD")</f>
        <v>Wed</v>
      </c>
      <c r="F666" t="s">
        <v>11</v>
      </c>
      <c r="G666" t="s">
        <v>17</v>
      </c>
      <c r="H666">
        <v>4</v>
      </c>
      <c r="I666">
        <v>12</v>
      </c>
      <c r="J666" t="s">
        <v>21</v>
      </c>
      <c r="K666" t="s">
        <v>18</v>
      </c>
      <c r="L666">
        <v>48</v>
      </c>
    </row>
    <row r="667" spans="1:12" x14ac:dyDescent="0.3">
      <c r="A667">
        <v>1249</v>
      </c>
      <c r="B667" t="s">
        <v>26</v>
      </c>
      <c r="C667" s="1">
        <v>45890</v>
      </c>
      <c r="D667" s="1" t="str">
        <f xml:space="preserve"> TEXT(FilmaxData[[#This Row],[Show_Date]],"MMM")</f>
        <v>Aug</v>
      </c>
      <c r="E667" s="1" t="str">
        <f xml:space="preserve"> TEXT(FilmaxData[[#This Row],[Show_Date]],"DDD")</f>
        <v>Thu</v>
      </c>
      <c r="F667" t="s">
        <v>11</v>
      </c>
      <c r="G667" t="s">
        <v>22</v>
      </c>
      <c r="H667">
        <v>5</v>
      </c>
      <c r="I667">
        <v>20</v>
      </c>
      <c r="J667" t="s">
        <v>13</v>
      </c>
      <c r="K667" t="s">
        <v>27</v>
      </c>
      <c r="L667">
        <v>100</v>
      </c>
    </row>
    <row r="668" spans="1:12" x14ac:dyDescent="0.3">
      <c r="A668">
        <v>58</v>
      </c>
      <c r="B668" t="s">
        <v>24</v>
      </c>
      <c r="C668" s="1">
        <v>45928</v>
      </c>
      <c r="D668" s="1" t="str">
        <f xml:space="preserve"> TEXT(FilmaxData[[#This Row],[Show_Date]],"MMM")</f>
        <v>Sep</v>
      </c>
      <c r="E668" s="1" t="str">
        <f xml:space="preserve"> TEXT(FilmaxData[[#This Row],[Show_Date]],"DDD")</f>
        <v>Sun</v>
      </c>
      <c r="F668" t="s">
        <v>11</v>
      </c>
      <c r="G668" t="s">
        <v>17</v>
      </c>
      <c r="H668">
        <v>4</v>
      </c>
      <c r="I668">
        <v>12</v>
      </c>
      <c r="J668" t="s">
        <v>23</v>
      </c>
      <c r="K668" t="s">
        <v>25</v>
      </c>
      <c r="L668">
        <v>48</v>
      </c>
    </row>
    <row r="669" spans="1:12" x14ac:dyDescent="0.3">
      <c r="A669">
        <v>513</v>
      </c>
      <c r="B669" t="s">
        <v>28</v>
      </c>
      <c r="C669" s="1">
        <v>45881</v>
      </c>
      <c r="D669" s="1" t="str">
        <f xml:space="preserve"> TEXT(FilmaxData[[#This Row],[Show_Date]],"MMM")</f>
        <v>Aug</v>
      </c>
      <c r="E669" s="1" t="str">
        <f xml:space="preserve"> TEXT(FilmaxData[[#This Row],[Show_Date]],"DDD")</f>
        <v>Tue</v>
      </c>
      <c r="F669" t="s">
        <v>20</v>
      </c>
      <c r="G669" t="s">
        <v>17</v>
      </c>
      <c r="H669">
        <v>1</v>
      </c>
      <c r="I669">
        <v>12</v>
      </c>
      <c r="J669" t="s">
        <v>13</v>
      </c>
      <c r="K669" t="s">
        <v>18</v>
      </c>
      <c r="L669">
        <v>12</v>
      </c>
    </row>
    <row r="670" spans="1:12" x14ac:dyDescent="0.3">
      <c r="A670">
        <v>1290</v>
      </c>
      <c r="B670" t="s">
        <v>24</v>
      </c>
      <c r="C670" s="1">
        <v>45910</v>
      </c>
      <c r="D670" s="1" t="str">
        <f xml:space="preserve"> TEXT(FilmaxData[[#This Row],[Show_Date]],"MMM")</f>
        <v>Sep</v>
      </c>
      <c r="E670" s="1" t="str">
        <f xml:space="preserve"> TEXT(FilmaxData[[#This Row],[Show_Date]],"DDD")</f>
        <v>Wed</v>
      </c>
      <c r="F670" t="s">
        <v>16</v>
      </c>
      <c r="G670" t="s">
        <v>17</v>
      </c>
      <c r="H670">
        <v>5</v>
      </c>
      <c r="I670">
        <v>12</v>
      </c>
      <c r="J670" t="s">
        <v>23</v>
      </c>
      <c r="K670" t="s">
        <v>25</v>
      </c>
      <c r="L670">
        <v>60</v>
      </c>
    </row>
    <row r="671" spans="1:12" x14ac:dyDescent="0.3">
      <c r="A671">
        <v>1513</v>
      </c>
      <c r="B671" t="s">
        <v>15</v>
      </c>
      <c r="C671" s="1">
        <v>45841</v>
      </c>
      <c r="D671" s="1" t="str">
        <f xml:space="preserve"> TEXT(FilmaxData[[#This Row],[Show_Date]],"MMM")</f>
        <v>Jul</v>
      </c>
      <c r="E671" s="1" t="str">
        <f xml:space="preserve"> TEXT(FilmaxData[[#This Row],[Show_Date]],"DDD")</f>
        <v>Thu</v>
      </c>
      <c r="F671" t="s">
        <v>33</v>
      </c>
      <c r="G671" t="s">
        <v>29</v>
      </c>
      <c r="H671">
        <v>5</v>
      </c>
      <c r="I671">
        <v>30</v>
      </c>
      <c r="J671" t="s">
        <v>23</v>
      </c>
      <c r="K671" t="s">
        <v>25</v>
      </c>
      <c r="L671">
        <v>150</v>
      </c>
    </row>
    <row r="672" spans="1:12" x14ac:dyDescent="0.3">
      <c r="A672">
        <v>1849</v>
      </c>
      <c r="B672" t="s">
        <v>24</v>
      </c>
      <c r="C672" s="1">
        <v>45925</v>
      </c>
      <c r="D672" s="1" t="str">
        <f xml:space="preserve"> TEXT(FilmaxData[[#This Row],[Show_Date]],"MMM")</f>
        <v>Sep</v>
      </c>
      <c r="E672" s="1" t="str">
        <f xml:space="preserve"> TEXT(FilmaxData[[#This Row],[Show_Date]],"DDD")</f>
        <v>Thu</v>
      </c>
      <c r="F672" t="s">
        <v>33</v>
      </c>
      <c r="G672" t="s">
        <v>30</v>
      </c>
      <c r="H672">
        <v>2</v>
      </c>
      <c r="I672">
        <v>8</v>
      </c>
      <c r="J672" t="s">
        <v>21</v>
      </c>
      <c r="K672" t="s">
        <v>27</v>
      </c>
      <c r="L672">
        <v>16</v>
      </c>
    </row>
    <row r="673" spans="1:12" x14ac:dyDescent="0.3">
      <c r="A673">
        <v>729</v>
      </c>
      <c r="B673" t="s">
        <v>15</v>
      </c>
      <c r="C673" s="1">
        <v>45899</v>
      </c>
      <c r="D673" s="1" t="str">
        <f xml:space="preserve"> TEXT(FilmaxData[[#This Row],[Show_Date]],"MMM")</f>
        <v>Aug</v>
      </c>
      <c r="E673" s="1" t="str">
        <f xml:space="preserve"> TEXT(FilmaxData[[#This Row],[Show_Date]],"DDD")</f>
        <v>Sat</v>
      </c>
      <c r="F673" t="s">
        <v>11</v>
      </c>
      <c r="G673" t="s">
        <v>17</v>
      </c>
      <c r="H673">
        <v>5</v>
      </c>
      <c r="I673">
        <v>12</v>
      </c>
      <c r="J673" t="s">
        <v>21</v>
      </c>
      <c r="K673" t="s">
        <v>18</v>
      </c>
      <c r="L673">
        <v>60</v>
      </c>
    </row>
    <row r="674" spans="1:12" x14ac:dyDescent="0.3">
      <c r="A674">
        <v>624</v>
      </c>
      <c r="B674" t="s">
        <v>26</v>
      </c>
      <c r="C674" s="1">
        <v>45911</v>
      </c>
      <c r="D674" s="1" t="str">
        <f xml:space="preserve"> TEXT(FilmaxData[[#This Row],[Show_Date]],"MMM")</f>
        <v>Sep</v>
      </c>
      <c r="E674" s="1" t="str">
        <f xml:space="preserve"> TEXT(FilmaxData[[#This Row],[Show_Date]],"DDD")</f>
        <v>Thu</v>
      </c>
      <c r="F674" t="s">
        <v>16</v>
      </c>
      <c r="G674" t="s">
        <v>29</v>
      </c>
      <c r="H674">
        <v>1</v>
      </c>
      <c r="I674">
        <v>30</v>
      </c>
      <c r="J674" t="s">
        <v>23</v>
      </c>
      <c r="K674" t="s">
        <v>14</v>
      </c>
      <c r="L674">
        <v>30</v>
      </c>
    </row>
    <row r="675" spans="1:12" x14ac:dyDescent="0.3">
      <c r="A675">
        <v>1636</v>
      </c>
      <c r="B675" t="s">
        <v>28</v>
      </c>
      <c r="C675" s="1">
        <v>45921</v>
      </c>
      <c r="D675" s="1" t="str">
        <f xml:space="preserve"> TEXT(FilmaxData[[#This Row],[Show_Date]],"MMM")</f>
        <v>Sep</v>
      </c>
      <c r="E675" s="1" t="str">
        <f xml:space="preserve"> TEXT(FilmaxData[[#This Row],[Show_Date]],"DDD")</f>
        <v>Sun</v>
      </c>
      <c r="F675" t="s">
        <v>16</v>
      </c>
      <c r="G675" t="s">
        <v>17</v>
      </c>
      <c r="H675">
        <v>2</v>
      </c>
      <c r="I675">
        <v>12</v>
      </c>
      <c r="J675" t="s">
        <v>21</v>
      </c>
      <c r="K675" t="s">
        <v>18</v>
      </c>
      <c r="L675">
        <v>24</v>
      </c>
    </row>
    <row r="676" spans="1:12" x14ac:dyDescent="0.3">
      <c r="A676">
        <v>180</v>
      </c>
      <c r="B676" t="s">
        <v>32</v>
      </c>
      <c r="C676" s="1">
        <v>45844</v>
      </c>
      <c r="D676" s="1" t="str">
        <f xml:space="preserve"> TEXT(FilmaxData[[#This Row],[Show_Date]],"MMM")</f>
        <v>Jul</v>
      </c>
      <c r="E676" s="1" t="str">
        <f xml:space="preserve"> TEXT(FilmaxData[[#This Row],[Show_Date]],"DDD")</f>
        <v>Sun</v>
      </c>
      <c r="F676" t="s">
        <v>16</v>
      </c>
      <c r="G676" t="s">
        <v>12</v>
      </c>
      <c r="H676">
        <v>4</v>
      </c>
      <c r="I676">
        <v>25</v>
      </c>
      <c r="J676" t="s">
        <v>13</v>
      </c>
      <c r="K676" t="s">
        <v>18</v>
      </c>
      <c r="L676">
        <v>100</v>
      </c>
    </row>
    <row r="677" spans="1:12" x14ac:dyDescent="0.3">
      <c r="A677">
        <v>1015</v>
      </c>
      <c r="B677" t="s">
        <v>15</v>
      </c>
      <c r="C677" s="1">
        <v>45851</v>
      </c>
      <c r="D677" s="1" t="str">
        <f xml:space="preserve"> TEXT(FilmaxData[[#This Row],[Show_Date]],"MMM")</f>
        <v>Jul</v>
      </c>
      <c r="E677" s="1" t="str">
        <f xml:space="preserve"> TEXT(FilmaxData[[#This Row],[Show_Date]],"DDD")</f>
        <v>Sun</v>
      </c>
      <c r="F677" t="s">
        <v>16</v>
      </c>
      <c r="G677" t="s">
        <v>12</v>
      </c>
      <c r="H677">
        <v>1</v>
      </c>
      <c r="I677">
        <v>25</v>
      </c>
      <c r="J677" t="s">
        <v>13</v>
      </c>
      <c r="K677" t="s">
        <v>14</v>
      </c>
      <c r="L677">
        <v>25</v>
      </c>
    </row>
    <row r="678" spans="1:12" x14ac:dyDescent="0.3">
      <c r="A678">
        <v>1966</v>
      </c>
      <c r="B678" t="s">
        <v>24</v>
      </c>
      <c r="C678" s="1">
        <v>45901</v>
      </c>
      <c r="D678" s="1" t="str">
        <f xml:space="preserve"> TEXT(FilmaxData[[#This Row],[Show_Date]],"MMM")</f>
        <v>Sep</v>
      </c>
      <c r="E678" s="1" t="str">
        <f xml:space="preserve"> TEXT(FilmaxData[[#This Row],[Show_Date]],"DDD")</f>
        <v>Mon</v>
      </c>
      <c r="F678" t="s">
        <v>16</v>
      </c>
      <c r="G678" t="s">
        <v>30</v>
      </c>
      <c r="H678">
        <v>3</v>
      </c>
      <c r="I678">
        <v>8</v>
      </c>
      <c r="J678" t="s">
        <v>21</v>
      </c>
      <c r="K678" t="s">
        <v>25</v>
      </c>
      <c r="L678">
        <v>24</v>
      </c>
    </row>
    <row r="679" spans="1:12" x14ac:dyDescent="0.3">
      <c r="A679">
        <v>160</v>
      </c>
      <c r="B679" t="s">
        <v>31</v>
      </c>
      <c r="C679" s="1">
        <v>45919</v>
      </c>
      <c r="D679" s="1" t="str">
        <f xml:space="preserve"> TEXT(FilmaxData[[#This Row],[Show_Date]],"MMM")</f>
        <v>Sep</v>
      </c>
      <c r="E679" s="1" t="str">
        <f xml:space="preserve"> TEXT(FilmaxData[[#This Row],[Show_Date]],"DDD")</f>
        <v>Fri</v>
      </c>
      <c r="F679" t="s">
        <v>33</v>
      </c>
      <c r="G679" t="s">
        <v>30</v>
      </c>
      <c r="H679">
        <v>5</v>
      </c>
      <c r="I679">
        <v>8</v>
      </c>
      <c r="J679" t="s">
        <v>13</v>
      </c>
      <c r="K679" t="s">
        <v>25</v>
      </c>
      <c r="L679">
        <v>40</v>
      </c>
    </row>
    <row r="680" spans="1:12" x14ac:dyDescent="0.3">
      <c r="A680">
        <v>1658</v>
      </c>
      <c r="B680" t="s">
        <v>32</v>
      </c>
      <c r="C680" s="1">
        <v>45905</v>
      </c>
      <c r="D680" s="1" t="str">
        <f xml:space="preserve"> TEXT(FilmaxData[[#This Row],[Show_Date]],"MMM")</f>
        <v>Sep</v>
      </c>
      <c r="E680" s="1" t="str">
        <f xml:space="preserve"> TEXT(FilmaxData[[#This Row],[Show_Date]],"DDD")</f>
        <v>Fri</v>
      </c>
      <c r="F680" t="s">
        <v>16</v>
      </c>
      <c r="G680" t="s">
        <v>12</v>
      </c>
      <c r="H680">
        <v>3</v>
      </c>
      <c r="I680">
        <v>25</v>
      </c>
      <c r="J680" t="s">
        <v>23</v>
      </c>
      <c r="K680" t="s">
        <v>27</v>
      </c>
      <c r="L680">
        <v>75</v>
      </c>
    </row>
    <row r="681" spans="1:12" x14ac:dyDescent="0.3">
      <c r="A681">
        <v>1642</v>
      </c>
      <c r="B681" t="s">
        <v>24</v>
      </c>
      <c r="C681" s="1">
        <v>45926</v>
      </c>
      <c r="D681" s="1" t="str">
        <f xml:space="preserve"> TEXT(FilmaxData[[#This Row],[Show_Date]],"MMM")</f>
        <v>Sep</v>
      </c>
      <c r="E681" s="1" t="str">
        <f xml:space="preserve"> TEXT(FilmaxData[[#This Row],[Show_Date]],"DDD")</f>
        <v>Fri</v>
      </c>
      <c r="F681" t="s">
        <v>11</v>
      </c>
      <c r="G681" t="s">
        <v>29</v>
      </c>
      <c r="H681">
        <v>3</v>
      </c>
      <c r="I681">
        <v>30</v>
      </c>
      <c r="J681" t="s">
        <v>13</v>
      </c>
      <c r="K681" t="s">
        <v>27</v>
      </c>
      <c r="L681">
        <v>90</v>
      </c>
    </row>
    <row r="682" spans="1:12" x14ac:dyDescent="0.3">
      <c r="A682">
        <v>700</v>
      </c>
      <c r="B682" t="s">
        <v>32</v>
      </c>
      <c r="C682" s="1">
        <v>45853</v>
      </c>
      <c r="D682" s="1" t="str">
        <f xml:space="preserve"> TEXT(FilmaxData[[#This Row],[Show_Date]],"MMM")</f>
        <v>Jul</v>
      </c>
      <c r="E682" s="1" t="str">
        <f xml:space="preserve"> TEXT(FilmaxData[[#This Row],[Show_Date]],"DDD")</f>
        <v>Tue</v>
      </c>
      <c r="F682" t="s">
        <v>20</v>
      </c>
      <c r="G682" t="s">
        <v>30</v>
      </c>
      <c r="H682">
        <v>1</v>
      </c>
      <c r="I682">
        <v>8</v>
      </c>
      <c r="J682" t="s">
        <v>21</v>
      </c>
      <c r="K682" t="s">
        <v>18</v>
      </c>
      <c r="L682">
        <v>8</v>
      </c>
    </row>
    <row r="683" spans="1:12" x14ac:dyDescent="0.3">
      <c r="A683">
        <v>186</v>
      </c>
      <c r="B683" t="s">
        <v>15</v>
      </c>
      <c r="C683" s="1">
        <v>45886</v>
      </c>
      <c r="D683" s="1" t="str">
        <f xml:space="preserve"> TEXT(FilmaxData[[#This Row],[Show_Date]],"MMM")</f>
        <v>Aug</v>
      </c>
      <c r="E683" s="1" t="str">
        <f xml:space="preserve"> TEXT(FilmaxData[[#This Row],[Show_Date]],"DDD")</f>
        <v>Sun</v>
      </c>
      <c r="F683" t="s">
        <v>11</v>
      </c>
      <c r="G683" t="s">
        <v>29</v>
      </c>
      <c r="H683">
        <v>5</v>
      </c>
      <c r="I683">
        <v>30</v>
      </c>
      <c r="J683" t="s">
        <v>21</v>
      </c>
      <c r="K683" t="s">
        <v>14</v>
      </c>
      <c r="L683">
        <v>150</v>
      </c>
    </row>
    <row r="684" spans="1:12" x14ac:dyDescent="0.3">
      <c r="A684">
        <v>1044</v>
      </c>
      <c r="B684" t="s">
        <v>24</v>
      </c>
      <c r="C684" s="1">
        <v>45856</v>
      </c>
      <c r="D684" s="1" t="str">
        <f xml:space="preserve"> TEXT(FilmaxData[[#This Row],[Show_Date]],"MMM")</f>
        <v>Jul</v>
      </c>
      <c r="E684" s="1" t="str">
        <f xml:space="preserve"> TEXT(FilmaxData[[#This Row],[Show_Date]],"DDD")</f>
        <v>Fri</v>
      </c>
      <c r="F684" t="s">
        <v>11</v>
      </c>
      <c r="G684" t="s">
        <v>17</v>
      </c>
      <c r="H684">
        <v>3</v>
      </c>
      <c r="I684">
        <v>12</v>
      </c>
      <c r="J684" t="s">
        <v>21</v>
      </c>
      <c r="K684" t="s">
        <v>25</v>
      </c>
      <c r="L684">
        <v>36</v>
      </c>
    </row>
    <row r="685" spans="1:12" x14ac:dyDescent="0.3">
      <c r="A685">
        <v>1169</v>
      </c>
      <c r="B685" t="s">
        <v>32</v>
      </c>
      <c r="C685" s="1">
        <v>45879</v>
      </c>
      <c r="D685" s="1" t="str">
        <f xml:space="preserve"> TEXT(FilmaxData[[#This Row],[Show_Date]],"MMM")</f>
        <v>Aug</v>
      </c>
      <c r="E685" s="1" t="str">
        <f xml:space="preserve"> TEXT(FilmaxData[[#This Row],[Show_Date]],"DDD")</f>
        <v>Sun</v>
      </c>
      <c r="F685" t="s">
        <v>11</v>
      </c>
      <c r="G685" t="s">
        <v>30</v>
      </c>
      <c r="H685">
        <v>4</v>
      </c>
      <c r="I685">
        <v>8</v>
      </c>
      <c r="J685" t="s">
        <v>23</v>
      </c>
      <c r="K685" t="s">
        <v>25</v>
      </c>
      <c r="L685">
        <v>32</v>
      </c>
    </row>
    <row r="686" spans="1:12" x14ac:dyDescent="0.3">
      <c r="A686">
        <v>618</v>
      </c>
      <c r="B686" t="s">
        <v>19</v>
      </c>
      <c r="C686" s="1">
        <v>45909</v>
      </c>
      <c r="D686" s="1" t="str">
        <f xml:space="preserve"> TEXT(FilmaxData[[#This Row],[Show_Date]],"MMM")</f>
        <v>Sep</v>
      </c>
      <c r="E686" s="1" t="str">
        <f xml:space="preserve"> TEXT(FilmaxData[[#This Row],[Show_Date]],"DDD")</f>
        <v>Tue</v>
      </c>
      <c r="F686" t="s">
        <v>11</v>
      </c>
      <c r="G686" t="s">
        <v>17</v>
      </c>
      <c r="H686">
        <v>5</v>
      </c>
      <c r="I686">
        <v>12</v>
      </c>
      <c r="J686" t="s">
        <v>13</v>
      </c>
      <c r="K686" t="s">
        <v>18</v>
      </c>
      <c r="L686">
        <v>60</v>
      </c>
    </row>
    <row r="687" spans="1:12" x14ac:dyDescent="0.3">
      <c r="A687">
        <v>629</v>
      </c>
      <c r="B687" t="s">
        <v>28</v>
      </c>
      <c r="C687" s="1">
        <v>45886</v>
      </c>
      <c r="D687" s="1" t="str">
        <f xml:space="preserve"> TEXT(FilmaxData[[#This Row],[Show_Date]],"MMM")</f>
        <v>Aug</v>
      </c>
      <c r="E687" s="1" t="str">
        <f xml:space="preserve"> TEXT(FilmaxData[[#This Row],[Show_Date]],"DDD")</f>
        <v>Sun</v>
      </c>
      <c r="F687" t="s">
        <v>20</v>
      </c>
      <c r="G687" t="s">
        <v>17</v>
      </c>
      <c r="H687">
        <v>1</v>
      </c>
      <c r="I687">
        <v>12</v>
      </c>
      <c r="J687" t="s">
        <v>21</v>
      </c>
      <c r="K687" t="s">
        <v>25</v>
      </c>
      <c r="L687">
        <v>12</v>
      </c>
    </row>
    <row r="688" spans="1:12" x14ac:dyDescent="0.3">
      <c r="A688">
        <v>392</v>
      </c>
      <c r="B688" t="s">
        <v>32</v>
      </c>
      <c r="C688" s="1">
        <v>45928</v>
      </c>
      <c r="D688" s="1" t="str">
        <f xml:space="preserve"> TEXT(FilmaxData[[#This Row],[Show_Date]],"MMM")</f>
        <v>Sep</v>
      </c>
      <c r="E688" s="1" t="str">
        <f xml:space="preserve"> TEXT(FilmaxData[[#This Row],[Show_Date]],"DDD")</f>
        <v>Sun</v>
      </c>
      <c r="F688" t="s">
        <v>20</v>
      </c>
      <c r="G688" t="s">
        <v>17</v>
      </c>
      <c r="H688">
        <v>4</v>
      </c>
      <c r="I688">
        <v>12</v>
      </c>
      <c r="J688" t="s">
        <v>13</v>
      </c>
      <c r="K688" t="s">
        <v>14</v>
      </c>
      <c r="L688">
        <v>48</v>
      </c>
    </row>
    <row r="689" spans="1:12" x14ac:dyDescent="0.3">
      <c r="A689">
        <v>1561</v>
      </c>
      <c r="B689" t="s">
        <v>32</v>
      </c>
      <c r="C689" s="1">
        <v>45893</v>
      </c>
      <c r="D689" s="1" t="str">
        <f xml:space="preserve"> TEXT(FilmaxData[[#This Row],[Show_Date]],"MMM")</f>
        <v>Aug</v>
      </c>
      <c r="E689" s="1" t="str">
        <f xml:space="preserve"> TEXT(FilmaxData[[#This Row],[Show_Date]],"DDD")</f>
        <v>Sun</v>
      </c>
      <c r="F689" t="s">
        <v>20</v>
      </c>
      <c r="G689" t="s">
        <v>17</v>
      </c>
      <c r="H689">
        <v>3</v>
      </c>
      <c r="I689">
        <v>12</v>
      </c>
      <c r="J689" t="s">
        <v>13</v>
      </c>
      <c r="K689" t="s">
        <v>18</v>
      </c>
      <c r="L689">
        <v>36</v>
      </c>
    </row>
    <row r="690" spans="1:12" x14ac:dyDescent="0.3">
      <c r="A690">
        <v>861</v>
      </c>
      <c r="B690" t="s">
        <v>31</v>
      </c>
      <c r="C690" s="1">
        <v>45856</v>
      </c>
      <c r="D690" s="1" t="str">
        <f xml:space="preserve"> TEXT(FilmaxData[[#This Row],[Show_Date]],"MMM")</f>
        <v>Jul</v>
      </c>
      <c r="E690" s="1" t="str">
        <f xml:space="preserve"> TEXT(FilmaxData[[#This Row],[Show_Date]],"DDD")</f>
        <v>Fri</v>
      </c>
      <c r="F690" t="s">
        <v>11</v>
      </c>
      <c r="G690" t="s">
        <v>22</v>
      </c>
      <c r="H690">
        <v>1</v>
      </c>
      <c r="I690">
        <v>20</v>
      </c>
      <c r="J690" t="s">
        <v>13</v>
      </c>
      <c r="K690" t="s">
        <v>27</v>
      </c>
      <c r="L690">
        <v>20</v>
      </c>
    </row>
    <row r="691" spans="1:12" x14ac:dyDescent="0.3">
      <c r="A691">
        <v>1221</v>
      </c>
      <c r="B691" t="s">
        <v>10</v>
      </c>
      <c r="C691" s="1">
        <v>45890</v>
      </c>
      <c r="D691" s="1" t="str">
        <f xml:space="preserve"> TEXT(FilmaxData[[#This Row],[Show_Date]],"MMM")</f>
        <v>Aug</v>
      </c>
      <c r="E691" s="1" t="str">
        <f xml:space="preserve"> TEXT(FilmaxData[[#This Row],[Show_Date]],"DDD")</f>
        <v>Thu</v>
      </c>
      <c r="F691" t="s">
        <v>11</v>
      </c>
      <c r="G691" t="s">
        <v>12</v>
      </c>
      <c r="H691">
        <v>2</v>
      </c>
      <c r="I691">
        <v>25</v>
      </c>
      <c r="J691" t="s">
        <v>23</v>
      </c>
      <c r="K691" t="s">
        <v>25</v>
      </c>
      <c r="L691">
        <v>50</v>
      </c>
    </row>
    <row r="692" spans="1:12" x14ac:dyDescent="0.3">
      <c r="A692">
        <v>1576</v>
      </c>
      <c r="B692" t="s">
        <v>10</v>
      </c>
      <c r="C692" s="1">
        <v>45849</v>
      </c>
      <c r="D692" s="1" t="str">
        <f xml:space="preserve"> TEXT(FilmaxData[[#This Row],[Show_Date]],"MMM")</f>
        <v>Jul</v>
      </c>
      <c r="E692" s="1" t="str">
        <f xml:space="preserve"> TEXT(FilmaxData[[#This Row],[Show_Date]],"DDD")</f>
        <v>Fri</v>
      </c>
      <c r="F692" t="s">
        <v>11</v>
      </c>
      <c r="G692" t="s">
        <v>17</v>
      </c>
      <c r="H692">
        <v>5</v>
      </c>
      <c r="I692">
        <v>12</v>
      </c>
      <c r="J692" t="s">
        <v>13</v>
      </c>
      <c r="K692" t="s">
        <v>27</v>
      </c>
      <c r="L692">
        <v>60</v>
      </c>
    </row>
    <row r="693" spans="1:12" x14ac:dyDescent="0.3">
      <c r="A693">
        <v>116</v>
      </c>
      <c r="B693" t="s">
        <v>10</v>
      </c>
      <c r="C693" s="1">
        <v>45885</v>
      </c>
      <c r="D693" s="1" t="str">
        <f xml:space="preserve"> TEXT(FilmaxData[[#This Row],[Show_Date]],"MMM")</f>
        <v>Aug</v>
      </c>
      <c r="E693" s="1" t="str">
        <f xml:space="preserve"> TEXT(FilmaxData[[#This Row],[Show_Date]],"DDD")</f>
        <v>Sat</v>
      </c>
      <c r="F693" t="s">
        <v>11</v>
      </c>
      <c r="G693" t="s">
        <v>17</v>
      </c>
      <c r="H693">
        <v>4</v>
      </c>
      <c r="I693">
        <v>12</v>
      </c>
      <c r="J693" t="s">
        <v>21</v>
      </c>
      <c r="K693" t="s">
        <v>25</v>
      </c>
      <c r="L693">
        <v>48</v>
      </c>
    </row>
    <row r="694" spans="1:12" x14ac:dyDescent="0.3">
      <c r="A694">
        <v>1239</v>
      </c>
      <c r="B694" t="s">
        <v>10</v>
      </c>
      <c r="C694" s="1">
        <v>45892</v>
      </c>
      <c r="D694" s="1" t="str">
        <f xml:space="preserve"> TEXT(FilmaxData[[#This Row],[Show_Date]],"MMM")</f>
        <v>Aug</v>
      </c>
      <c r="E694" s="1" t="str">
        <f xml:space="preserve"> TEXT(FilmaxData[[#This Row],[Show_Date]],"DDD")</f>
        <v>Sat</v>
      </c>
      <c r="F694" t="s">
        <v>11</v>
      </c>
      <c r="G694" t="s">
        <v>12</v>
      </c>
      <c r="H694">
        <v>4</v>
      </c>
      <c r="I694">
        <v>25</v>
      </c>
      <c r="J694" t="s">
        <v>21</v>
      </c>
      <c r="K694" t="s">
        <v>14</v>
      </c>
      <c r="L694">
        <v>100</v>
      </c>
    </row>
    <row r="695" spans="1:12" x14ac:dyDescent="0.3">
      <c r="A695">
        <v>1483</v>
      </c>
      <c r="B695" t="s">
        <v>10</v>
      </c>
      <c r="C695" s="1">
        <v>45895</v>
      </c>
      <c r="D695" s="1" t="str">
        <f xml:space="preserve"> TEXT(FilmaxData[[#This Row],[Show_Date]],"MMM")</f>
        <v>Aug</v>
      </c>
      <c r="E695" s="1" t="str">
        <f xml:space="preserve"> TEXT(FilmaxData[[#This Row],[Show_Date]],"DDD")</f>
        <v>Tue</v>
      </c>
      <c r="F695" t="s">
        <v>11</v>
      </c>
      <c r="G695" t="s">
        <v>17</v>
      </c>
      <c r="H695">
        <v>2</v>
      </c>
      <c r="I695">
        <v>12</v>
      </c>
      <c r="J695" t="s">
        <v>23</v>
      </c>
      <c r="K695" t="s">
        <v>18</v>
      </c>
      <c r="L695">
        <v>24</v>
      </c>
    </row>
    <row r="696" spans="1:12" x14ac:dyDescent="0.3">
      <c r="A696">
        <v>1411</v>
      </c>
      <c r="B696" t="s">
        <v>10</v>
      </c>
      <c r="C696" s="1">
        <v>45926</v>
      </c>
      <c r="D696" s="1" t="str">
        <f xml:space="preserve"> TEXT(FilmaxData[[#This Row],[Show_Date]],"MMM")</f>
        <v>Sep</v>
      </c>
      <c r="E696" s="1" t="str">
        <f xml:space="preserve"> TEXT(FilmaxData[[#This Row],[Show_Date]],"DDD")</f>
        <v>Fri</v>
      </c>
      <c r="F696" t="s">
        <v>16</v>
      </c>
      <c r="G696" t="s">
        <v>17</v>
      </c>
      <c r="H696">
        <v>3</v>
      </c>
      <c r="I696">
        <v>12</v>
      </c>
      <c r="J696" t="s">
        <v>23</v>
      </c>
      <c r="K696" t="s">
        <v>14</v>
      </c>
      <c r="L696">
        <v>36</v>
      </c>
    </row>
    <row r="697" spans="1:12" x14ac:dyDescent="0.3">
      <c r="A697">
        <v>270</v>
      </c>
      <c r="B697" t="s">
        <v>10</v>
      </c>
      <c r="C697" s="1">
        <v>45881</v>
      </c>
      <c r="D697" s="1" t="str">
        <f xml:space="preserve"> TEXT(FilmaxData[[#This Row],[Show_Date]],"MMM")</f>
        <v>Aug</v>
      </c>
      <c r="E697" s="1" t="str">
        <f xml:space="preserve"> TEXT(FilmaxData[[#This Row],[Show_Date]],"DDD")</f>
        <v>Tue</v>
      </c>
      <c r="F697" t="s">
        <v>16</v>
      </c>
      <c r="G697" t="s">
        <v>12</v>
      </c>
      <c r="H697">
        <v>3</v>
      </c>
      <c r="I697">
        <v>25</v>
      </c>
      <c r="J697" t="s">
        <v>23</v>
      </c>
      <c r="K697" t="s">
        <v>27</v>
      </c>
      <c r="L697">
        <v>75</v>
      </c>
    </row>
    <row r="698" spans="1:12" x14ac:dyDescent="0.3">
      <c r="A698">
        <v>1145</v>
      </c>
      <c r="B698" t="s">
        <v>10</v>
      </c>
      <c r="C698" s="1">
        <v>45865</v>
      </c>
      <c r="D698" s="1" t="str">
        <f xml:space="preserve"> TEXT(FilmaxData[[#This Row],[Show_Date]],"MMM")</f>
        <v>Jul</v>
      </c>
      <c r="E698" s="1" t="str">
        <f xml:space="preserve"> TEXT(FilmaxData[[#This Row],[Show_Date]],"DDD")</f>
        <v>Sun</v>
      </c>
      <c r="F698" t="s">
        <v>11</v>
      </c>
      <c r="G698" t="s">
        <v>17</v>
      </c>
      <c r="H698">
        <v>3</v>
      </c>
      <c r="I698">
        <v>12</v>
      </c>
      <c r="J698" t="s">
        <v>13</v>
      </c>
      <c r="K698" t="s">
        <v>14</v>
      </c>
      <c r="L698">
        <v>36</v>
      </c>
    </row>
    <row r="699" spans="1:12" x14ac:dyDescent="0.3">
      <c r="A699">
        <v>946</v>
      </c>
      <c r="B699" t="s">
        <v>10</v>
      </c>
      <c r="C699" s="1">
        <v>45880</v>
      </c>
      <c r="D699" s="1" t="str">
        <f xml:space="preserve"> TEXT(FilmaxData[[#This Row],[Show_Date]],"MMM")</f>
        <v>Aug</v>
      </c>
      <c r="E699" s="1" t="str">
        <f xml:space="preserve"> TEXT(FilmaxData[[#This Row],[Show_Date]],"DDD")</f>
        <v>Mon</v>
      </c>
      <c r="F699" t="s">
        <v>20</v>
      </c>
      <c r="G699" t="s">
        <v>17</v>
      </c>
      <c r="H699">
        <v>3</v>
      </c>
      <c r="I699">
        <v>12</v>
      </c>
      <c r="J699" t="s">
        <v>21</v>
      </c>
      <c r="K699" t="s">
        <v>25</v>
      </c>
      <c r="L699">
        <v>36</v>
      </c>
    </row>
    <row r="700" spans="1:12" x14ac:dyDescent="0.3">
      <c r="A700">
        <v>585</v>
      </c>
      <c r="B700" t="s">
        <v>10</v>
      </c>
      <c r="C700" s="1">
        <v>45900</v>
      </c>
      <c r="D700" s="1" t="str">
        <f xml:space="preserve"> TEXT(FilmaxData[[#This Row],[Show_Date]],"MMM")</f>
        <v>Aug</v>
      </c>
      <c r="E700" s="1" t="str">
        <f xml:space="preserve"> TEXT(FilmaxData[[#This Row],[Show_Date]],"DDD")</f>
        <v>Sun</v>
      </c>
      <c r="F700" t="s">
        <v>11</v>
      </c>
      <c r="G700" t="s">
        <v>12</v>
      </c>
      <c r="H700">
        <v>4</v>
      </c>
      <c r="I700">
        <v>25</v>
      </c>
      <c r="J700" t="s">
        <v>21</v>
      </c>
      <c r="K700" t="s">
        <v>25</v>
      </c>
      <c r="L700">
        <v>100</v>
      </c>
    </row>
    <row r="701" spans="1:12" x14ac:dyDescent="0.3">
      <c r="A701">
        <v>261</v>
      </c>
      <c r="B701" t="s">
        <v>24</v>
      </c>
      <c r="C701" s="1">
        <v>45852</v>
      </c>
      <c r="D701" s="1" t="str">
        <f xml:space="preserve"> TEXT(FilmaxData[[#This Row],[Show_Date]],"MMM")</f>
        <v>Jul</v>
      </c>
      <c r="E701" s="1" t="str">
        <f xml:space="preserve"> TEXT(FilmaxData[[#This Row],[Show_Date]],"DDD")</f>
        <v>Mon</v>
      </c>
      <c r="F701" t="s">
        <v>33</v>
      </c>
      <c r="G701" t="s">
        <v>30</v>
      </c>
      <c r="H701">
        <v>2</v>
      </c>
      <c r="I701">
        <v>8</v>
      </c>
      <c r="J701" t="s">
        <v>13</v>
      </c>
      <c r="K701" t="s">
        <v>18</v>
      </c>
      <c r="L701">
        <v>16</v>
      </c>
    </row>
    <row r="702" spans="1:12" x14ac:dyDescent="0.3">
      <c r="A702">
        <v>144</v>
      </c>
      <c r="B702" t="s">
        <v>19</v>
      </c>
      <c r="C702" s="1">
        <v>45880</v>
      </c>
      <c r="D702" s="1" t="str">
        <f xml:space="preserve"> TEXT(FilmaxData[[#This Row],[Show_Date]],"MMM")</f>
        <v>Aug</v>
      </c>
      <c r="E702" s="1" t="str">
        <f xml:space="preserve"> TEXT(FilmaxData[[#This Row],[Show_Date]],"DDD")</f>
        <v>Mon</v>
      </c>
      <c r="F702" t="s">
        <v>33</v>
      </c>
      <c r="G702" t="s">
        <v>17</v>
      </c>
      <c r="H702">
        <v>5</v>
      </c>
      <c r="I702">
        <v>12</v>
      </c>
      <c r="J702" t="s">
        <v>21</v>
      </c>
      <c r="K702" t="s">
        <v>14</v>
      </c>
      <c r="L702">
        <v>60</v>
      </c>
    </row>
    <row r="703" spans="1:12" x14ac:dyDescent="0.3">
      <c r="A703">
        <v>6</v>
      </c>
      <c r="B703" t="s">
        <v>19</v>
      </c>
      <c r="C703" s="1">
        <v>45862</v>
      </c>
      <c r="D703" s="1" t="str">
        <f xml:space="preserve"> TEXT(FilmaxData[[#This Row],[Show_Date]],"MMM")</f>
        <v>Jul</v>
      </c>
      <c r="E703" s="1" t="str">
        <f xml:space="preserve"> TEXT(FilmaxData[[#This Row],[Show_Date]],"DDD")</f>
        <v>Thu</v>
      </c>
      <c r="F703" t="s">
        <v>11</v>
      </c>
      <c r="G703" t="s">
        <v>30</v>
      </c>
      <c r="H703">
        <v>5</v>
      </c>
      <c r="I703">
        <v>8</v>
      </c>
      <c r="J703" t="s">
        <v>23</v>
      </c>
      <c r="K703" t="s">
        <v>25</v>
      </c>
      <c r="L703">
        <v>40</v>
      </c>
    </row>
    <row r="704" spans="1:12" x14ac:dyDescent="0.3">
      <c r="A704">
        <v>1243</v>
      </c>
      <c r="B704" t="s">
        <v>28</v>
      </c>
      <c r="C704" s="1">
        <v>45897</v>
      </c>
      <c r="D704" s="1" t="str">
        <f xml:space="preserve"> TEXT(FilmaxData[[#This Row],[Show_Date]],"MMM")</f>
        <v>Aug</v>
      </c>
      <c r="E704" s="1" t="str">
        <f xml:space="preserve"> TEXT(FilmaxData[[#This Row],[Show_Date]],"DDD")</f>
        <v>Thu</v>
      </c>
      <c r="F704" t="s">
        <v>16</v>
      </c>
      <c r="G704" t="s">
        <v>12</v>
      </c>
      <c r="H704">
        <v>3</v>
      </c>
      <c r="I704">
        <v>25</v>
      </c>
      <c r="J704" t="s">
        <v>21</v>
      </c>
      <c r="K704" t="s">
        <v>18</v>
      </c>
      <c r="L704">
        <v>75</v>
      </c>
    </row>
    <row r="705" spans="1:12" x14ac:dyDescent="0.3">
      <c r="A705">
        <v>1802</v>
      </c>
      <c r="B705" t="s">
        <v>15</v>
      </c>
      <c r="C705" s="1">
        <v>45891</v>
      </c>
      <c r="D705" s="1" t="str">
        <f xml:space="preserve"> TEXT(FilmaxData[[#This Row],[Show_Date]],"MMM")</f>
        <v>Aug</v>
      </c>
      <c r="E705" s="1" t="str">
        <f xml:space="preserve"> TEXT(FilmaxData[[#This Row],[Show_Date]],"DDD")</f>
        <v>Fri</v>
      </c>
      <c r="F705" t="s">
        <v>16</v>
      </c>
      <c r="G705" t="s">
        <v>29</v>
      </c>
      <c r="H705">
        <v>4</v>
      </c>
      <c r="I705">
        <v>30</v>
      </c>
      <c r="J705" t="s">
        <v>13</v>
      </c>
      <c r="K705" t="s">
        <v>27</v>
      </c>
      <c r="L705">
        <v>120</v>
      </c>
    </row>
    <row r="706" spans="1:12" x14ac:dyDescent="0.3">
      <c r="A706">
        <v>1247</v>
      </c>
      <c r="B706" t="s">
        <v>10</v>
      </c>
      <c r="C706" s="1">
        <v>45892</v>
      </c>
      <c r="D706" s="1" t="str">
        <f xml:space="preserve"> TEXT(FilmaxData[[#This Row],[Show_Date]],"MMM")</f>
        <v>Aug</v>
      </c>
      <c r="E706" s="1" t="str">
        <f xml:space="preserve"> TEXT(FilmaxData[[#This Row],[Show_Date]],"DDD")</f>
        <v>Sat</v>
      </c>
      <c r="F706" t="s">
        <v>16</v>
      </c>
      <c r="G706" t="s">
        <v>12</v>
      </c>
      <c r="H706">
        <v>4</v>
      </c>
      <c r="I706">
        <v>25</v>
      </c>
      <c r="J706" t="s">
        <v>13</v>
      </c>
      <c r="K706" t="s">
        <v>18</v>
      </c>
      <c r="L706">
        <v>100</v>
      </c>
    </row>
    <row r="707" spans="1:12" x14ac:dyDescent="0.3">
      <c r="A707">
        <v>1434</v>
      </c>
      <c r="B707" t="s">
        <v>31</v>
      </c>
      <c r="C707" s="1">
        <v>45880</v>
      </c>
      <c r="D707" s="1" t="str">
        <f xml:space="preserve"> TEXT(FilmaxData[[#This Row],[Show_Date]],"MMM")</f>
        <v>Aug</v>
      </c>
      <c r="E707" s="1" t="str">
        <f xml:space="preserve"> TEXT(FilmaxData[[#This Row],[Show_Date]],"DDD")</f>
        <v>Mon</v>
      </c>
      <c r="F707" t="s">
        <v>11</v>
      </c>
      <c r="G707" t="s">
        <v>17</v>
      </c>
      <c r="H707">
        <v>5</v>
      </c>
      <c r="I707">
        <v>12</v>
      </c>
      <c r="J707" t="s">
        <v>13</v>
      </c>
      <c r="K707" t="s">
        <v>14</v>
      </c>
      <c r="L707">
        <v>60</v>
      </c>
    </row>
    <row r="708" spans="1:12" x14ac:dyDescent="0.3">
      <c r="A708">
        <v>1291</v>
      </c>
      <c r="B708" t="s">
        <v>24</v>
      </c>
      <c r="C708" s="1">
        <v>45929</v>
      </c>
      <c r="D708" s="1" t="str">
        <f xml:space="preserve"> TEXT(FilmaxData[[#This Row],[Show_Date]],"MMM")</f>
        <v>Sep</v>
      </c>
      <c r="E708" s="1" t="str">
        <f xml:space="preserve"> TEXT(FilmaxData[[#This Row],[Show_Date]],"DDD")</f>
        <v>Mon</v>
      </c>
      <c r="F708" t="s">
        <v>11</v>
      </c>
      <c r="G708" t="s">
        <v>17</v>
      </c>
      <c r="H708">
        <v>1</v>
      </c>
      <c r="I708">
        <v>12</v>
      </c>
      <c r="J708" t="s">
        <v>21</v>
      </c>
      <c r="K708" t="s">
        <v>18</v>
      </c>
      <c r="L708">
        <v>12</v>
      </c>
    </row>
    <row r="709" spans="1:12" x14ac:dyDescent="0.3">
      <c r="A709">
        <v>487</v>
      </c>
      <c r="B709" t="s">
        <v>32</v>
      </c>
      <c r="C709" s="1">
        <v>45865</v>
      </c>
      <c r="D709" s="1" t="str">
        <f xml:space="preserve"> TEXT(FilmaxData[[#This Row],[Show_Date]],"MMM")</f>
        <v>Jul</v>
      </c>
      <c r="E709" s="1" t="str">
        <f xml:space="preserve"> TEXT(FilmaxData[[#This Row],[Show_Date]],"DDD")</f>
        <v>Sun</v>
      </c>
      <c r="F709" t="s">
        <v>20</v>
      </c>
      <c r="G709" t="s">
        <v>17</v>
      </c>
      <c r="H709">
        <v>5</v>
      </c>
      <c r="I709">
        <v>12</v>
      </c>
      <c r="J709" t="s">
        <v>23</v>
      </c>
      <c r="K709" t="s">
        <v>18</v>
      </c>
      <c r="L709">
        <v>60</v>
      </c>
    </row>
    <row r="710" spans="1:12" x14ac:dyDescent="0.3">
      <c r="A710">
        <v>1796</v>
      </c>
      <c r="B710" t="s">
        <v>26</v>
      </c>
      <c r="C710" s="1">
        <v>45854</v>
      </c>
      <c r="D710" s="1" t="str">
        <f xml:space="preserve"> TEXT(FilmaxData[[#This Row],[Show_Date]],"MMM")</f>
        <v>Jul</v>
      </c>
      <c r="E710" s="1" t="str">
        <f xml:space="preserve"> TEXT(FilmaxData[[#This Row],[Show_Date]],"DDD")</f>
        <v>Wed</v>
      </c>
      <c r="F710" t="s">
        <v>20</v>
      </c>
      <c r="G710" t="s">
        <v>30</v>
      </c>
      <c r="H710">
        <v>2</v>
      </c>
      <c r="I710">
        <v>8</v>
      </c>
      <c r="J710" t="s">
        <v>23</v>
      </c>
      <c r="K710" t="s">
        <v>18</v>
      </c>
      <c r="L710">
        <v>16</v>
      </c>
    </row>
    <row r="711" spans="1:12" x14ac:dyDescent="0.3">
      <c r="A711">
        <v>1865</v>
      </c>
      <c r="B711" t="s">
        <v>31</v>
      </c>
      <c r="C711" s="1">
        <v>45851</v>
      </c>
      <c r="D711" s="1" t="str">
        <f xml:space="preserve"> TEXT(FilmaxData[[#This Row],[Show_Date]],"MMM")</f>
        <v>Jul</v>
      </c>
      <c r="E711" s="1" t="str">
        <f xml:space="preserve"> TEXT(FilmaxData[[#This Row],[Show_Date]],"DDD")</f>
        <v>Sun</v>
      </c>
      <c r="F711" t="s">
        <v>16</v>
      </c>
      <c r="G711" t="s">
        <v>17</v>
      </c>
      <c r="H711">
        <v>5</v>
      </c>
      <c r="I711">
        <v>12</v>
      </c>
      <c r="J711" t="s">
        <v>21</v>
      </c>
      <c r="K711" t="s">
        <v>27</v>
      </c>
      <c r="L711">
        <v>60</v>
      </c>
    </row>
    <row r="712" spans="1:12" x14ac:dyDescent="0.3">
      <c r="A712">
        <v>962</v>
      </c>
      <c r="B712" t="s">
        <v>24</v>
      </c>
      <c r="C712" s="1">
        <v>45868</v>
      </c>
      <c r="D712" s="1" t="str">
        <f xml:space="preserve"> TEXT(FilmaxData[[#This Row],[Show_Date]],"MMM")</f>
        <v>Jul</v>
      </c>
      <c r="E712" s="1" t="str">
        <f xml:space="preserve"> TEXT(FilmaxData[[#This Row],[Show_Date]],"DDD")</f>
        <v>Wed</v>
      </c>
      <c r="F712" t="s">
        <v>33</v>
      </c>
      <c r="G712" t="s">
        <v>17</v>
      </c>
      <c r="H712">
        <v>2</v>
      </c>
      <c r="I712">
        <v>12</v>
      </c>
      <c r="J712" t="s">
        <v>21</v>
      </c>
      <c r="K712" t="s">
        <v>14</v>
      </c>
      <c r="L712">
        <v>24</v>
      </c>
    </row>
    <row r="713" spans="1:12" x14ac:dyDescent="0.3">
      <c r="A713">
        <v>558</v>
      </c>
      <c r="B713" t="s">
        <v>10</v>
      </c>
      <c r="C713" s="1">
        <v>45879</v>
      </c>
      <c r="D713" s="1" t="str">
        <f xml:space="preserve"> TEXT(FilmaxData[[#This Row],[Show_Date]],"MMM")</f>
        <v>Aug</v>
      </c>
      <c r="E713" s="1" t="str">
        <f xml:space="preserve"> TEXT(FilmaxData[[#This Row],[Show_Date]],"DDD")</f>
        <v>Sun</v>
      </c>
      <c r="F713" t="s">
        <v>11</v>
      </c>
      <c r="G713" t="s">
        <v>17</v>
      </c>
      <c r="H713">
        <v>5</v>
      </c>
      <c r="I713">
        <v>12</v>
      </c>
      <c r="J713" t="s">
        <v>23</v>
      </c>
      <c r="K713" t="s">
        <v>18</v>
      </c>
      <c r="L713">
        <v>60</v>
      </c>
    </row>
    <row r="714" spans="1:12" x14ac:dyDescent="0.3">
      <c r="A714">
        <v>1624</v>
      </c>
      <c r="B714" t="s">
        <v>31</v>
      </c>
      <c r="C714" s="1">
        <v>45900</v>
      </c>
      <c r="D714" s="1" t="str">
        <f xml:space="preserve"> TEXT(FilmaxData[[#This Row],[Show_Date]],"MMM")</f>
        <v>Aug</v>
      </c>
      <c r="E714" s="1" t="str">
        <f xml:space="preserve"> TEXT(FilmaxData[[#This Row],[Show_Date]],"DDD")</f>
        <v>Sun</v>
      </c>
      <c r="F714" t="s">
        <v>11</v>
      </c>
      <c r="G714" t="s">
        <v>22</v>
      </c>
      <c r="H714">
        <v>5</v>
      </c>
      <c r="I714">
        <v>20</v>
      </c>
      <c r="J714" t="s">
        <v>21</v>
      </c>
      <c r="K714" t="s">
        <v>18</v>
      </c>
      <c r="L714">
        <v>100</v>
      </c>
    </row>
    <row r="715" spans="1:12" x14ac:dyDescent="0.3">
      <c r="A715">
        <v>1198</v>
      </c>
      <c r="B715" t="s">
        <v>32</v>
      </c>
      <c r="C715" s="1">
        <v>45907</v>
      </c>
      <c r="D715" s="1" t="str">
        <f xml:space="preserve"> TEXT(FilmaxData[[#This Row],[Show_Date]],"MMM")</f>
        <v>Sep</v>
      </c>
      <c r="E715" s="1" t="str">
        <f xml:space="preserve"> TEXT(FilmaxData[[#This Row],[Show_Date]],"DDD")</f>
        <v>Sun</v>
      </c>
      <c r="F715" t="s">
        <v>11</v>
      </c>
      <c r="G715" t="s">
        <v>22</v>
      </c>
      <c r="H715">
        <v>5</v>
      </c>
      <c r="I715">
        <v>20</v>
      </c>
      <c r="J715" t="s">
        <v>13</v>
      </c>
      <c r="K715" t="s">
        <v>18</v>
      </c>
      <c r="L715">
        <v>100</v>
      </c>
    </row>
    <row r="716" spans="1:12" x14ac:dyDescent="0.3">
      <c r="A716">
        <v>677</v>
      </c>
      <c r="B716" t="s">
        <v>31</v>
      </c>
      <c r="C716" s="1">
        <v>45890</v>
      </c>
      <c r="D716" s="1" t="str">
        <f xml:space="preserve"> TEXT(FilmaxData[[#This Row],[Show_Date]],"MMM")</f>
        <v>Aug</v>
      </c>
      <c r="E716" s="1" t="str">
        <f xml:space="preserve"> TEXT(FilmaxData[[#This Row],[Show_Date]],"DDD")</f>
        <v>Thu</v>
      </c>
      <c r="F716" t="s">
        <v>11</v>
      </c>
      <c r="G716" t="s">
        <v>17</v>
      </c>
      <c r="H716">
        <v>2</v>
      </c>
      <c r="I716">
        <v>12</v>
      </c>
      <c r="J716" t="s">
        <v>23</v>
      </c>
      <c r="K716" t="s">
        <v>27</v>
      </c>
      <c r="L716">
        <v>24</v>
      </c>
    </row>
    <row r="717" spans="1:12" x14ac:dyDescent="0.3">
      <c r="A717">
        <v>1339</v>
      </c>
      <c r="B717" t="s">
        <v>10</v>
      </c>
      <c r="C717" s="1">
        <v>45868</v>
      </c>
      <c r="D717" s="1" t="str">
        <f xml:space="preserve"> TEXT(FilmaxData[[#This Row],[Show_Date]],"MMM")</f>
        <v>Jul</v>
      </c>
      <c r="E717" s="1" t="str">
        <f xml:space="preserve"> TEXT(FilmaxData[[#This Row],[Show_Date]],"DDD")</f>
        <v>Wed</v>
      </c>
      <c r="F717" t="s">
        <v>11</v>
      </c>
      <c r="G717" t="s">
        <v>12</v>
      </c>
      <c r="H717">
        <v>2</v>
      </c>
      <c r="I717">
        <v>25</v>
      </c>
      <c r="J717" t="s">
        <v>21</v>
      </c>
      <c r="K717" t="s">
        <v>27</v>
      </c>
      <c r="L717">
        <v>50</v>
      </c>
    </row>
    <row r="718" spans="1:12" x14ac:dyDescent="0.3">
      <c r="A718">
        <v>405</v>
      </c>
      <c r="B718" t="s">
        <v>19</v>
      </c>
      <c r="C718" s="1">
        <v>45886</v>
      </c>
      <c r="D718" s="1" t="str">
        <f xml:space="preserve"> TEXT(FilmaxData[[#This Row],[Show_Date]],"MMM")</f>
        <v>Aug</v>
      </c>
      <c r="E718" s="1" t="str">
        <f xml:space="preserve"> TEXT(FilmaxData[[#This Row],[Show_Date]],"DDD")</f>
        <v>Sun</v>
      </c>
      <c r="F718" t="s">
        <v>11</v>
      </c>
      <c r="G718" t="s">
        <v>30</v>
      </c>
      <c r="H718">
        <v>3</v>
      </c>
      <c r="I718">
        <v>8</v>
      </c>
      <c r="J718" t="s">
        <v>13</v>
      </c>
      <c r="K718" t="s">
        <v>18</v>
      </c>
      <c r="L718">
        <v>24</v>
      </c>
    </row>
    <row r="719" spans="1:12" x14ac:dyDescent="0.3">
      <c r="A719">
        <v>1362</v>
      </c>
      <c r="B719" t="s">
        <v>10</v>
      </c>
      <c r="C719" s="1">
        <v>45911</v>
      </c>
      <c r="D719" s="1" t="str">
        <f xml:space="preserve"> TEXT(FilmaxData[[#This Row],[Show_Date]],"MMM")</f>
        <v>Sep</v>
      </c>
      <c r="E719" s="1" t="str">
        <f xml:space="preserve"> TEXT(FilmaxData[[#This Row],[Show_Date]],"DDD")</f>
        <v>Thu</v>
      </c>
      <c r="F719" t="s">
        <v>11</v>
      </c>
      <c r="G719" t="s">
        <v>17</v>
      </c>
      <c r="H719">
        <v>4</v>
      </c>
      <c r="I719">
        <v>12</v>
      </c>
      <c r="J719" t="s">
        <v>23</v>
      </c>
      <c r="K719" t="s">
        <v>18</v>
      </c>
      <c r="L719">
        <v>48</v>
      </c>
    </row>
    <row r="720" spans="1:12" x14ac:dyDescent="0.3">
      <c r="A720">
        <v>1295</v>
      </c>
      <c r="B720" t="s">
        <v>31</v>
      </c>
      <c r="C720" s="1">
        <v>45889</v>
      </c>
      <c r="D720" s="1" t="str">
        <f xml:space="preserve"> TEXT(FilmaxData[[#This Row],[Show_Date]],"MMM")</f>
        <v>Aug</v>
      </c>
      <c r="E720" s="1" t="str">
        <f xml:space="preserve"> TEXT(FilmaxData[[#This Row],[Show_Date]],"DDD")</f>
        <v>Wed</v>
      </c>
      <c r="F720" t="s">
        <v>11</v>
      </c>
      <c r="G720" t="s">
        <v>29</v>
      </c>
      <c r="H720">
        <v>3</v>
      </c>
      <c r="I720">
        <v>30</v>
      </c>
      <c r="J720" t="s">
        <v>23</v>
      </c>
      <c r="K720" t="s">
        <v>18</v>
      </c>
      <c r="L720">
        <v>90</v>
      </c>
    </row>
    <row r="721" spans="1:12" x14ac:dyDescent="0.3">
      <c r="A721">
        <v>1416</v>
      </c>
      <c r="B721" t="s">
        <v>31</v>
      </c>
      <c r="C721" s="1">
        <v>45874</v>
      </c>
      <c r="D721" s="1" t="str">
        <f xml:space="preserve"> TEXT(FilmaxData[[#This Row],[Show_Date]],"MMM")</f>
        <v>Aug</v>
      </c>
      <c r="E721" s="1" t="str">
        <f xml:space="preserve"> TEXT(FilmaxData[[#This Row],[Show_Date]],"DDD")</f>
        <v>Tue</v>
      </c>
      <c r="F721" t="s">
        <v>11</v>
      </c>
      <c r="G721" t="s">
        <v>12</v>
      </c>
      <c r="H721">
        <v>4</v>
      </c>
      <c r="I721">
        <v>25</v>
      </c>
      <c r="J721" t="s">
        <v>21</v>
      </c>
      <c r="K721" t="s">
        <v>18</v>
      </c>
      <c r="L721">
        <v>100</v>
      </c>
    </row>
    <row r="722" spans="1:12" x14ac:dyDescent="0.3">
      <c r="A722">
        <v>806</v>
      </c>
      <c r="B722" t="s">
        <v>31</v>
      </c>
      <c r="C722" s="1">
        <v>45879</v>
      </c>
      <c r="D722" s="1" t="str">
        <f xml:space="preserve"> TEXT(FilmaxData[[#This Row],[Show_Date]],"MMM")</f>
        <v>Aug</v>
      </c>
      <c r="E722" s="1" t="str">
        <f xml:space="preserve"> TEXT(FilmaxData[[#This Row],[Show_Date]],"DDD")</f>
        <v>Sun</v>
      </c>
      <c r="F722" t="s">
        <v>11</v>
      </c>
      <c r="G722" t="s">
        <v>29</v>
      </c>
      <c r="H722">
        <v>4</v>
      </c>
      <c r="I722">
        <v>30</v>
      </c>
      <c r="J722" t="s">
        <v>21</v>
      </c>
      <c r="K722" t="s">
        <v>27</v>
      </c>
      <c r="L722">
        <v>120</v>
      </c>
    </row>
    <row r="723" spans="1:12" x14ac:dyDescent="0.3">
      <c r="A723">
        <v>1801</v>
      </c>
      <c r="B723" t="s">
        <v>31</v>
      </c>
      <c r="C723" s="1">
        <v>45886</v>
      </c>
      <c r="D723" s="1" t="str">
        <f xml:space="preserve"> TEXT(FilmaxData[[#This Row],[Show_Date]],"MMM")</f>
        <v>Aug</v>
      </c>
      <c r="E723" s="1" t="str">
        <f xml:space="preserve"> TEXT(FilmaxData[[#This Row],[Show_Date]],"DDD")</f>
        <v>Sun</v>
      </c>
      <c r="F723" t="s">
        <v>11</v>
      </c>
      <c r="G723" t="s">
        <v>17</v>
      </c>
      <c r="H723">
        <v>2</v>
      </c>
      <c r="I723">
        <v>12</v>
      </c>
      <c r="J723" t="s">
        <v>21</v>
      </c>
      <c r="K723" t="s">
        <v>25</v>
      </c>
      <c r="L723">
        <v>24</v>
      </c>
    </row>
    <row r="724" spans="1:12" x14ac:dyDescent="0.3">
      <c r="A724">
        <v>1081</v>
      </c>
      <c r="B724" t="s">
        <v>32</v>
      </c>
      <c r="C724" s="1">
        <v>45925</v>
      </c>
      <c r="D724" s="1" t="str">
        <f xml:space="preserve"> TEXT(FilmaxData[[#This Row],[Show_Date]],"MMM")</f>
        <v>Sep</v>
      </c>
      <c r="E724" s="1" t="str">
        <f xml:space="preserve"> TEXT(FilmaxData[[#This Row],[Show_Date]],"DDD")</f>
        <v>Thu</v>
      </c>
      <c r="F724" t="s">
        <v>11</v>
      </c>
      <c r="G724" t="s">
        <v>30</v>
      </c>
      <c r="H724">
        <v>2</v>
      </c>
      <c r="I724">
        <v>8</v>
      </c>
      <c r="J724" t="s">
        <v>21</v>
      </c>
      <c r="K724" t="s">
        <v>25</v>
      </c>
      <c r="L724">
        <v>16</v>
      </c>
    </row>
    <row r="725" spans="1:12" x14ac:dyDescent="0.3">
      <c r="A725">
        <v>222</v>
      </c>
      <c r="B725" t="s">
        <v>32</v>
      </c>
      <c r="C725" s="1">
        <v>45923</v>
      </c>
      <c r="D725" s="1" t="str">
        <f xml:space="preserve"> TEXT(FilmaxData[[#This Row],[Show_Date]],"MMM")</f>
        <v>Sep</v>
      </c>
      <c r="E725" s="1" t="str">
        <f xml:space="preserve"> TEXT(FilmaxData[[#This Row],[Show_Date]],"DDD")</f>
        <v>Tue</v>
      </c>
      <c r="F725" t="s">
        <v>11</v>
      </c>
      <c r="G725" t="s">
        <v>12</v>
      </c>
      <c r="H725">
        <v>2</v>
      </c>
      <c r="I725">
        <v>25</v>
      </c>
      <c r="J725" t="s">
        <v>21</v>
      </c>
      <c r="K725" t="s">
        <v>14</v>
      </c>
      <c r="L725">
        <v>50</v>
      </c>
    </row>
    <row r="726" spans="1:12" x14ac:dyDescent="0.3">
      <c r="A726">
        <v>1310</v>
      </c>
      <c r="B726" t="s">
        <v>31</v>
      </c>
      <c r="C726" s="1">
        <v>45914</v>
      </c>
      <c r="D726" s="1" t="str">
        <f xml:space="preserve"> TEXT(FilmaxData[[#This Row],[Show_Date]],"MMM")</f>
        <v>Sep</v>
      </c>
      <c r="E726" s="1" t="str">
        <f xml:space="preserve"> TEXT(FilmaxData[[#This Row],[Show_Date]],"DDD")</f>
        <v>Sun</v>
      </c>
      <c r="F726" t="s">
        <v>11</v>
      </c>
      <c r="G726" t="s">
        <v>17</v>
      </c>
      <c r="H726">
        <v>4</v>
      </c>
      <c r="I726">
        <v>12</v>
      </c>
      <c r="J726" t="s">
        <v>23</v>
      </c>
      <c r="K726" t="s">
        <v>27</v>
      </c>
      <c r="L726">
        <v>48</v>
      </c>
    </row>
    <row r="727" spans="1:12" x14ac:dyDescent="0.3">
      <c r="A727">
        <v>1231</v>
      </c>
      <c r="B727" t="s">
        <v>31</v>
      </c>
      <c r="C727" s="1">
        <v>45885</v>
      </c>
      <c r="D727" s="1" t="str">
        <f xml:space="preserve"> TEXT(FilmaxData[[#This Row],[Show_Date]],"MMM")</f>
        <v>Aug</v>
      </c>
      <c r="E727" s="1" t="str">
        <f xml:space="preserve"> TEXT(FilmaxData[[#This Row],[Show_Date]],"DDD")</f>
        <v>Sat</v>
      </c>
      <c r="F727" t="s">
        <v>11</v>
      </c>
      <c r="G727" t="s">
        <v>12</v>
      </c>
      <c r="H727">
        <v>4</v>
      </c>
      <c r="I727">
        <v>25</v>
      </c>
      <c r="J727" t="s">
        <v>23</v>
      </c>
      <c r="K727" t="s">
        <v>18</v>
      </c>
      <c r="L727">
        <v>100</v>
      </c>
    </row>
    <row r="728" spans="1:12" x14ac:dyDescent="0.3">
      <c r="A728">
        <v>2000</v>
      </c>
      <c r="B728" t="s">
        <v>24</v>
      </c>
      <c r="C728" s="1">
        <v>45851</v>
      </c>
      <c r="D728" s="1" t="str">
        <f xml:space="preserve"> TEXT(FilmaxData[[#This Row],[Show_Date]],"MMM")</f>
        <v>Jul</v>
      </c>
      <c r="E728" s="1" t="str">
        <f xml:space="preserve"> TEXT(FilmaxData[[#This Row],[Show_Date]],"DDD")</f>
        <v>Sun</v>
      </c>
      <c r="F728" t="s">
        <v>11</v>
      </c>
      <c r="G728" t="s">
        <v>17</v>
      </c>
      <c r="H728">
        <v>4</v>
      </c>
      <c r="I728">
        <v>12</v>
      </c>
      <c r="J728" t="s">
        <v>13</v>
      </c>
      <c r="K728" t="s">
        <v>25</v>
      </c>
      <c r="L728">
        <v>48</v>
      </c>
    </row>
    <row r="729" spans="1:12" x14ac:dyDescent="0.3">
      <c r="A729">
        <v>703</v>
      </c>
      <c r="B729" t="s">
        <v>24</v>
      </c>
      <c r="C729" s="1">
        <v>45885</v>
      </c>
      <c r="D729" s="1" t="str">
        <f xml:space="preserve"> TEXT(FilmaxData[[#This Row],[Show_Date]],"MMM")</f>
        <v>Aug</v>
      </c>
      <c r="E729" s="1" t="str">
        <f xml:space="preserve"> TEXT(FilmaxData[[#This Row],[Show_Date]],"DDD")</f>
        <v>Sat</v>
      </c>
      <c r="F729" t="s">
        <v>11</v>
      </c>
      <c r="G729" t="s">
        <v>17</v>
      </c>
      <c r="H729">
        <v>4</v>
      </c>
      <c r="I729">
        <v>12</v>
      </c>
      <c r="J729" t="s">
        <v>23</v>
      </c>
      <c r="K729" t="s">
        <v>27</v>
      </c>
      <c r="L729">
        <v>48</v>
      </c>
    </row>
    <row r="730" spans="1:12" x14ac:dyDescent="0.3">
      <c r="A730">
        <v>1524</v>
      </c>
      <c r="B730" t="s">
        <v>15</v>
      </c>
      <c r="C730" s="1">
        <v>45923</v>
      </c>
      <c r="D730" s="1" t="str">
        <f xml:space="preserve"> TEXT(FilmaxData[[#This Row],[Show_Date]],"MMM")</f>
        <v>Sep</v>
      </c>
      <c r="E730" s="1" t="str">
        <f xml:space="preserve"> TEXT(FilmaxData[[#This Row],[Show_Date]],"DDD")</f>
        <v>Tue</v>
      </c>
      <c r="F730" t="s">
        <v>11</v>
      </c>
      <c r="G730" t="s">
        <v>17</v>
      </c>
      <c r="H730">
        <v>5</v>
      </c>
      <c r="I730">
        <v>12</v>
      </c>
      <c r="J730" t="s">
        <v>21</v>
      </c>
      <c r="K730" t="s">
        <v>18</v>
      </c>
      <c r="L730">
        <v>60</v>
      </c>
    </row>
    <row r="731" spans="1:12" x14ac:dyDescent="0.3">
      <c r="A731">
        <v>998</v>
      </c>
      <c r="B731" t="s">
        <v>31</v>
      </c>
      <c r="C731" s="1">
        <v>45925</v>
      </c>
      <c r="D731" s="1" t="str">
        <f xml:space="preserve"> TEXT(FilmaxData[[#This Row],[Show_Date]],"MMM")</f>
        <v>Sep</v>
      </c>
      <c r="E731" s="1" t="str">
        <f xml:space="preserve"> TEXT(FilmaxData[[#This Row],[Show_Date]],"DDD")</f>
        <v>Thu</v>
      </c>
      <c r="F731" t="s">
        <v>11</v>
      </c>
      <c r="G731" t="s">
        <v>17</v>
      </c>
      <c r="H731">
        <v>5</v>
      </c>
      <c r="I731">
        <v>12</v>
      </c>
      <c r="J731" t="s">
        <v>13</v>
      </c>
      <c r="K731" t="s">
        <v>14</v>
      </c>
      <c r="L731">
        <v>60</v>
      </c>
    </row>
    <row r="732" spans="1:12" x14ac:dyDescent="0.3">
      <c r="A732">
        <v>420</v>
      </c>
      <c r="B732" t="s">
        <v>10</v>
      </c>
      <c r="C732" s="1">
        <v>45919</v>
      </c>
      <c r="D732" s="1" t="str">
        <f xml:space="preserve"> TEXT(FilmaxData[[#This Row],[Show_Date]],"MMM")</f>
        <v>Sep</v>
      </c>
      <c r="E732" s="1" t="str">
        <f xml:space="preserve"> TEXT(FilmaxData[[#This Row],[Show_Date]],"DDD")</f>
        <v>Fri</v>
      </c>
      <c r="F732" t="s">
        <v>11</v>
      </c>
      <c r="G732" t="s">
        <v>17</v>
      </c>
      <c r="H732">
        <v>1</v>
      </c>
      <c r="I732">
        <v>12</v>
      </c>
      <c r="J732" t="s">
        <v>23</v>
      </c>
      <c r="K732" t="s">
        <v>27</v>
      </c>
      <c r="L732">
        <v>12</v>
      </c>
    </row>
    <row r="733" spans="1:12" x14ac:dyDescent="0.3">
      <c r="A733">
        <v>742</v>
      </c>
      <c r="B733" t="s">
        <v>10</v>
      </c>
      <c r="C733" s="1">
        <v>45852</v>
      </c>
      <c r="D733" s="1" t="str">
        <f xml:space="preserve"> TEXT(FilmaxData[[#This Row],[Show_Date]],"MMM")</f>
        <v>Jul</v>
      </c>
      <c r="E733" s="1" t="str">
        <f xml:space="preserve"> TEXT(FilmaxData[[#This Row],[Show_Date]],"DDD")</f>
        <v>Mon</v>
      </c>
      <c r="F733" t="s">
        <v>11</v>
      </c>
      <c r="G733" t="s">
        <v>17</v>
      </c>
      <c r="H733">
        <v>2</v>
      </c>
      <c r="I733">
        <v>12</v>
      </c>
      <c r="J733" t="s">
        <v>13</v>
      </c>
      <c r="K733" t="s">
        <v>18</v>
      </c>
      <c r="L733">
        <v>24</v>
      </c>
    </row>
    <row r="734" spans="1:12" x14ac:dyDescent="0.3">
      <c r="A734">
        <v>458</v>
      </c>
      <c r="B734" t="s">
        <v>19</v>
      </c>
      <c r="C734" s="1">
        <v>45857</v>
      </c>
      <c r="D734" s="1" t="str">
        <f xml:space="preserve"> TEXT(FilmaxData[[#This Row],[Show_Date]],"MMM")</f>
        <v>Jul</v>
      </c>
      <c r="E734" s="1" t="str">
        <f xml:space="preserve"> TEXT(FilmaxData[[#This Row],[Show_Date]],"DDD")</f>
        <v>Sat</v>
      </c>
      <c r="F734" t="s">
        <v>11</v>
      </c>
      <c r="G734" t="s">
        <v>12</v>
      </c>
      <c r="H734">
        <v>2</v>
      </c>
      <c r="I734">
        <v>25</v>
      </c>
      <c r="J734" t="s">
        <v>23</v>
      </c>
      <c r="K734" t="s">
        <v>27</v>
      </c>
      <c r="L734">
        <v>50</v>
      </c>
    </row>
    <row r="735" spans="1:12" x14ac:dyDescent="0.3">
      <c r="A735">
        <v>1553</v>
      </c>
      <c r="B735" t="s">
        <v>28</v>
      </c>
      <c r="C735" s="1">
        <v>45876</v>
      </c>
      <c r="D735" s="1" t="str">
        <f xml:space="preserve"> TEXT(FilmaxData[[#This Row],[Show_Date]],"MMM")</f>
        <v>Aug</v>
      </c>
      <c r="E735" s="1" t="str">
        <f xml:space="preserve"> TEXT(FilmaxData[[#This Row],[Show_Date]],"DDD")</f>
        <v>Thu</v>
      </c>
      <c r="F735" t="s">
        <v>11</v>
      </c>
      <c r="G735" t="s">
        <v>12</v>
      </c>
      <c r="H735">
        <v>4</v>
      </c>
      <c r="I735">
        <v>25</v>
      </c>
      <c r="J735" t="s">
        <v>21</v>
      </c>
      <c r="K735" t="s">
        <v>27</v>
      </c>
      <c r="L735">
        <v>100</v>
      </c>
    </row>
    <row r="736" spans="1:12" x14ac:dyDescent="0.3">
      <c r="A736">
        <v>911</v>
      </c>
      <c r="B736" t="s">
        <v>32</v>
      </c>
      <c r="C736" s="1">
        <v>45863</v>
      </c>
      <c r="D736" s="1" t="str">
        <f xml:space="preserve"> TEXT(FilmaxData[[#This Row],[Show_Date]],"MMM")</f>
        <v>Jul</v>
      </c>
      <c r="E736" s="1" t="str">
        <f xml:space="preserve"> TEXT(FilmaxData[[#This Row],[Show_Date]],"DDD")</f>
        <v>Fri</v>
      </c>
      <c r="F736" t="s">
        <v>11</v>
      </c>
      <c r="G736" t="s">
        <v>17</v>
      </c>
      <c r="H736">
        <v>1</v>
      </c>
      <c r="I736">
        <v>12</v>
      </c>
      <c r="J736" t="s">
        <v>21</v>
      </c>
      <c r="K736" t="s">
        <v>27</v>
      </c>
      <c r="L736">
        <v>12</v>
      </c>
    </row>
    <row r="737" spans="1:12" x14ac:dyDescent="0.3">
      <c r="A737">
        <v>284</v>
      </c>
      <c r="B737" t="s">
        <v>28</v>
      </c>
      <c r="C737" s="1">
        <v>45871</v>
      </c>
      <c r="D737" s="1" t="str">
        <f xml:space="preserve"> TEXT(FilmaxData[[#This Row],[Show_Date]],"MMM")</f>
        <v>Aug</v>
      </c>
      <c r="E737" s="1" t="str">
        <f xml:space="preserve"> TEXT(FilmaxData[[#This Row],[Show_Date]],"DDD")</f>
        <v>Sat</v>
      </c>
      <c r="F737" t="s">
        <v>11</v>
      </c>
      <c r="G737" t="s">
        <v>17</v>
      </c>
      <c r="H737">
        <v>1</v>
      </c>
      <c r="I737">
        <v>12</v>
      </c>
      <c r="J737" t="s">
        <v>21</v>
      </c>
      <c r="K737" t="s">
        <v>14</v>
      </c>
      <c r="L737">
        <v>12</v>
      </c>
    </row>
    <row r="738" spans="1:12" x14ac:dyDescent="0.3">
      <c r="A738">
        <v>334</v>
      </c>
      <c r="B738" t="s">
        <v>32</v>
      </c>
      <c r="C738" s="1">
        <v>45914</v>
      </c>
      <c r="D738" s="1" t="str">
        <f xml:space="preserve"> TEXT(FilmaxData[[#This Row],[Show_Date]],"MMM")</f>
        <v>Sep</v>
      </c>
      <c r="E738" s="1" t="str">
        <f xml:space="preserve"> TEXT(FilmaxData[[#This Row],[Show_Date]],"DDD")</f>
        <v>Sun</v>
      </c>
      <c r="F738" t="s">
        <v>11</v>
      </c>
      <c r="G738" t="s">
        <v>30</v>
      </c>
      <c r="H738">
        <v>3</v>
      </c>
      <c r="I738">
        <v>8</v>
      </c>
      <c r="J738" t="s">
        <v>13</v>
      </c>
      <c r="K738" t="s">
        <v>27</v>
      </c>
      <c r="L738">
        <v>24</v>
      </c>
    </row>
    <row r="739" spans="1:12" x14ac:dyDescent="0.3">
      <c r="A739">
        <v>502</v>
      </c>
      <c r="B739" t="s">
        <v>15</v>
      </c>
      <c r="C739" s="1">
        <v>45886</v>
      </c>
      <c r="D739" s="1" t="str">
        <f xml:space="preserve"> TEXT(FilmaxData[[#This Row],[Show_Date]],"MMM")</f>
        <v>Aug</v>
      </c>
      <c r="E739" s="1" t="str">
        <f xml:space="preserve"> TEXT(FilmaxData[[#This Row],[Show_Date]],"DDD")</f>
        <v>Sun</v>
      </c>
      <c r="F739" t="s">
        <v>11</v>
      </c>
      <c r="G739" t="s">
        <v>30</v>
      </c>
      <c r="H739">
        <v>3</v>
      </c>
      <c r="I739">
        <v>8</v>
      </c>
      <c r="J739" t="s">
        <v>21</v>
      </c>
      <c r="K739" t="s">
        <v>25</v>
      </c>
      <c r="L739">
        <v>24</v>
      </c>
    </row>
    <row r="740" spans="1:12" x14ac:dyDescent="0.3">
      <c r="A740">
        <v>1711</v>
      </c>
      <c r="B740" t="s">
        <v>15</v>
      </c>
      <c r="C740" s="1">
        <v>45922</v>
      </c>
      <c r="D740" s="1" t="str">
        <f xml:space="preserve"> TEXT(FilmaxData[[#This Row],[Show_Date]],"MMM")</f>
        <v>Sep</v>
      </c>
      <c r="E740" s="1" t="str">
        <f xml:space="preserve"> TEXT(FilmaxData[[#This Row],[Show_Date]],"DDD")</f>
        <v>Mon</v>
      </c>
      <c r="F740" t="s">
        <v>11</v>
      </c>
      <c r="G740" t="s">
        <v>17</v>
      </c>
      <c r="H740">
        <v>2</v>
      </c>
      <c r="I740">
        <v>12</v>
      </c>
      <c r="J740" t="s">
        <v>23</v>
      </c>
      <c r="K740" t="s">
        <v>27</v>
      </c>
      <c r="L740">
        <v>24</v>
      </c>
    </row>
    <row r="741" spans="1:12" x14ac:dyDescent="0.3">
      <c r="A741">
        <v>1030</v>
      </c>
      <c r="B741" t="s">
        <v>15</v>
      </c>
      <c r="C741" s="1">
        <v>45848</v>
      </c>
      <c r="D741" s="1" t="str">
        <f xml:space="preserve"> TEXT(FilmaxData[[#This Row],[Show_Date]],"MMM")</f>
        <v>Jul</v>
      </c>
      <c r="E741" s="1" t="str">
        <f xml:space="preserve"> TEXT(FilmaxData[[#This Row],[Show_Date]],"DDD")</f>
        <v>Thu</v>
      </c>
      <c r="F741" t="s">
        <v>11</v>
      </c>
      <c r="G741" t="s">
        <v>12</v>
      </c>
      <c r="H741">
        <v>5</v>
      </c>
      <c r="I741">
        <v>25</v>
      </c>
      <c r="J741" t="s">
        <v>21</v>
      </c>
      <c r="K741" t="s">
        <v>27</v>
      </c>
      <c r="L741">
        <v>125</v>
      </c>
    </row>
    <row r="742" spans="1:12" x14ac:dyDescent="0.3">
      <c r="A742">
        <v>1012</v>
      </c>
      <c r="B742" t="s">
        <v>15</v>
      </c>
      <c r="C742" s="1">
        <v>45886</v>
      </c>
      <c r="D742" s="1" t="str">
        <f xml:space="preserve"> TEXT(FilmaxData[[#This Row],[Show_Date]],"MMM")</f>
        <v>Aug</v>
      </c>
      <c r="E742" s="1" t="str">
        <f xml:space="preserve"> TEXT(FilmaxData[[#This Row],[Show_Date]],"DDD")</f>
        <v>Sun</v>
      </c>
      <c r="F742" t="s">
        <v>11</v>
      </c>
      <c r="G742" t="s">
        <v>17</v>
      </c>
      <c r="H742">
        <v>4</v>
      </c>
      <c r="I742">
        <v>12</v>
      </c>
      <c r="J742" t="s">
        <v>13</v>
      </c>
      <c r="K742" t="s">
        <v>25</v>
      </c>
      <c r="L742">
        <v>48</v>
      </c>
    </row>
    <row r="743" spans="1:12" x14ac:dyDescent="0.3">
      <c r="A743">
        <v>812</v>
      </c>
      <c r="B743" t="s">
        <v>32</v>
      </c>
      <c r="C743" s="1">
        <v>45843</v>
      </c>
      <c r="D743" s="1" t="str">
        <f xml:space="preserve"> TEXT(FilmaxData[[#This Row],[Show_Date]],"MMM")</f>
        <v>Jul</v>
      </c>
      <c r="E743" s="1" t="str">
        <f xml:space="preserve"> TEXT(FilmaxData[[#This Row],[Show_Date]],"DDD")</f>
        <v>Sat</v>
      </c>
      <c r="F743" t="s">
        <v>11</v>
      </c>
      <c r="G743" t="s">
        <v>12</v>
      </c>
      <c r="H743">
        <v>4</v>
      </c>
      <c r="I743">
        <v>25</v>
      </c>
      <c r="J743" t="s">
        <v>21</v>
      </c>
      <c r="K743" t="s">
        <v>25</v>
      </c>
      <c r="L743">
        <v>100</v>
      </c>
    </row>
    <row r="744" spans="1:12" x14ac:dyDescent="0.3">
      <c r="A744">
        <v>1676</v>
      </c>
      <c r="B744" t="s">
        <v>15</v>
      </c>
      <c r="C744" s="1">
        <v>45886</v>
      </c>
      <c r="D744" s="1" t="str">
        <f xml:space="preserve"> TEXT(FilmaxData[[#This Row],[Show_Date]],"MMM")</f>
        <v>Aug</v>
      </c>
      <c r="E744" s="1" t="str">
        <f xml:space="preserve"> TEXT(FilmaxData[[#This Row],[Show_Date]],"DDD")</f>
        <v>Sun</v>
      </c>
      <c r="F744" t="s">
        <v>11</v>
      </c>
      <c r="G744" t="s">
        <v>17</v>
      </c>
      <c r="H744">
        <v>1</v>
      </c>
      <c r="I744">
        <v>12</v>
      </c>
      <c r="J744" t="s">
        <v>13</v>
      </c>
      <c r="K744" t="s">
        <v>27</v>
      </c>
      <c r="L744">
        <v>12</v>
      </c>
    </row>
    <row r="745" spans="1:12" x14ac:dyDescent="0.3">
      <c r="A745">
        <v>1272</v>
      </c>
      <c r="B745" t="s">
        <v>10</v>
      </c>
      <c r="C745" s="1">
        <v>45925</v>
      </c>
      <c r="D745" s="1" t="str">
        <f xml:space="preserve"> TEXT(FilmaxData[[#This Row],[Show_Date]],"MMM")</f>
        <v>Sep</v>
      </c>
      <c r="E745" s="1" t="str">
        <f xml:space="preserve"> TEXT(FilmaxData[[#This Row],[Show_Date]],"DDD")</f>
        <v>Thu</v>
      </c>
      <c r="F745" t="s">
        <v>11</v>
      </c>
      <c r="G745" t="s">
        <v>17</v>
      </c>
      <c r="H745">
        <v>2</v>
      </c>
      <c r="I745">
        <v>12</v>
      </c>
      <c r="J745" t="s">
        <v>21</v>
      </c>
      <c r="K745" t="s">
        <v>18</v>
      </c>
      <c r="L745">
        <v>24</v>
      </c>
    </row>
    <row r="746" spans="1:12" x14ac:dyDescent="0.3">
      <c r="A746">
        <v>1804</v>
      </c>
      <c r="B746" t="s">
        <v>19</v>
      </c>
      <c r="C746" s="1">
        <v>45902</v>
      </c>
      <c r="D746" s="1" t="str">
        <f xml:space="preserve"> TEXT(FilmaxData[[#This Row],[Show_Date]],"MMM")</f>
        <v>Sep</v>
      </c>
      <c r="E746" s="1" t="str">
        <f xml:space="preserve"> TEXT(FilmaxData[[#This Row],[Show_Date]],"DDD")</f>
        <v>Tue</v>
      </c>
      <c r="F746" t="s">
        <v>11</v>
      </c>
      <c r="G746" t="s">
        <v>29</v>
      </c>
      <c r="H746">
        <v>5</v>
      </c>
      <c r="I746">
        <v>30</v>
      </c>
      <c r="J746" t="s">
        <v>23</v>
      </c>
      <c r="K746" t="s">
        <v>18</v>
      </c>
      <c r="L746">
        <v>150</v>
      </c>
    </row>
    <row r="747" spans="1:12" x14ac:dyDescent="0.3">
      <c r="A747">
        <v>1408</v>
      </c>
      <c r="B747" t="s">
        <v>15</v>
      </c>
      <c r="C747" s="1">
        <v>45893</v>
      </c>
      <c r="D747" s="1" t="str">
        <f xml:space="preserve"> TEXT(FilmaxData[[#This Row],[Show_Date]],"MMM")</f>
        <v>Aug</v>
      </c>
      <c r="E747" s="1" t="str">
        <f xml:space="preserve"> TEXT(FilmaxData[[#This Row],[Show_Date]],"DDD")</f>
        <v>Sun</v>
      </c>
      <c r="F747" t="s">
        <v>11</v>
      </c>
      <c r="G747" t="s">
        <v>29</v>
      </c>
      <c r="H747">
        <v>5</v>
      </c>
      <c r="I747">
        <v>30</v>
      </c>
      <c r="J747" t="s">
        <v>23</v>
      </c>
      <c r="K747" t="s">
        <v>18</v>
      </c>
      <c r="L747">
        <v>150</v>
      </c>
    </row>
    <row r="748" spans="1:12" x14ac:dyDescent="0.3">
      <c r="A748">
        <v>1627</v>
      </c>
      <c r="B748" t="s">
        <v>24</v>
      </c>
      <c r="C748" s="1">
        <v>45848</v>
      </c>
      <c r="D748" s="1" t="str">
        <f xml:space="preserve"> TEXT(FilmaxData[[#This Row],[Show_Date]],"MMM")</f>
        <v>Jul</v>
      </c>
      <c r="E748" s="1" t="str">
        <f xml:space="preserve"> TEXT(FilmaxData[[#This Row],[Show_Date]],"DDD")</f>
        <v>Thu</v>
      </c>
      <c r="F748" t="s">
        <v>11</v>
      </c>
      <c r="G748" t="s">
        <v>17</v>
      </c>
      <c r="H748">
        <v>4</v>
      </c>
      <c r="I748">
        <v>12</v>
      </c>
      <c r="J748" t="s">
        <v>21</v>
      </c>
      <c r="K748" t="s">
        <v>18</v>
      </c>
      <c r="L748">
        <v>48</v>
      </c>
    </row>
    <row r="749" spans="1:12" x14ac:dyDescent="0.3">
      <c r="A749">
        <v>573</v>
      </c>
      <c r="B749" t="s">
        <v>24</v>
      </c>
      <c r="C749" s="1">
        <v>45846</v>
      </c>
      <c r="D749" s="1" t="str">
        <f xml:space="preserve"> TEXT(FilmaxData[[#This Row],[Show_Date]],"MMM")</f>
        <v>Jul</v>
      </c>
      <c r="E749" s="1" t="str">
        <f xml:space="preserve"> TEXT(FilmaxData[[#This Row],[Show_Date]],"DDD")</f>
        <v>Tue</v>
      </c>
      <c r="F749" t="s">
        <v>11</v>
      </c>
      <c r="G749" t="s">
        <v>17</v>
      </c>
      <c r="H749">
        <v>4</v>
      </c>
      <c r="I749">
        <v>12</v>
      </c>
      <c r="J749" t="s">
        <v>23</v>
      </c>
      <c r="K749" t="s">
        <v>18</v>
      </c>
      <c r="L749">
        <v>48</v>
      </c>
    </row>
    <row r="750" spans="1:12" x14ac:dyDescent="0.3">
      <c r="A750">
        <v>1805</v>
      </c>
      <c r="B750" t="s">
        <v>15</v>
      </c>
      <c r="C750" s="1">
        <v>45928</v>
      </c>
      <c r="D750" s="1" t="str">
        <f xml:space="preserve"> TEXT(FilmaxData[[#This Row],[Show_Date]],"MMM")</f>
        <v>Sep</v>
      </c>
      <c r="E750" s="1" t="str">
        <f xml:space="preserve"> TEXT(FilmaxData[[#This Row],[Show_Date]],"DDD")</f>
        <v>Sun</v>
      </c>
      <c r="F750" t="s">
        <v>11</v>
      </c>
      <c r="G750" t="s">
        <v>17</v>
      </c>
      <c r="H750">
        <v>2</v>
      </c>
      <c r="I750">
        <v>12</v>
      </c>
      <c r="J750" t="s">
        <v>13</v>
      </c>
      <c r="K750" t="s">
        <v>18</v>
      </c>
      <c r="L750">
        <v>24</v>
      </c>
    </row>
    <row r="751" spans="1:12" x14ac:dyDescent="0.3">
      <c r="A751">
        <v>527</v>
      </c>
      <c r="B751" t="s">
        <v>32</v>
      </c>
      <c r="C751" s="1">
        <v>45854</v>
      </c>
      <c r="D751" s="1" t="str">
        <f xml:space="preserve"> TEXT(FilmaxData[[#This Row],[Show_Date]],"MMM")</f>
        <v>Jul</v>
      </c>
      <c r="E751" s="1" t="str">
        <f xml:space="preserve"> TEXT(FilmaxData[[#This Row],[Show_Date]],"DDD")</f>
        <v>Wed</v>
      </c>
      <c r="F751" t="s">
        <v>11</v>
      </c>
      <c r="G751" t="s">
        <v>17</v>
      </c>
      <c r="H751">
        <v>3</v>
      </c>
      <c r="I751">
        <v>12</v>
      </c>
      <c r="J751" t="s">
        <v>23</v>
      </c>
      <c r="K751" t="s">
        <v>18</v>
      </c>
      <c r="L751">
        <v>36</v>
      </c>
    </row>
    <row r="752" spans="1:12" x14ac:dyDescent="0.3">
      <c r="A752">
        <v>302</v>
      </c>
      <c r="B752" t="s">
        <v>24</v>
      </c>
      <c r="C752" s="1">
        <v>45930</v>
      </c>
      <c r="D752" s="1" t="str">
        <f xml:space="preserve"> TEXT(FilmaxData[[#This Row],[Show_Date]],"MMM")</f>
        <v>Sep</v>
      </c>
      <c r="E752" s="1" t="str">
        <f xml:space="preserve"> TEXT(FilmaxData[[#This Row],[Show_Date]],"DDD")</f>
        <v>Tue</v>
      </c>
      <c r="F752" t="s">
        <v>11</v>
      </c>
      <c r="G752" t="s">
        <v>12</v>
      </c>
      <c r="H752">
        <v>1</v>
      </c>
      <c r="I752">
        <v>25</v>
      </c>
      <c r="J752" t="s">
        <v>21</v>
      </c>
      <c r="K752" t="s">
        <v>14</v>
      </c>
      <c r="L752">
        <v>25</v>
      </c>
    </row>
    <row r="753" spans="1:12" x14ac:dyDescent="0.3">
      <c r="A753">
        <v>1647</v>
      </c>
      <c r="B753" t="s">
        <v>28</v>
      </c>
      <c r="C753" s="1">
        <v>45924</v>
      </c>
      <c r="D753" s="1" t="str">
        <f xml:space="preserve"> TEXT(FilmaxData[[#This Row],[Show_Date]],"MMM")</f>
        <v>Sep</v>
      </c>
      <c r="E753" s="1" t="str">
        <f xml:space="preserve"> TEXT(FilmaxData[[#This Row],[Show_Date]],"DDD")</f>
        <v>Wed</v>
      </c>
      <c r="F753" t="s">
        <v>11</v>
      </c>
      <c r="G753" t="s">
        <v>17</v>
      </c>
      <c r="H753">
        <v>1</v>
      </c>
      <c r="I753">
        <v>12</v>
      </c>
      <c r="J753" t="s">
        <v>21</v>
      </c>
      <c r="K753" t="s">
        <v>25</v>
      </c>
      <c r="L753">
        <v>12</v>
      </c>
    </row>
    <row r="754" spans="1:12" x14ac:dyDescent="0.3">
      <c r="A754">
        <v>1955</v>
      </c>
      <c r="B754" t="s">
        <v>32</v>
      </c>
      <c r="C754" s="1">
        <v>45918</v>
      </c>
      <c r="D754" s="1" t="str">
        <f xml:space="preserve"> TEXT(FilmaxData[[#This Row],[Show_Date]],"MMM")</f>
        <v>Sep</v>
      </c>
      <c r="E754" s="1" t="str">
        <f xml:space="preserve"> TEXT(FilmaxData[[#This Row],[Show_Date]],"DDD")</f>
        <v>Thu</v>
      </c>
      <c r="F754" t="s">
        <v>11</v>
      </c>
      <c r="G754" t="s">
        <v>17</v>
      </c>
      <c r="H754">
        <v>5</v>
      </c>
      <c r="I754">
        <v>12</v>
      </c>
      <c r="J754" t="s">
        <v>21</v>
      </c>
      <c r="K754" t="s">
        <v>27</v>
      </c>
      <c r="L754">
        <v>60</v>
      </c>
    </row>
    <row r="755" spans="1:12" x14ac:dyDescent="0.3">
      <c r="A755">
        <v>725</v>
      </c>
      <c r="B755" t="s">
        <v>24</v>
      </c>
      <c r="C755" s="1">
        <v>45879</v>
      </c>
      <c r="D755" s="1" t="str">
        <f xml:space="preserve"> TEXT(FilmaxData[[#This Row],[Show_Date]],"MMM")</f>
        <v>Aug</v>
      </c>
      <c r="E755" s="1" t="str">
        <f xml:space="preserve"> TEXT(FilmaxData[[#This Row],[Show_Date]],"DDD")</f>
        <v>Sun</v>
      </c>
      <c r="F755" t="s">
        <v>11</v>
      </c>
      <c r="G755" t="s">
        <v>17</v>
      </c>
      <c r="H755">
        <v>5</v>
      </c>
      <c r="I755">
        <v>12</v>
      </c>
      <c r="J755" t="s">
        <v>21</v>
      </c>
      <c r="K755" t="s">
        <v>27</v>
      </c>
      <c r="L755">
        <v>60</v>
      </c>
    </row>
    <row r="756" spans="1:12" x14ac:dyDescent="0.3">
      <c r="A756">
        <v>1450</v>
      </c>
      <c r="B756" t="s">
        <v>31</v>
      </c>
      <c r="C756" s="1">
        <v>45920</v>
      </c>
      <c r="D756" s="1" t="str">
        <f xml:space="preserve"> TEXT(FilmaxData[[#This Row],[Show_Date]],"MMM")</f>
        <v>Sep</v>
      </c>
      <c r="E756" s="1" t="str">
        <f xml:space="preserve"> TEXT(FilmaxData[[#This Row],[Show_Date]],"DDD")</f>
        <v>Sat</v>
      </c>
      <c r="F756" t="s">
        <v>11</v>
      </c>
      <c r="G756" t="s">
        <v>17</v>
      </c>
      <c r="H756">
        <v>4</v>
      </c>
      <c r="I756">
        <v>12</v>
      </c>
      <c r="J756" t="s">
        <v>13</v>
      </c>
      <c r="K756" t="s">
        <v>27</v>
      </c>
      <c r="L756">
        <v>48</v>
      </c>
    </row>
    <row r="757" spans="1:12" x14ac:dyDescent="0.3">
      <c r="A757">
        <v>1421</v>
      </c>
      <c r="B757" t="s">
        <v>24</v>
      </c>
      <c r="C757" s="1">
        <v>45886</v>
      </c>
      <c r="D757" s="1" t="str">
        <f xml:space="preserve"> TEXT(FilmaxData[[#This Row],[Show_Date]],"MMM")</f>
        <v>Aug</v>
      </c>
      <c r="E757" s="1" t="str">
        <f xml:space="preserve"> TEXT(FilmaxData[[#This Row],[Show_Date]],"DDD")</f>
        <v>Sun</v>
      </c>
      <c r="F757" t="s">
        <v>11</v>
      </c>
      <c r="G757" t="s">
        <v>30</v>
      </c>
      <c r="H757">
        <v>2</v>
      </c>
      <c r="I757">
        <v>8</v>
      </c>
      <c r="J757" t="s">
        <v>21</v>
      </c>
      <c r="K757" t="s">
        <v>14</v>
      </c>
      <c r="L757">
        <v>16</v>
      </c>
    </row>
    <row r="758" spans="1:12" x14ac:dyDescent="0.3">
      <c r="A758">
        <v>43</v>
      </c>
      <c r="B758" t="s">
        <v>26</v>
      </c>
      <c r="C758" s="1">
        <v>45921</v>
      </c>
      <c r="D758" s="1" t="str">
        <f xml:space="preserve"> TEXT(FilmaxData[[#This Row],[Show_Date]],"MMM")</f>
        <v>Sep</v>
      </c>
      <c r="E758" s="1" t="str">
        <f xml:space="preserve"> TEXT(FilmaxData[[#This Row],[Show_Date]],"DDD")</f>
        <v>Sun</v>
      </c>
      <c r="F758" t="s">
        <v>11</v>
      </c>
      <c r="G758" t="s">
        <v>12</v>
      </c>
      <c r="H758">
        <v>5</v>
      </c>
      <c r="I758">
        <v>25</v>
      </c>
      <c r="J758" t="s">
        <v>13</v>
      </c>
      <c r="K758" t="s">
        <v>27</v>
      </c>
      <c r="L758">
        <v>125</v>
      </c>
    </row>
    <row r="759" spans="1:12" x14ac:dyDescent="0.3">
      <c r="A759">
        <v>1947</v>
      </c>
      <c r="B759" t="s">
        <v>24</v>
      </c>
      <c r="C759" s="1">
        <v>45848</v>
      </c>
      <c r="D759" s="1" t="str">
        <f xml:space="preserve"> TEXT(FilmaxData[[#This Row],[Show_Date]],"MMM")</f>
        <v>Jul</v>
      </c>
      <c r="E759" s="1" t="str">
        <f xml:space="preserve"> TEXT(FilmaxData[[#This Row],[Show_Date]],"DDD")</f>
        <v>Thu</v>
      </c>
      <c r="F759" t="s">
        <v>11</v>
      </c>
      <c r="G759" t="s">
        <v>30</v>
      </c>
      <c r="H759">
        <v>3</v>
      </c>
      <c r="I759">
        <v>8</v>
      </c>
      <c r="J759" t="s">
        <v>23</v>
      </c>
      <c r="K759" t="s">
        <v>14</v>
      </c>
      <c r="L759">
        <v>24</v>
      </c>
    </row>
    <row r="760" spans="1:12" x14ac:dyDescent="0.3">
      <c r="A760">
        <v>1803</v>
      </c>
      <c r="B760" t="s">
        <v>32</v>
      </c>
      <c r="C760" s="1">
        <v>45921</v>
      </c>
      <c r="D760" s="1" t="str">
        <f xml:space="preserve"> TEXT(FilmaxData[[#This Row],[Show_Date]],"MMM")</f>
        <v>Sep</v>
      </c>
      <c r="E760" s="1" t="str">
        <f xml:space="preserve"> TEXT(FilmaxData[[#This Row],[Show_Date]],"DDD")</f>
        <v>Sun</v>
      </c>
      <c r="F760" t="s">
        <v>11</v>
      </c>
      <c r="G760" t="s">
        <v>22</v>
      </c>
      <c r="H760">
        <v>2</v>
      </c>
      <c r="I760">
        <v>20</v>
      </c>
      <c r="J760" t="s">
        <v>21</v>
      </c>
      <c r="K760" t="s">
        <v>27</v>
      </c>
      <c r="L760">
        <v>40</v>
      </c>
    </row>
    <row r="761" spans="1:12" x14ac:dyDescent="0.3">
      <c r="A761">
        <v>71</v>
      </c>
      <c r="B761" t="s">
        <v>26</v>
      </c>
      <c r="C761" s="1">
        <v>45878</v>
      </c>
      <c r="D761" s="1" t="str">
        <f xml:space="preserve"> TEXT(FilmaxData[[#This Row],[Show_Date]],"MMM")</f>
        <v>Aug</v>
      </c>
      <c r="E761" s="1" t="str">
        <f xml:space="preserve"> TEXT(FilmaxData[[#This Row],[Show_Date]],"DDD")</f>
        <v>Sat</v>
      </c>
      <c r="F761" t="s">
        <v>11</v>
      </c>
      <c r="G761" t="s">
        <v>30</v>
      </c>
      <c r="H761">
        <v>2</v>
      </c>
      <c r="I761">
        <v>8</v>
      </c>
      <c r="J761" t="s">
        <v>13</v>
      </c>
      <c r="K761" t="s">
        <v>14</v>
      </c>
      <c r="L761">
        <v>16</v>
      </c>
    </row>
    <row r="762" spans="1:12" x14ac:dyDescent="0.3">
      <c r="A762">
        <v>1040</v>
      </c>
      <c r="B762" t="s">
        <v>32</v>
      </c>
      <c r="C762" s="1">
        <v>45847</v>
      </c>
      <c r="D762" s="1" t="str">
        <f xml:space="preserve"> TEXT(FilmaxData[[#This Row],[Show_Date]],"MMM")</f>
        <v>Jul</v>
      </c>
      <c r="E762" s="1" t="str">
        <f xml:space="preserve"> TEXT(FilmaxData[[#This Row],[Show_Date]],"DDD")</f>
        <v>Wed</v>
      </c>
      <c r="F762" t="s">
        <v>11</v>
      </c>
      <c r="G762" t="s">
        <v>12</v>
      </c>
      <c r="H762">
        <v>1</v>
      </c>
      <c r="I762">
        <v>25</v>
      </c>
      <c r="J762" t="s">
        <v>13</v>
      </c>
      <c r="K762" t="s">
        <v>27</v>
      </c>
      <c r="L762">
        <v>25</v>
      </c>
    </row>
    <row r="763" spans="1:12" x14ac:dyDescent="0.3">
      <c r="A763">
        <v>456</v>
      </c>
      <c r="B763" t="s">
        <v>32</v>
      </c>
      <c r="C763" s="1">
        <v>45886</v>
      </c>
      <c r="D763" s="1" t="str">
        <f xml:space="preserve"> TEXT(FilmaxData[[#This Row],[Show_Date]],"MMM")</f>
        <v>Aug</v>
      </c>
      <c r="E763" s="1" t="str">
        <f xml:space="preserve"> TEXT(FilmaxData[[#This Row],[Show_Date]],"DDD")</f>
        <v>Sun</v>
      </c>
      <c r="F763" t="s">
        <v>11</v>
      </c>
      <c r="G763" t="s">
        <v>17</v>
      </c>
      <c r="H763">
        <v>1</v>
      </c>
      <c r="I763">
        <v>12</v>
      </c>
      <c r="J763" t="s">
        <v>21</v>
      </c>
      <c r="K763" t="s">
        <v>25</v>
      </c>
      <c r="L763">
        <v>12</v>
      </c>
    </row>
    <row r="764" spans="1:12" x14ac:dyDescent="0.3">
      <c r="A764">
        <v>843</v>
      </c>
      <c r="B764" t="s">
        <v>24</v>
      </c>
      <c r="C764" s="1">
        <v>45906</v>
      </c>
      <c r="D764" s="1" t="str">
        <f xml:space="preserve"> TEXT(FilmaxData[[#This Row],[Show_Date]],"MMM")</f>
        <v>Sep</v>
      </c>
      <c r="E764" s="1" t="str">
        <f xml:space="preserve"> TEXT(FilmaxData[[#This Row],[Show_Date]],"DDD")</f>
        <v>Sat</v>
      </c>
      <c r="F764" t="s">
        <v>11</v>
      </c>
      <c r="G764" t="s">
        <v>29</v>
      </c>
      <c r="H764">
        <v>4</v>
      </c>
      <c r="I764">
        <v>30</v>
      </c>
      <c r="J764" t="s">
        <v>13</v>
      </c>
      <c r="K764" t="s">
        <v>14</v>
      </c>
      <c r="L764">
        <v>120</v>
      </c>
    </row>
    <row r="765" spans="1:12" x14ac:dyDescent="0.3">
      <c r="A765">
        <v>200</v>
      </c>
      <c r="B765" t="s">
        <v>32</v>
      </c>
      <c r="C765" s="1">
        <v>45880</v>
      </c>
      <c r="D765" s="1" t="str">
        <f xml:space="preserve"> TEXT(FilmaxData[[#This Row],[Show_Date]],"MMM")</f>
        <v>Aug</v>
      </c>
      <c r="E765" s="1" t="str">
        <f xml:space="preserve"> TEXT(FilmaxData[[#This Row],[Show_Date]],"DDD")</f>
        <v>Mon</v>
      </c>
      <c r="F765" t="s">
        <v>11</v>
      </c>
      <c r="G765" t="s">
        <v>17</v>
      </c>
      <c r="H765">
        <v>3</v>
      </c>
      <c r="I765">
        <v>12</v>
      </c>
      <c r="J765" t="s">
        <v>21</v>
      </c>
      <c r="K765" t="s">
        <v>14</v>
      </c>
      <c r="L765">
        <v>36</v>
      </c>
    </row>
    <row r="766" spans="1:12" x14ac:dyDescent="0.3">
      <c r="A766">
        <v>1840</v>
      </c>
      <c r="B766" t="s">
        <v>24</v>
      </c>
      <c r="C766" s="1">
        <v>45880</v>
      </c>
      <c r="D766" s="1" t="str">
        <f xml:space="preserve"> TEXT(FilmaxData[[#This Row],[Show_Date]],"MMM")</f>
        <v>Aug</v>
      </c>
      <c r="E766" s="1" t="str">
        <f xml:space="preserve"> TEXT(FilmaxData[[#This Row],[Show_Date]],"DDD")</f>
        <v>Mon</v>
      </c>
      <c r="F766" t="s">
        <v>11</v>
      </c>
      <c r="G766" t="s">
        <v>30</v>
      </c>
      <c r="H766">
        <v>4</v>
      </c>
      <c r="I766">
        <v>8</v>
      </c>
      <c r="J766" t="s">
        <v>13</v>
      </c>
      <c r="K766" t="s">
        <v>18</v>
      </c>
      <c r="L766">
        <v>32</v>
      </c>
    </row>
    <row r="767" spans="1:12" x14ac:dyDescent="0.3">
      <c r="A767">
        <v>1060</v>
      </c>
      <c r="B767" t="s">
        <v>31</v>
      </c>
      <c r="C767" s="1">
        <v>45899</v>
      </c>
      <c r="D767" s="1" t="str">
        <f xml:space="preserve"> TEXT(FilmaxData[[#This Row],[Show_Date]],"MMM")</f>
        <v>Aug</v>
      </c>
      <c r="E767" s="1" t="str">
        <f xml:space="preserve"> TEXT(FilmaxData[[#This Row],[Show_Date]],"DDD")</f>
        <v>Sat</v>
      </c>
      <c r="F767" t="s">
        <v>11</v>
      </c>
      <c r="G767" t="s">
        <v>29</v>
      </c>
      <c r="H767">
        <v>5</v>
      </c>
      <c r="I767">
        <v>30</v>
      </c>
      <c r="J767" t="s">
        <v>23</v>
      </c>
      <c r="K767" t="s">
        <v>25</v>
      </c>
      <c r="L767">
        <v>150</v>
      </c>
    </row>
    <row r="768" spans="1:12" x14ac:dyDescent="0.3">
      <c r="A768">
        <v>188</v>
      </c>
      <c r="B768" t="s">
        <v>28</v>
      </c>
      <c r="C768" s="1">
        <v>45871</v>
      </c>
      <c r="D768" s="1" t="str">
        <f xml:space="preserve"> TEXT(FilmaxData[[#This Row],[Show_Date]],"MMM")</f>
        <v>Aug</v>
      </c>
      <c r="E768" s="1" t="str">
        <f xml:space="preserve"> TEXT(FilmaxData[[#This Row],[Show_Date]],"DDD")</f>
        <v>Sat</v>
      </c>
      <c r="F768" t="s">
        <v>11</v>
      </c>
      <c r="G768" t="s">
        <v>30</v>
      </c>
      <c r="H768">
        <v>4</v>
      </c>
      <c r="I768">
        <v>8</v>
      </c>
      <c r="J768" t="s">
        <v>13</v>
      </c>
      <c r="K768" t="s">
        <v>25</v>
      </c>
      <c r="L768">
        <v>32</v>
      </c>
    </row>
    <row r="769" spans="1:12" x14ac:dyDescent="0.3">
      <c r="A769">
        <v>769</v>
      </c>
      <c r="B769" t="s">
        <v>31</v>
      </c>
      <c r="C769" s="1">
        <v>45850</v>
      </c>
      <c r="D769" s="1" t="str">
        <f xml:space="preserve"> TEXT(FilmaxData[[#This Row],[Show_Date]],"MMM")</f>
        <v>Jul</v>
      </c>
      <c r="E769" s="1" t="str">
        <f xml:space="preserve"> TEXT(FilmaxData[[#This Row],[Show_Date]],"DDD")</f>
        <v>Sat</v>
      </c>
      <c r="F769" t="s">
        <v>11</v>
      </c>
      <c r="G769" t="s">
        <v>12</v>
      </c>
      <c r="H769">
        <v>1</v>
      </c>
      <c r="I769">
        <v>25</v>
      </c>
      <c r="J769" t="s">
        <v>21</v>
      </c>
      <c r="K769" t="s">
        <v>27</v>
      </c>
      <c r="L769">
        <v>25</v>
      </c>
    </row>
    <row r="770" spans="1:12" x14ac:dyDescent="0.3">
      <c r="A770">
        <v>1337</v>
      </c>
      <c r="B770" t="s">
        <v>32</v>
      </c>
      <c r="C770" s="1">
        <v>45890</v>
      </c>
      <c r="D770" s="1" t="str">
        <f xml:space="preserve"> TEXT(FilmaxData[[#This Row],[Show_Date]],"MMM")</f>
        <v>Aug</v>
      </c>
      <c r="E770" s="1" t="str">
        <f xml:space="preserve"> TEXT(FilmaxData[[#This Row],[Show_Date]],"DDD")</f>
        <v>Thu</v>
      </c>
      <c r="F770" t="s">
        <v>11</v>
      </c>
      <c r="G770" t="s">
        <v>29</v>
      </c>
      <c r="H770">
        <v>2</v>
      </c>
      <c r="I770">
        <v>30</v>
      </c>
      <c r="J770" t="s">
        <v>21</v>
      </c>
      <c r="K770" t="s">
        <v>27</v>
      </c>
      <c r="L770">
        <v>60</v>
      </c>
    </row>
    <row r="771" spans="1:12" x14ac:dyDescent="0.3">
      <c r="A771">
        <v>1889</v>
      </c>
      <c r="B771" t="s">
        <v>28</v>
      </c>
      <c r="C771" s="1">
        <v>45866</v>
      </c>
      <c r="D771" s="1" t="str">
        <f xml:space="preserve"> TEXT(FilmaxData[[#This Row],[Show_Date]],"MMM")</f>
        <v>Jul</v>
      </c>
      <c r="E771" s="1" t="str">
        <f xml:space="preserve"> TEXT(FilmaxData[[#This Row],[Show_Date]],"DDD")</f>
        <v>Mon</v>
      </c>
      <c r="F771" t="s">
        <v>11</v>
      </c>
      <c r="G771" t="s">
        <v>12</v>
      </c>
      <c r="H771">
        <v>3</v>
      </c>
      <c r="I771">
        <v>25</v>
      </c>
      <c r="J771" t="s">
        <v>13</v>
      </c>
      <c r="K771" t="s">
        <v>14</v>
      </c>
      <c r="L771">
        <v>75</v>
      </c>
    </row>
    <row r="772" spans="1:12" x14ac:dyDescent="0.3">
      <c r="A772">
        <v>1454</v>
      </c>
      <c r="B772" t="s">
        <v>32</v>
      </c>
      <c r="C772" s="1">
        <v>45850</v>
      </c>
      <c r="D772" s="1" t="str">
        <f xml:space="preserve"> TEXT(FilmaxData[[#This Row],[Show_Date]],"MMM")</f>
        <v>Jul</v>
      </c>
      <c r="E772" s="1" t="str">
        <f xml:space="preserve"> TEXT(FilmaxData[[#This Row],[Show_Date]],"DDD")</f>
        <v>Sat</v>
      </c>
      <c r="F772" t="s">
        <v>11</v>
      </c>
      <c r="G772" t="s">
        <v>17</v>
      </c>
      <c r="H772">
        <v>5</v>
      </c>
      <c r="I772">
        <v>12</v>
      </c>
      <c r="J772" t="s">
        <v>13</v>
      </c>
      <c r="K772" t="s">
        <v>18</v>
      </c>
      <c r="L772">
        <v>60</v>
      </c>
    </row>
    <row r="773" spans="1:12" x14ac:dyDescent="0.3">
      <c r="A773">
        <v>524</v>
      </c>
      <c r="B773" t="s">
        <v>28</v>
      </c>
      <c r="C773" s="1">
        <v>45911</v>
      </c>
      <c r="D773" s="1" t="str">
        <f xml:space="preserve"> TEXT(FilmaxData[[#This Row],[Show_Date]],"MMM")</f>
        <v>Sep</v>
      </c>
      <c r="E773" s="1" t="str">
        <f xml:space="preserve"> TEXT(FilmaxData[[#This Row],[Show_Date]],"DDD")</f>
        <v>Thu</v>
      </c>
      <c r="F773" t="s">
        <v>11</v>
      </c>
      <c r="G773" t="s">
        <v>17</v>
      </c>
      <c r="H773">
        <v>4</v>
      </c>
      <c r="I773">
        <v>12</v>
      </c>
      <c r="J773" t="s">
        <v>23</v>
      </c>
      <c r="K773" t="s">
        <v>18</v>
      </c>
      <c r="L773">
        <v>48</v>
      </c>
    </row>
    <row r="774" spans="1:12" x14ac:dyDescent="0.3">
      <c r="A774">
        <v>684</v>
      </c>
      <c r="B774" t="s">
        <v>31</v>
      </c>
      <c r="C774" s="1">
        <v>45890</v>
      </c>
      <c r="D774" s="1" t="str">
        <f xml:space="preserve"> TEXT(FilmaxData[[#This Row],[Show_Date]],"MMM")</f>
        <v>Aug</v>
      </c>
      <c r="E774" s="1" t="str">
        <f xml:space="preserve"> TEXT(FilmaxData[[#This Row],[Show_Date]],"DDD")</f>
        <v>Thu</v>
      </c>
      <c r="F774" t="s">
        <v>11</v>
      </c>
      <c r="G774" t="s">
        <v>17</v>
      </c>
      <c r="H774">
        <v>3</v>
      </c>
      <c r="I774">
        <v>12</v>
      </c>
      <c r="J774" t="s">
        <v>21</v>
      </c>
      <c r="K774" t="s">
        <v>25</v>
      </c>
      <c r="L774">
        <v>36</v>
      </c>
    </row>
    <row r="775" spans="1:12" x14ac:dyDescent="0.3">
      <c r="A775">
        <v>1632</v>
      </c>
      <c r="B775" t="s">
        <v>32</v>
      </c>
      <c r="C775" s="1">
        <v>45875</v>
      </c>
      <c r="D775" s="1" t="str">
        <f xml:space="preserve"> TEXT(FilmaxData[[#This Row],[Show_Date]],"MMM")</f>
        <v>Aug</v>
      </c>
      <c r="E775" s="1" t="str">
        <f xml:space="preserve"> TEXT(FilmaxData[[#This Row],[Show_Date]],"DDD")</f>
        <v>Wed</v>
      </c>
      <c r="F775" t="s">
        <v>11</v>
      </c>
      <c r="G775" t="s">
        <v>17</v>
      </c>
      <c r="H775">
        <v>5</v>
      </c>
      <c r="I775">
        <v>12</v>
      </c>
      <c r="J775" t="s">
        <v>13</v>
      </c>
      <c r="K775" t="s">
        <v>25</v>
      </c>
      <c r="L775">
        <v>60</v>
      </c>
    </row>
    <row r="776" spans="1:12" x14ac:dyDescent="0.3">
      <c r="A776">
        <v>286</v>
      </c>
      <c r="B776" t="s">
        <v>32</v>
      </c>
      <c r="C776" s="1">
        <v>45915</v>
      </c>
      <c r="D776" s="1" t="str">
        <f xml:space="preserve"> TEXT(FilmaxData[[#This Row],[Show_Date]],"MMM")</f>
        <v>Sep</v>
      </c>
      <c r="E776" s="1" t="str">
        <f xml:space="preserve"> TEXT(FilmaxData[[#This Row],[Show_Date]],"DDD")</f>
        <v>Mon</v>
      </c>
      <c r="F776" t="s">
        <v>11</v>
      </c>
      <c r="G776" t="s">
        <v>17</v>
      </c>
      <c r="H776">
        <v>3</v>
      </c>
      <c r="I776">
        <v>12</v>
      </c>
      <c r="J776" t="s">
        <v>23</v>
      </c>
      <c r="K776" t="s">
        <v>14</v>
      </c>
      <c r="L776">
        <v>36</v>
      </c>
    </row>
    <row r="777" spans="1:12" x14ac:dyDescent="0.3">
      <c r="A777">
        <v>1424</v>
      </c>
      <c r="B777" t="s">
        <v>28</v>
      </c>
      <c r="C777" s="1">
        <v>45925</v>
      </c>
      <c r="D777" s="1" t="str">
        <f xml:space="preserve"> TEXT(FilmaxData[[#This Row],[Show_Date]],"MMM")</f>
        <v>Sep</v>
      </c>
      <c r="E777" s="1" t="str">
        <f xml:space="preserve"> TEXT(FilmaxData[[#This Row],[Show_Date]],"DDD")</f>
        <v>Thu</v>
      </c>
      <c r="F777" t="s">
        <v>11</v>
      </c>
      <c r="G777" t="s">
        <v>17</v>
      </c>
      <c r="H777">
        <v>4</v>
      </c>
      <c r="I777">
        <v>12</v>
      </c>
      <c r="J777" t="s">
        <v>23</v>
      </c>
      <c r="K777" t="s">
        <v>14</v>
      </c>
      <c r="L777">
        <v>48</v>
      </c>
    </row>
    <row r="778" spans="1:12" x14ac:dyDescent="0.3">
      <c r="A778">
        <v>1685</v>
      </c>
      <c r="B778" t="s">
        <v>28</v>
      </c>
      <c r="C778" s="1">
        <v>45922</v>
      </c>
      <c r="D778" s="1" t="str">
        <f xml:space="preserve"> TEXT(FilmaxData[[#This Row],[Show_Date]],"MMM")</f>
        <v>Sep</v>
      </c>
      <c r="E778" s="1" t="str">
        <f xml:space="preserve"> TEXT(FilmaxData[[#This Row],[Show_Date]],"DDD")</f>
        <v>Mon</v>
      </c>
      <c r="F778" t="s">
        <v>11</v>
      </c>
      <c r="G778" t="s">
        <v>30</v>
      </c>
      <c r="H778">
        <v>3</v>
      </c>
      <c r="I778">
        <v>8</v>
      </c>
      <c r="J778" t="s">
        <v>13</v>
      </c>
      <c r="K778" t="s">
        <v>14</v>
      </c>
      <c r="L778">
        <v>24</v>
      </c>
    </row>
    <row r="779" spans="1:12" x14ac:dyDescent="0.3">
      <c r="A779">
        <v>1311</v>
      </c>
      <c r="B779" t="s">
        <v>32</v>
      </c>
      <c r="C779" s="1">
        <v>45882</v>
      </c>
      <c r="D779" s="1" t="str">
        <f xml:space="preserve"> TEXT(FilmaxData[[#This Row],[Show_Date]],"MMM")</f>
        <v>Aug</v>
      </c>
      <c r="E779" s="1" t="str">
        <f xml:space="preserve"> TEXT(FilmaxData[[#This Row],[Show_Date]],"DDD")</f>
        <v>Wed</v>
      </c>
      <c r="F779" t="s">
        <v>11</v>
      </c>
      <c r="G779" t="s">
        <v>30</v>
      </c>
      <c r="H779">
        <v>5</v>
      </c>
      <c r="I779">
        <v>8</v>
      </c>
      <c r="J779" t="s">
        <v>23</v>
      </c>
      <c r="K779" t="s">
        <v>18</v>
      </c>
      <c r="L779">
        <v>40</v>
      </c>
    </row>
    <row r="780" spans="1:12" x14ac:dyDescent="0.3">
      <c r="A780">
        <v>1270</v>
      </c>
      <c r="B780" t="s">
        <v>26</v>
      </c>
      <c r="C780" s="1">
        <v>45909</v>
      </c>
      <c r="D780" s="1" t="str">
        <f xml:space="preserve"> TEXT(FilmaxData[[#This Row],[Show_Date]],"MMM")</f>
        <v>Sep</v>
      </c>
      <c r="E780" s="1" t="str">
        <f xml:space="preserve"> TEXT(FilmaxData[[#This Row],[Show_Date]],"DDD")</f>
        <v>Tue</v>
      </c>
      <c r="F780" t="s">
        <v>11</v>
      </c>
      <c r="G780" t="s">
        <v>30</v>
      </c>
      <c r="H780">
        <v>5</v>
      </c>
      <c r="I780">
        <v>8</v>
      </c>
      <c r="J780" t="s">
        <v>13</v>
      </c>
      <c r="K780" t="s">
        <v>14</v>
      </c>
      <c r="L780">
        <v>40</v>
      </c>
    </row>
    <row r="781" spans="1:12" x14ac:dyDescent="0.3">
      <c r="A781">
        <v>1473</v>
      </c>
      <c r="B781" t="s">
        <v>24</v>
      </c>
      <c r="C781" s="1">
        <v>45879</v>
      </c>
      <c r="D781" s="1" t="str">
        <f xml:space="preserve"> TEXT(FilmaxData[[#This Row],[Show_Date]],"MMM")</f>
        <v>Aug</v>
      </c>
      <c r="E781" s="1" t="str">
        <f xml:space="preserve"> TEXT(FilmaxData[[#This Row],[Show_Date]],"DDD")</f>
        <v>Sun</v>
      </c>
      <c r="F781" t="s">
        <v>11</v>
      </c>
      <c r="G781" t="s">
        <v>12</v>
      </c>
      <c r="H781">
        <v>1</v>
      </c>
      <c r="I781">
        <v>25</v>
      </c>
      <c r="J781" t="s">
        <v>23</v>
      </c>
      <c r="K781" t="s">
        <v>14</v>
      </c>
      <c r="L781">
        <v>25</v>
      </c>
    </row>
    <row r="782" spans="1:12" x14ac:dyDescent="0.3">
      <c r="A782">
        <v>1958</v>
      </c>
      <c r="B782" t="s">
        <v>32</v>
      </c>
      <c r="C782" s="1">
        <v>45855</v>
      </c>
      <c r="D782" s="1" t="str">
        <f xml:space="preserve"> TEXT(FilmaxData[[#This Row],[Show_Date]],"MMM")</f>
        <v>Jul</v>
      </c>
      <c r="E782" s="1" t="str">
        <f xml:space="preserve"> TEXT(FilmaxData[[#This Row],[Show_Date]],"DDD")</f>
        <v>Thu</v>
      </c>
      <c r="F782" t="s">
        <v>11</v>
      </c>
      <c r="G782" t="s">
        <v>17</v>
      </c>
      <c r="H782">
        <v>3</v>
      </c>
      <c r="I782">
        <v>12</v>
      </c>
      <c r="J782" t="s">
        <v>21</v>
      </c>
      <c r="K782" t="s">
        <v>25</v>
      </c>
      <c r="L782">
        <v>36</v>
      </c>
    </row>
    <row r="783" spans="1:12" x14ac:dyDescent="0.3">
      <c r="A783">
        <v>545</v>
      </c>
      <c r="B783" t="s">
        <v>24</v>
      </c>
      <c r="C783" s="1">
        <v>45921</v>
      </c>
      <c r="D783" s="1" t="str">
        <f xml:space="preserve"> TEXT(FilmaxData[[#This Row],[Show_Date]],"MMM")</f>
        <v>Sep</v>
      </c>
      <c r="E783" s="1" t="str">
        <f xml:space="preserve"> TEXT(FilmaxData[[#This Row],[Show_Date]],"DDD")</f>
        <v>Sun</v>
      </c>
      <c r="F783" t="s">
        <v>11</v>
      </c>
      <c r="G783" t="s">
        <v>17</v>
      </c>
      <c r="H783">
        <v>2</v>
      </c>
      <c r="I783">
        <v>12</v>
      </c>
      <c r="J783" t="s">
        <v>21</v>
      </c>
      <c r="K783" t="s">
        <v>18</v>
      </c>
      <c r="L783">
        <v>24</v>
      </c>
    </row>
    <row r="784" spans="1:12" x14ac:dyDescent="0.3">
      <c r="A784">
        <v>807</v>
      </c>
      <c r="B784" t="s">
        <v>19</v>
      </c>
      <c r="C784" s="1">
        <v>45863</v>
      </c>
      <c r="D784" s="1" t="str">
        <f xml:space="preserve"> TEXT(FilmaxData[[#This Row],[Show_Date]],"MMM")</f>
        <v>Jul</v>
      </c>
      <c r="E784" s="1" t="str">
        <f xml:space="preserve"> TEXT(FilmaxData[[#This Row],[Show_Date]],"DDD")</f>
        <v>Fri</v>
      </c>
      <c r="F784" t="s">
        <v>11</v>
      </c>
      <c r="G784" t="s">
        <v>30</v>
      </c>
      <c r="H784">
        <v>3</v>
      </c>
      <c r="I784">
        <v>8</v>
      </c>
      <c r="J784" t="s">
        <v>23</v>
      </c>
      <c r="K784" t="s">
        <v>14</v>
      </c>
      <c r="L784">
        <v>24</v>
      </c>
    </row>
    <row r="785" spans="1:12" x14ac:dyDescent="0.3">
      <c r="A785">
        <v>117</v>
      </c>
      <c r="B785" t="s">
        <v>24</v>
      </c>
      <c r="C785" s="1">
        <v>45928</v>
      </c>
      <c r="D785" s="1" t="str">
        <f xml:space="preserve"> TEXT(FilmaxData[[#This Row],[Show_Date]],"MMM")</f>
        <v>Sep</v>
      </c>
      <c r="E785" s="1" t="str">
        <f xml:space="preserve"> TEXT(FilmaxData[[#This Row],[Show_Date]],"DDD")</f>
        <v>Sun</v>
      </c>
      <c r="F785" t="s">
        <v>11</v>
      </c>
      <c r="G785" t="s">
        <v>17</v>
      </c>
      <c r="H785">
        <v>2</v>
      </c>
      <c r="I785">
        <v>12</v>
      </c>
      <c r="J785" t="s">
        <v>21</v>
      </c>
      <c r="K785" t="s">
        <v>18</v>
      </c>
      <c r="L785">
        <v>24</v>
      </c>
    </row>
    <row r="786" spans="1:12" x14ac:dyDescent="0.3">
      <c r="A786">
        <v>560</v>
      </c>
      <c r="B786" t="s">
        <v>10</v>
      </c>
      <c r="C786" s="1">
        <v>45903</v>
      </c>
      <c r="D786" s="1" t="str">
        <f xml:space="preserve"> TEXT(FilmaxData[[#This Row],[Show_Date]],"MMM")</f>
        <v>Sep</v>
      </c>
      <c r="E786" s="1" t="str">
        <f xml:space="preserve"> TEXT(FilmaxData[[#This Row],[Show_Date]],"DDD")</f>
        <v>Wed</v>
      </c>
      <c r="F786" t="s">
        <v>11</v>
      </c>
      <c r="G786" t="s">
        <v>12</v>
      </c>
      <c r="H786">
        <v>1</v>
      </c>
      <c r="I786">
        <v>25</v>
      </c>
      <c r="J786" t="s">
        <v>21</v>
      </c>
      <c r="K786" t="s">
        <v>25</v>
      </c>
      <c r="L786">
        <v>25</v>
      </c>
    </row>
    <row r="787" spans="1:12" x14ac:dyDescent="0.3">
      <c r="A787">
        <v>1644</v>
      </c>
      <c r="B787" t="s">
        <v>26</v>
      </c>
      <c r="C787" s="1">
        <v>45874</v>
      </c>
      <c r="D787" s="1" t="str">
        <f xml:space="preserve"> TEXT(FilmaxData[[#This Row],[Show_Date]],"MMM")</f>
        <v>Aug</v>
      </c>
      <c r="E787" s="1" t="str">
        <f xml:space="preserve"> TEXT(FilmaxData[[#This Row],[Show_Date]],"DDD")</f>
        <v>Tue</v>
      </c>
      <c r="F787" t="s">
        <v>11</v>
      </c>
      <c r="G787" t="s">
        <v>17</v>
      </c>
      <c r="H787">
        <v>4</v>
      </c>
      <c r="I787">
        <v>12</v>
      </c>
      <c r="J787" t="s">
        <v>23</v>
      </c>
      <c r="K787" t="s">
        <v>25</v>
      </c>
      <c r="L787">
        <v>48</v>
      </c>
    </row>
    <row r="788" spans="1:12" x14ac:dyDescent="0.3">
      <c r="A788">
        <v>1282</v>
      </c>
      <c r="B788" t="s">
        <v>28</v>
      </c>
      <c r="C788" s="1">
        <v>45864</v>
      </c>
      <c r="D788" s="1" t="str">
        <f xml:space="preserve"> TEXT(FilmaxData[[#This Row],[Show_Date]],"MMM")</f>
        <v>Jul</v>
      </c>
      <c r="E788" s="1" t="str">
        <f xml:space="preserve"> TEXT(FilmaxData[[#This Row],[Show_Date]],"DDD")</f>
        <v>Sat</v>
      </c>
      <c r="F788" t="s">
        <v>11</v>
      </c>
      <c r="G788" t="s">
        <v>17</v>
      </c>
      <c r="H788">
        <v>3</v>
      </c>
      <c r="I788">
        <v>12</v>
      </c>
      <c r="J788" t="s">
        <v>23</v>
      </c>
      <c r="K788" t="s">
        <v>27</v>
      </c>
      <c r="L788">
        <v>36</v>
      </c>
    </row>
    <row r="789" spans="1:12" x14ac:dyDescent="0.3">
      <c r="A789">
        <v>1057</v>
      </c>
      <c r="B789" t="s">
        <v>19</v>
      </c>
      <c r="C789" s="1">
        <v>45884</v>
      </c>
      <c r="D789" s="1" t="str">
        <f xml:space="preserve"> TEXT(FilmaxData[[#This Row],[Show_Date]],"MMM")</f>
        <v>Aug</v>
      </c>
      <c r="E789" s="1" t="str">
        <f xml:space="preserve"> TEXT(FilmaxData[[#This Row],[Show_Date]],"DDD")</f>
        <v>Fri</v>
      </c>
      <c r="F789" t="s">
        <v>11</v>
      </c>
      <c r="G789" t="s">
        <v>12</v>
      </c>
      <c r="H789">
        <v>2</v>
      </c>
      <c r="I789">
        <v>25</v>
      </c>
      <c r="J789" t="s">
        <v>13</v>
      </c>
      <c r="K789" t="s">
        <v>25</v>
      </c>
      <c r="L789">
        <v>50</v>
      </c>
    </row>
    <row r="790" spans="1:12" x14ac:dyDescent="0.3">
      <c r="A790">
        <v>364</v>
      </c>
      <c r="B790" t="s">
        <v>26</v>
      </c>
      <c r="C790" s="1">
        <v>45900</v>
      </c>
      <c r="D790" s="1" t="str">
        <f xml:space="preserve"> TEXT(FilmaxData[[#This Row],[Show_Date]],"MMM")</f>
        <v>Aug</v>
      </c>
      <c r="E790" s="1" t="str">
        <f xml:space="preserve"> TEXT(FilmaxData[[#This Row],[Show_Date]],"DDD")</f>
        <v>Sun</v>
      </c>
      <c r="F790" t="s">
        <v>11</v>
      </c>
      <c r="G790" t="s">
        <v>17</v>
      </c>
      <c r="H790">
        <v>2</v>
      </c>
      <c r="I790">
        <v>12</v>
      </c>
      <c r="J790" t="s">
        <v>13</v>
      </c>
      <c r="K790" t="s">
        <v>25</v>
      </c>
      <c r="L790">
        <v>24</v>
      </c>
    </row>
    <row r="791" spans="1:12" x14ac:dyDescent="0.3">
      <c r="A791">
        <v>738</v>
      </c>
      <c r="B791" t="s">
        <v>15</v>
      </c>
      <c r="C791" s="1">
        <v>45864</v>
      </c>
      <c r="D791" s="1" t="str">
        <f xml:space="preserve"> TEXT(FilmaxData[[#This Row],[Show_Date]],"MMM")</f>
        <v>Jul</v>
      </c>
      <c r="E791" s="1" t="str">
        <f xml:space="preserve"> TEXT(FilmaxData[[#This Row],[Show_Date]],"DDD")</f>
        <v>Sat</v>
      </c>
      <c r="F791" t="s">
        <v>11</v>
      </c>
      <c r="G791" t="s">
        <v>12</v>
      </c>
      <c r="H791">
        <v>2</v>
      </c>
      <c r="I791">
        <v>25</v>
      </c>
      <c r="J791" t="s">
        <v>21</v>
      </c>
      <c r="K791" t="s">
        <v>27</v>
      </c>
      <c r="L791">
        <v>50</v>
      </c>
    </row>
    <row r="792" spans="1:12" x14ac:dyDescent="0.3">
      <c r="A792">
        <v>613</v>
      </c>
      <c r="B792" t="s">
        <v>31</v>
      </c>
      <c r="C792" s="1">
        <v>45922</v>
      </c>
      <c r="D792" s="1" t="str">
        <f xml:space="preserve"> TEXT(FilmaxData[[#This Row],[Show_Date]],"MMM")</f>
        <v>Sep</v>
      </c>
      <c r="E792" s="1" t="str">
        <f xml:space="preserve"> TEXT(FilmaxData[[#This Row],[Show_Date]],"DDD")</f>
        <v>Mon</v>
      </c>
      <c r="F792" t="s">
        <v>11</v>
      </c>
      <c r="G792" t="s">
        <v>17</v>
      </c>
      <c r="H792">
        <v>4</v>
      </c>
      <c r="I792">
        <v>12</v>
      </c>
      <c r="J792" t="s">
        <v>21</v>
      </c>
      <c r="K792" t="s">
        <v>25</v>
      </c>
      <c r="L792">
        <v>48</v>
      </c>
    </row>
    <row r="793" spans="1:12" x14ac:dyDescent="0.3">
      <c r="A793">
        <v>424</v>
      </c>
      <c r="B793" t="s">
        <v>32</v>
      </c>
      <c r="C793" s="1">
        <v>45854</v>
      </c>
      <c r="D793" s="1" t="str">
        <f xml:space="preserve"> TEXT(FilmaxData[[#This Row],[Show_Date]],"MMM")</f>
        <v>Jul</v>
      </c>
      <c r="E793" s="1" t="str">
        <f xml:space="preserve"> TEXT(FilmaxData[[#This Row],[Show_Date]],"DDD")</f>
        <v>Wed</v>
      </c>
      <c r="F793" t="s">
        <v>11</v>
      </c>
      <c r="G793" t="s">
        <v>17</v>
      </c>
      <c r="H793">
        <v>4</v>
      </c>
      <c r="I793">
        <v>12</v>
      </c>
      <c r="J793" t="s">
        <v>13</v>
      </c>
      <c r="K793" t="s">
        <v>14</v>
      </c>
      <c r="L793">
        <v>48</v>
      </c>
    </row>
    <row r="794" spans="1:12" x14ac:dyDescent="0.3">
      <c r="A794">
        <v>1507</v>
      </c>
      <c r="B794" t="s">
        <v>19</v>
      </c>
      <c r="C794" s="1">
        <v>45921</v>
      </c>
      <c r="D794" s="1" t="str">
        <f xml:space="preserve"> TEXT(FilmaxData[[#This Row],[Show_Date]],"MMM")</f>
        <v>Sep</v>
      </c>
      <c r="E794" s="1" t="str">
        <f xml:space="preserve"> TEXT(FilmaxData[[#This Row],[Show_Date]],"DDD")</f>
        <v>Sun</v>
      </c>
      <c r="F794" t="s">
        <v>11</v>
      </c>
      <c r="G794" t="s">
        <v>29</v>
      </c>
      <c r="H794">
        <v>4</v>
      </c>
      <c r="I794">
        <v>30</v>
      </c>
      <c r="J794" t="s">
        <v>21</v>
      </c>
      <c r="K794" t="s">
        <v>14</v>
      </c>
      <c r="L794">
        <v>120</v>
      </c>
    </row>
    <row r="795" spans="1:12" x14ac:dyDescent="0.3">
      <c r="A795">
        <v>1842</v>
      </c>
      <c r="B795" t="s">
        <v>10</v>
      </c>
      <c r="C795" s="1">
        <v>45926</v>
      </c>
      <c r="D795" s="1" t="str">
        <f xml:space="preserve"> TEXT(FilmaxData[[#This Row],[Show_Date]],"MMM")</f>
        <v>Sep</v>
      </c>
      <c r="E795" s="1" t="str">
        <f xml:space="preserve"> TEXT(FilmaxData[[#This Row],[Show_Date]],"DDD")</f>
        <v>Fri</v>
      </c>
      <c r="F795" t="s">
        <v>11</v>
      </c>
      <c r="G795" t="s">
        <v>17</v>
      </c>
      <c r="H795">
        <v>3</v>
      </c>
      <c r="I795">
        <v>12</v>
      </c>
      <c r="J795" t="s">
        <v>23</v>
      </c>
      <c r="K795" t="s">
        <v>25</v>
      </c>
      <c r="L795">
        <v>36</v>
      </c>
    </row>
    <row r="796" spans="1:12" x14ac:dyDescent="0.3">
      <c r="A796">
        <v>335</v>
      </c>
      <c r="B796" t="s">
        <v>10</v>
      </c>
      <c r="C796" s="1">
        <v>45870</v>
      </c>
      <c r="D796" s="1" t="str">
        <f xml:space="preserve"> TEXT(FilmaxData[[#This Row],[Show_Date]],"MMM")</f>
        <v>Aug</v>
      </c>
      <c r="E796" s="1" t="str">
        <f xml:space="preserve"> TEXT(FilmaxData[[#This Row],[Show_Date]],"DDD")</f>
        <v>Fri</v>
      </c>
      <c r="F796" t="s">
        <v>11</v>
      </c>
      <c r="G796" t="s">
        <v>17</v>
      </c>
      <c r="H796">
        <v>5</v>
      </c>
      <c r="I796">
        <v>12</v>
      </c>
      <c r="J796" t="s">
        <v>21</v>
      </c>
      <c r="K796" t="s">
        <v>18</v>
      </c>
      <c r="L796">
        <v>60</v>
      </c>
    </row>
    <row r="797" spans="1:12" x14ac:dyDescent="0.3">
      <c r="A797">
        <v>704</v>
      </c>
      <c r="B797" t="s">
        <v>19</v>
      </c>
      <c r="C797" s="1">
        <v>45906</v>
      </c>
      <c r="D797" s="1" t="str">
        <f xml:space="preserve"> TEXT(FilmaxData[[#This Row],[Show_Date]],"MMM")</f>
        <v>Sep</v>
      </c>
      <c r="E797" s="1" t="str">
        <f xml:space="preserve"> TEXT(FilmaxData[[#This Row],[Show_Date]],"DDD")</f>
        <v>Sat</v>
      </c>
      <c r="F797" t="s">
        <v>11</v>
      </c>
      <c r="G797" t="s">
        <v>17</v>
      </c>
      <c r="H797">
        <v>5</v>
      </c>
      <c r="I797">
        <v>12</v>
      </c>
      <c r="J797" t="s">
        <v>23</v>
      </c>
      <c r="K797" t="s">
        <v>25</v>
      </c>
      <c r="L797">
        <v>60</v>
      </c>
    </row>
    <row r="798" spans="1:12" x14ac:dyDescent="0.3">
      <c r="A798">
        <v>603</v>
      </c>
      <c r="B798" t="s">
        <v>31</v>
      </c>
      <c r="C798" s="1">
        <v>45895</v>
      </c>
      <c r="D798" s="1" t="str">
        <f xml:space="preserve"> TEXT(FilmaxData[[#This Row],[Show_Date]],"MMM")</f>
        <v>Aug</v>
      </c>
      <c r="E798" s="1" t="str">
        <f xml:space="preserve"> TEXT(FilmaxData[[#This Row],[Show_Date]],"DDD")</f>
        <v>Tue</v>
      </c>
      <c r="F798" t="s">
        <v>11</v>
      </c>
      <c r="G798" t="s">
        <v>30</v>
      </c>
      <c r="H798">
        <v>5</v>
      </c>
      <c r="I798">
        <v>8</v>
      </c>
      <c r="J798" t="s">
        <v>23</v>
      </c>
      <c r="K798" t="s">
        <v>25</v>
      </c>
      <c r="L798">
        <v>40</v>
      </c>
    </row>
    <row r="799" spans="1:12" x14ac:dyDescent="0.3">
      <c r="A799">
        <v>1783</v>
      </c>
      <c r="B799" t="s">
        <v>19</v>
      </c>
      <c r="C799" s="1">
        <v>45915</v>
      </c>
      <c r="D799" s="1" t="str">
        <f xml:space="preserve"> TEXT(FilmaxData[[#This Row],[Show_Date]],"MMM")</f>
        <v>Sep</v>
      </c>
      <c r="E799" s="1" t="str">
        <f xml:space="preserve"> TEXT(FilmaxData[[#This Row],[Show_Date]],"DDD")</f>
        <v>Mon</v>
      </c>
      <c r="F799" t="s">
        <v>11</v>
      </c>
      <c r="G799" t="s">
        <v>17</v>
      </c>
      <c r="H799">
        <v>4</v>
      </c>
      <c r="I799">
        <v>12</v>
      </c>
      <c r="J799" t="s">
        <v>21</v>
      </c>
      <c r="K799" t="s">
        <v>18</v>
      </c>
      <c r="L799">
        <v>48</v>
      </c>
    </row>
    <row r="800" spans="1:12" x14ac:dyDescent="0.3">
      <c r="A800">
        <v>1309</v>
      </c>
      <c r="B800" t="s">
        <v>24</v>
      </c>
      <c r="C800" s="1">
        <v>45843</v>
      </c>
      <c r="D800" s="1" t="str">
        <f xml:space="preserve"> TEXT(FilmaxData[[#This Row],[Show_Date]],"MMM")</f>
        <v>Jul</v>
      </c>
      <c r="E800" s="1" t="str">
        <f xml:space="preserve"> TEXT(FilmaxData[[#This Row],[Show_Date]],"DDD")</f>
        <v>Sat</v>
      </c>
      <c r="F800" t="s">
        <v>11</v>
      </c>
      <c r="G800" t="s">
        <v>17</v>
      </c>
      <c r="H800">
        <v>3</v>
      </c>
      <c r="I800">
        <v>12</v>
      </c>
      <c r="J800" t="s">
        <v>21</v>
      </c>
      <c r="K800" t="s">
        <v>27</v>
      </c>
      <c r="L800">
        <v>36</v>
      </c>
    </row>
    <row r="801" spans="1:12" x14ac:dyDescent="0.3">
      <c r="A801">
        <v>214</v>
      </c>
      <c r="B801" t="s">
        <v>28</v>
      </c>
      <c r="C801" s="1">
        <v>45928</v>
      </c>
      <c r="D801" s="1" t="str">
        <f xml:space="preserve"> TEXT(FilmaxData[[#This Row],[Show_Date]],"MMM")</f>
        <v>Sep</v>
      </c>
      <c r="E801" s="1" t="str">
        <f xml:space="preserve"> TEXT(FilmaxData[[#This Row],[Show_Date]],"DDD")</f>
        <v>Sun</v>
      </c>
      <c r="F801" t="s">
        <v>11</v>
      </c>
      <c r="G801" t="s">
        <v>29</v>
      </c>
      <c r="H801">
        <v>3</v>
      </c>
      <c r="I801">
        <v>30</v>
      </c>
      <c r="J801" t="s">
        <v>21</v>
      </c>
      <c r="K801" t="s">
        <v>25</v>
      </c>
      <c r="L801">
        <v>90</v>
      </c>
    </row>
    <row r="802" spans="1:12" x14ac:dyDescent="0.3">
      <c r="A802">
        <v>481</v>
      </c>
      <c r="B802" t="s">
        <v>31</v>
      </c>
      <c r="C802" s="1">
        <v>45886</v>
      </c>
      <c r="D802" s="1" t="str">
        <f xml:space="preserve"> TEXT(FilmaxData[[#This Row],[Show_Date]],"MMM")</f>
        <v>Aug</v>
      </c>
      <c r="E802" s="1" t="str">
        <f xml:space="preserve"> TEXT(FilmaxData[[#This Row],[Show_Date]],"DDD")</f>
        <v>Sun</v>
      </c>
      <c r="F802" t="s">
        <v>11</v>
      </c>
      <c r="G802" t="s">
        <v>17</v>
      </c>
      <c r="H802">
        <v>2</v>
      </c>
      <c r="I802">
        <v>12</v>
      </c>
      <c r="J802" t="s">
        <v>21</v>
      </c>
      <c r="K802" t="s">
        <v>25</v>
      </c>
      <c r="L802">
        <v>24</v>
      </c>
    </row>
    <row r="803" spans="1:12" x14ac:dyDescent="0.3">
      <c r="A803">
        <v>102</v>
      </c>
      <c r="B803" t="s">
        <v>26</v>
      </c>
      <c r="C803" s="1">
        <v>45899</v>
      </c>
      <c r="D803" s="1" t="str">
        <f xml:space="preserve"> TEXT(FilmaxData[[#This Row],[Show_Date]],"MMM")</f>
        <v>Aug</v>
      </c>
      <c r="E803" s="1" t="str">
        <f xml:space="preserve"> TEXT(FilmaxData[[#This Row],[Show_Date]],"DDD")</f>
        <v>Sat</v>
      </c>
      <c r="F803" t="s">
        <v>11</v>
      </c>
      <c r="G803" t="s">
        <v>12</v>
      </c>
      <c r="H803">
        <v>4</v>
      </c>
      <c r="I803">
        <v>25</v>
      </c>
      <c r="J803" t="s">
        <v>23</v>
      </c>
      <c r="K803" t="s">
        <v>27</v>
      </c>
      <c r="L803">
        <v>100</v>
      </c>
    </row>
    <row r="804" spans="1:12" x14ac:dyDescent="0.3">
      <c r="A804">
        <v>598</v>
      </c>
      <c r="B804" t="s">
        <v>28</v>
      </c>
      <c r="C804" s="1">
        <v>45920</v>
      </c>
      <c r="D804" s="1" t="str">
        <f xml:space="preserve"> TEXT(FilmaxData[[#This Row],[Show_Date]],"MMM")</f>
        <v>Sep</v>
      </c>
      <c r="E804" s="1" t="str">
        <f xml:space="preserve"> TEXT(FilmaxData[[#This Row],[Show_Date]],"DDD")</f>
        <v>Sat</v>
      </c>
      <c r="F804" t="s">
        <v>11</v>
      </c>
      <c r="G804" t="s">
        <v>17</v>
      </c>
      <c r="H804">
        <v>3</v>
      </c>
      <c r="I804">
        <v>12</v>
      </c>
      <c r="J804" t="s">
        <v>13</v>
      </c>
      <c r="K804" t="s">
        <v>14</v>
      </c>
      <c r="L804">
        <v>36</v>
      </c>
    </row>
    <row r="805" spans="1:12" x14ac:dyDescent="0.3">
      <c r="A805">
        <v>1574</v>
      </c>
      <c r="B805" t="s">
        <v>10</v>
      </c>
      <c r="C805" s="1">
        <v>45893</v>
      </c>
      <c r="D805" s="1" t="str">
        <f xml:space="preserve"> TEXT(FilmaxData[[#This Row],[Show_Date]],"MMM")</f>
        <v>Aug</v>
      </c>
      <c r="E805" s="1" t="str">
        <f xml:space="preserve"> TEXT(FilmaxData[[#This Row],[Show_Date]],"DDD")</f>
        <v>Sun</v>
      </c>
      <c r="F805" t="s">
        <v>11</v>
      </c>
      <c r="G805" t="s">
        <v>29</v>
      </c>
      <c r="H805">
        <v>4</v>
      </c>
      <c r="I805">
        <v>30</v>
      </c>
      <c r="J805" t="s">
        <v>21</v>
      </c>
      <c r="K805" t="s">
        <v>25</v>
      </c>
      <c r="L805">
        <v>120</v>
      </c>
    </row>
    <row r="806" spans="1:12" x14ac:dyDescent="0.3">
      <c r="A806">
        <v>233</v>
      </c>
      <c r="B806" t="s">
        <v>31</v>
      </c>
      <c r="C806" s="1">
        <v>45885</v>
      </c>
      <c r="D806" s="1" t="str">
        <f xml:space="preserve"> TEXT(FilmaxData[[#This Row],[Show_Date]],"MMM")</f>
        <v>Aug</v>
      </c>
      <c r="E806" s="1" t="str">
        <f xml:space="preserve"> TEXT(FilmaxData[[#This Row],[Show_Date]],"DDD")</f>
        <v>Sat</v>
      </c>
      <c r="F806" t="s">
        <v>11</v>
      </c>
      <c r="G806" t="s">
        <v>29</v>
      </c>
      <c r="H806">
        <v>4</v>
      </c>
      <c r="I806">
        <v>30</v>
      </c>
      <c r="J806" t="s">
        <v>21</v>
      </c>
      <c r="K806" t="s">
        <v>18</v>
      </c>
      <c r="L806">
        <v>120</v>
      </c>
    </row>
    <row r="807" spans="1:12" x14ac:dyDescent="0.3">
      <c r="A807">
        <v>1183</v>
      </c>
      <c r="B807" t="s">
        <v>19</v>
      </c>
      <c r="C807" s="1">
        <v>45882</v>
      </c>
      <c r="D807" s="1" t="str">
        <f xml:space="preserve"> TEXT(FilmaxData[[#This Row],[Show_Date]],"MMM")</f>
        <v>Aug</v>
      </c>
      <c r="E807" s="1" t="str">
        <f xml:space="preserve"> TEXT(FilmaxData[[#This Row],[Show_Date]],"DDD")</f>
        <v>Wed</v>
      </c>
      <c r="F807" t="s">
        <v>11</v>
      </c>
      <c r="G807" t="s">
        <v>17</v>
      </c>
      <c r="H807">
        <v>1</v>
      </c>
      <c r="I807">
        <v>12</v>
      </c>
      <c r="J807" t="s">
        <v>23</v>
      </c>
      <c r="K807" t="s">
        <v>18</v>
      </c>
      <c r="L807">
        <v>12</v>
      </c>
    </row>
    <row r="808" spans="1:12" x14ac:dyDescent="0.3">
      <c r="A808">
        <v>1709</v>
      </c>
      <c r="B808" t="s">
        <v>19</v>
      </c>
      <c r="C808" s="1">
        <v>45874</v>
      </c>
      <c r="D808" s="1" t="str">
        <f xml:space="preserve"> TEXT(FilmaxData[[#This Row],[Show_Date]],"MMM")</f>
        <v>Aug</v>
      </c>
      <c r="E808" s="1" t="str">
        <f xml:space="preserve"> TEXT(FilmaxData[[#This Row],[Show_Date]],"DDD")</f>
        <v>Tue</v>
      </c>
      <c r="F808" t="s">
        <v>11</v>
      </c>
      <c r="G808" t="s">
        <v>17</v>
      </c>
      <c r="H808">
        <v>3</v>
      </c>
      <c r="I808">
        <v>12</v>
      </c>
      <c r="J808" t="s">
        <v>13</v>
      </c>
      <c r="K808" t="s">
        <v>18</v>
      </c>
      <c r="L808">
        <v>36</v>
      </c>
    </row>
    <row r="809" spans="1:12" x14ac:dyDescent="0.3">
      <c r="A809">
        <v>1659</v>
      </c>
      <c r="B809" t="s">
        <v>24</v>
      </c>
      <c r="C809" s="1">
        <v>45857</v>
      </c>
      <c r="D809" s="1" t="str">
        <f xml:space="preserve"> TEXT(FilmaxData[[#This Row],[Show_Date]],"MMM")</f>
        <v>Jul</v>
      </c>
      <c r="E809" s="1" t="str">
        <f xml:space="preserve"> TEXT(FilmaxData[[#This Row],[Show_Date]],"DDD")</f>
        <v>Sat</v>
      </c>
      <c r="F809" t="s">
        <v>11</v>
      </c>
      <c r="G809" t="s">
        <v>12</v>
      </c>
      <c r="H809">
        <v>2</v>
      </c>
      <c r="I809">
        <v>25</v>
      </c>
      <c r="J809" t="s">
        <v>23</v>
      </c>
      <c r="K809" t="s">
        <v>18</v>
      </c>
      <c r="L809">
        <v>50</v>
      </c>
    </row>
    <row r="810" spans="1:12" x14ac:dyDescent="0.3">
      <c r="A810">
        <v>1128</v>
      </c>
      <c r="B810" t="s">
        <v>26</v>
      </c>
      <c r="C810" s="1">
        <v>45892</v>
      </c>
      <c r="D810" s="1" t="str">
        <f xml:space="preserve"> TEXT(FilmaxData[[#This Row],[Show_Date]],"MMM")</f>
        <v>Aug</v>
      </c>
      <c r="E810" s="1" t="str">
        <f xml:space="preserve"> TEXT(FilmaxData[[#This Row],[Show_Date]],"DDD")</f>
        <v>Sat</v>
      </c>
      <c r="F810" t="s">
        <v>11</v>
      </c>
      <c r="G810" t="s">
        <v>17</v>
      </c>
      <c r="H810">
        <v>2</v>
      </c>
      <c r="I810">
        <v>12</v>
      </c>
      <c r="J810" t="s">
        <v>23</v>
      </c>
      <c r="K810" t="s">
        <v>18</v>
      </c>
      <c r="L810">
        <v>24</v>
      </c>
    </row>
    <row r="811" spans="1:12" x14ac:dyDescent="0.3">
      <c r="A811">
        <v>748</v>
      </c>
      <c r="B811" t="s">
        <v>28</v>
      </c>
      <c r="C811" s="1">
        <v>45840</v>
      </c>
      <c r="D811" s="1" t="str">
        <f xml:space="preserve"> TEXT(FilmaxData[[#This Row],[Show_Date]],"MMM")</f>
        <v>Jul</v>
      </c>
      <c r="E811" s="1" t="str">
        <f xml:space="preserve"> TEXT(FilmaxData[[#This Row],[Show_Date]],"DDD")</f>
        <v>Wed</v>
      </c>
      <c r="F811" t="s">
        <v>11</v>
      </c>
      <c r="G811" t="s">
        <v>17</v>
      </c>
      <c r="H811">
        <v>1</v>
      </c>
      <c r="I811">
        <v>12</v>
      </c>
      <c r="J811" t="s">
        <v>23</v>
      </c>
      <c r="K811" t="s">
        <v>18</v>
      </c>
      <c r="L811">
        <v>12</v>
      </c>
    </row>
    <row r="812" spans="1:12" x14ac:dyDescent="0.3">
      <c r="A812">
        <v>1653</v>
      </c>
      <c r="B812" t="s">
        <v>26</v>
      </c>
      <c r="C812" s="1">
        <v>45859</v>
      </c>
      <c r="D812" s="1" t="str">
        <f xml:space="preserve"> TEXT(FilmaxData[[#This Row],[Show_Date]],"MMM")</f>
        <v>Jul</v>
      </c>
      <c r="E812" s="1" t="str">
        <f xml:space="preserve"> TEXT(FilmaxData[[#This Row],[Show_Date]],"DDD")</f>
        <v>Mon</v>
      </c>
      <c r="F812" t="s">
        <v>11</v>
      </c>
      <c r="G812" t="s">
        <v>22</v>
      </c>
      <c r="H812">
        <v>5</v>
      </c>
      <c r="I812">
        <v>20</v>
      </c>
      <c r="J812" t="s">
        <v>13</v>
      </c>
      <c r="K812" t="s">
        <v>18</v>
      </c>
      <c r="L812">
        <v>100</v>
      </c>
    </row>
    <row r="813" spans="1:12" x14ac:dyDescent="0.3">
      <c r="A813">
        <v>1914</v>
      </c>
      <c r="B813" t="s">
        <v>10</v>
      </c>
      <c r="C813" s="1">
        <v>45878</v>
      </c>
      <c r="D813" s="1" t="str">
        <f xml:space="preserve"> TEXT(FilmaxData[[#This Row],[Show_Date]],"MMM")</f>
        <v>Aug</v>
      </c>
      <c r="E813" s="1" t="str">
        <f xml:space="preserve"> TEXT(FilmaxData[[#This Row],[Show_Date]],"DDD")</f>
        <v>Sat</v>
      </c>
      <c r="F813" t="s">
        <v>11</v>
      </c>
      <c r="G813" t="s">
        <v>29</v>
      </c>
      <c r="H813">
        <v>1</v>
      </c>
      <c r="I813">
        <v>30</v>
      </c>
      <c r="J813" t="s">
        <v>21</v>
      </c>
      <c r="K813" t="s">
        <v>18</v>
      </c>
      <c r="L813">
        <v>30</v>
      </c>
    </row>
    <row r="814" spans="1:12" x14ac:dyDescent="0.3">
      <c r="A814">
        <v>907</v>
      </c>
      <c r="B814" t="s">
        <v>26</v>
      </c>
      <c r="C814" s="1">
        <v>45899</v>
      </c>
      <c r="D814" s="1" t="str">
        <f xml:space="preserve"> TEXT(FilmaxData[[#This Row],[Show_Date]],"MMM")</f>
        <v>Aug</v>
      </c>
      <c r="E814" s="1" t="str">
        <f xml:space="preserve"> TEXT(FilmaxData[[#This Row],[Show_Date]],"DDD")</f>
        <v>Sat</v>
      </c>
      <c r="F814" t="s">
        <v>11</v>
      </c>
      <c r="G814" t="s">
        <v>29</v>
      </c>
      <c r="H814">
        <v>5</v>
      </c>
      <c r="I814">
        <v>30</v>
      </c>
      <c r="J814" t="s">
        <v>23</v>
      </c>
      <c r="K814" t="s">
        <v>18</v>
      </c>
      <c r="L814">
        <v>150</v>
      </c>
    </row>
    <row r="815" spans="1:12" x14ac:dyDescent="0.3">
      <c r="A815">
        <v>1638</v>
      </c>
      <c r="B815" t="s">
        <v>15</v>
      </c>
      <c r="C815" s="1">
        <v>45883</v>
      </c>
      <c r="D815" s="1" t="str">
        <f xml:space="preserve"> TEXT(FilmaxData[[#This Row],[Show_Date]],"MMM")</f>
        <v>Aug</v>
      </c>
      <c r="E815" s="1" t="str">
        <f xml:space="preserve"> TEXT(FilmaxData[[#This Row],[Show_Date]],"DDD")</f>
        <v>Thu</v>
      </c>
      <c r="F815" t="s">
        <v>11</v>
      </c>
      <c r="G815" t="s">
        <v>17</v>
      </c>
      <c r="H815">
        <v>2</v>
      </c>
      <c r="I815">
        <v>12</v>
      </c>
      <c r="J815" t="s">
        <v>23</v>
      </c>
      <c r="K815" t="s">
        <v>18</v>
      </c>
      <c r="L815">
        <v>24</v>
      </c>
    </row>
    <row r="816" spans="1:12" x14ac:dyDescent="0.3">
      <c r="A816">
        <v>1366</v>
      </c>
      <c r="B816" t="s">
        <v>10</v>
      </c>
      <c r="C816" s="1">
        <v>45914</v>
      </c>
      <c r="D816" s="1" t="str">
        <f xml:space="preserve"> TEXT(FilmaxData[[#This Row],[Show_Date]],"MMM")</f>
        <v>Sep</v>
      </c>
      <c r="E816" s="1" t="str">
        <f xml:space="preserve"> TEXT(FilmaxData[[#This Row],[Show_Date]],"DDD")</f>
        <v>Sun</v>
      </c>
      <c r="F816" t="s">
        <v>11</v>
      </c>
      <c r="G816" t="s">
        <v>12</v>
      </c>
      <c r="H816">
        <v>2</v>
      </c>
      <c r="I816">
        <v>25</v>
      </c>
      <c r="J816" t="s">
        <v>13</v>
      </c>
      <c r="K816" t="s">
        <v>18</v>
      </c>
      <c r="L816">
        <v>50</v>
      </c>
    </row>
    <row r="817" spans="1:12" x14ac:dyDescent="0.3">
      <c r="A817">
        <v>1665</v>
      </c>
      <c r="B817" t="s">
        <v>32</v>
      </c>
      <c r="C817" s="1">
        <v>45885</v>
      </c>
      <c r="D817" s="1" t="str">
        <f xml:space="preserve"> TEXT(FilmaxData[[#This Row],[Show_Date]],"MMM")</f>
        <v>Aug</v>
      </c>
      <c r="E817" s="1" t="str">
        <f xml:space="preserve"> TEXT(FilmaxData[[#This Row],[Show_Date]],"DDD")</f>
        <v>Sat</v>
      </c>
      <c r="F817" t="s">
        <v>11</v>
      </c>
      <c r="G817" t="s">
        <v>12</v>
      </c>
      <c r="H817">
        <v>5</v>
      </c>
      <c r="I817">
        <v>25</v>
      </c>
      <c r="J817" t="s">
        <v>13</v>
      </c>
      <c r="K817" t="s">
        <v>18</v>
      </c>
      <c r="L817">
        <v>125</v>
      </c>
    </row>
    <row r="818" spans="1:12" x14ac:dyDescent="0.3">
      <c r="A818">
        <v>1419</v>
      </c>
      <c r="B818" t="s">
        <v>15</v>
      </c>
      <c r="C818" s="1">
        <v>45921</v>
      </c>
      <c r="D818" s="1" t="str">
        <f xml:space="preserve"> TEXT(FilmaxData[[#This Row],[Show_Date]],"MMM")</f>
        <v>Sep</v>
      </c>
      <c r="E818" s="1" t="str">
        <f xml:space="preserve"> TEXT(FilmaxData[[#This Row],[Show_Date]],"DDD")</f>
        <v>Sun</v>
      </c>
      <c r="F818" t="s">
        <v>11</v>
      </c>
      <c r="G818" t="s">
        <v>17</v>
      </c>
      <c r="H818">
        <v>4</v>
      </c>
      <c r="I818">
        <v>12</v>
      </c>
      <c r="J818" t="s">
        <v>21</v>
      </c>
      <c r="K818" t="s">
        <v>18</v>
      </c>
      <c r="L818">
        <v>48</v>
      </c>
    </row>
    <row r="819" spans="1:12" x14ac:dyDescent="0.3">
      <c r="A819">
        <v>130</v>
      </c>
      <c r="B819" t="s">
        <v>31</v>
      </c>
      <c r="C819" s="1">
        <v>45871</v>
      </c>
      <c r="D819" s="1" t="str">
        <f xml:space="preserve"> TEXT(FilmaxData[[#This Row],[Show_Date]],"MMM")</f>
        <v>Aug</v>
      </c>
      <c r="E819" s="1" t="str">
        <f xml:space="preserve"> TEXT(FilmaxData[[#This Row],[Show_Date]],"DDD")</f>
        <v>Sat</v>
      </c>
      <c r="F819" t="s">
        <v>11</v>
      </c>
      <c r="G819" t="s">
        <v>17</v>
      </c>
      <c r="H819">
        <v>2</v>
      </c>
      <c r="I819">
        <v>12</v>
      </c>
      <c r="J819" t="s">
        <v>23</v>
      </c>
      <c r="K819" t="s">
        <v>18</v>
      </c>
      <c r="L819">
        <v>24</v>
      </c>
    </row>
    <row r="820" spans="1:12" x14ac:dyDescent="0.3">
      <c r="A820">
        <v>1606</v>
      </c>
      <c r="B820" t="s">
        <v>28</v>
      </c>
      <c r="C820" s="1">
        <v>45856</v>
      </c>
      <c r="D820" s="1" t="str">
        <f xml:space="preserve"> TEXT(FilmaxData[[#This Row],[Show_Date]],"MMM")</f>
        <v>Jul</v>
      </c>
      <c r="E820" s="1" t="str">
        <f xml:space="preserve"> TEXT(FilmaxData[[#This Row],[Show_Date]],"DDD")</f>
        <v>Fri</v>
      </c>
      <c r="F820" t="s">
        <v>11</v>
      </c>
      <c r="G820" t="s">
        <v>17</v>
      </c>
      <c r="H820">
        <v>2</v>
      </c>
      <c r="I820">
        <v>12</v>
      </c>
      <c r="J820" t="s">
        <v>21</v>
      </c>
      <c r="K820" t="s">
        <v>18</v>
      </c>
      <c r="L820">
        <v>24</v>
      </c>
    </row>
    <row r="821" spans="1:12" x14ac:dyDescent="0.3">
      <c r="A821">
        <v>296</v>
      </c>
      <c r="B821" t="s">
        <v>31</v>
      </c>
      <c r="C821" s="1">
        <v>45884</v>
      </c>
      <c r="D821" s="1" t="str">
        <f xml:space="preserve"> TEXT(FilmaxData[[#This Row],[Show_Date]],"MMM")</f>
        <v>Aug</v>
      </c>
      <c r="E821" s="1" t="str">
        <f xml:space="preserve"> TEXT(FilmaxData[[#This Row],[Show_Date]],"DDD")</f>
        <v>Fri</v>
      </c>
      <c r="F821" t="s">
        <v>11</v>
      </c>
      <c r="G821" t="s">
        <v>17</v>
      </c>
      <c r="H821">
        <v>3</v>
      </c>
      <c r="I821">
        <v>12</v>
      </c>
      <c r="J821" t="s">
        <v>21</v>
      </c>
      <c r="K821" t="s">
        <v>18</v>
      </c>
      <c r="L821">
        <v>36</v>
      </c>
    </row>
    <row r="822" spans="1:12" x14ac:dyDescent="0.3">
      <c r="A822">
        <v>1357</v>
      </c>
      <c r="B822" t="s">
        <v>31</v>
      </c>
      <c r="C822" s="1">
        <v>45869</v>
      </c>
      <c r="D822" s="1" t="str">
        <f xml:space="preserve"> TEXT(FilmaxData[[#This Row],[Show_Date]],"MMM")</f>
        <v>Jul</v>
      </c>
      <c r="E822" s="1" t="str">
        <f xml:space="preserve"> TEXT(FilmaxData[[#This Row],[Show_Date]],"DDD")</f>
        <v>Thu</v>
      </c>
      <c r="F822" t="s">
        <v>11</v>
      </c>
      <c r="G822" t="s">
        <v>30</v>
      </c>
      <c r="H822">
        <v>2</v>
      </c>
      <c r="I822">
        <v>8</v>
      </c>
      <c r="J822" t="s">
        <v>23</v>
      </c>
      <c r="K822" t="s">
        <v>18</v>
      </c>
      <c r="L822">
        <v>16</v>
      </c>
    </row>
    <row r="823" spans="1:12" x14ac:dyDescent="0.3">
      <c r="A823">
        <v>1149</v>
      </c>
      <c r="B823" t="s">
        <v>32</v>
      </c>
      <c r="C823" s="1">
        <v>45913</v>
      </c>
      <c r="D823" s="1" t="str">
        <f xml:space="preserve"> TEXT(FilmaxData[[#This Row],[Show_Date]],"MMM")</f>
        <v>Sep</v>
      </c>
      <c r="E823" s="1" t="str">
        <f xml:space="preserve"> TEXT(FilmaxData[[#This Row],[Show_Date]],"DDD")</f>
        <v>Sat</v>
      </c>
      <c r="F823" t="s">
        <v>11</v>
      </c>
      <c r="G823" t="s">
        <v>30</v>
      </c>
      <c r="H823">
        <v>3</v>
      </c>
      <c r="I823">
        <v>8</v>
      </c>
      <c r="J823" t="s">
        <v>13</v>
      </c>
      <c r="K823" t="s">
        <v>18</v>
      </c>
      <c r="L823">
        <v>24</v>
      </c>
    </row>
    <row r="824" spans="1:12" x14ac:dyDescent="0.3">
      <c r="A824">
        <v>1389</v>
      </c>
      <c r="B824" t="s">
        <v>28</v>
      </c>
      <c r="C824" s="1">
        <v>45857</v>
      </c>
      <c r="D824" s="1" t="str">
        <f xml:space="preserve"> TEXT(FilmaxData[[#This Row],[Show_Date]],"MMM")</f>
        <v>Jul</v>
      </c>
      <c r="E824" s="1" t="str">
        <f xml:space="preserve"> TEXT(FilmaxData[[#This Row],[Show_Date]],"DDD")</f>
        <v>Sat</v>
      </c>
      <c r="F824" t="s">
        <v>11</v>
      </c>
      <c r="G824" t="s">
        <v>17</v>
      </c>
      <c r="H824">
        <v>5</v>
      </c>
      <c r="I824">
        <v>12</v>
      </c>
      <c r="J824" t="s">
        <v>23</v>
      </c>
      <c r="K824" t="s">
        <v>18</v>
      </c>
      <c r="L824">
        <v>60</v>
      </c>
    </row>
    <row r="825" spans="1:12" x14ac:dyDescent="0.3">
      <c r="A825">
        <v>1008</v>
      </c>
      <c r="B825" t="s">
        <v>15</v>
      </c>
      <c r="C825" s="1">
        <v>45874</v>
      </c>
      <c r="D825" s="1" t="str">
        <f xml:space="preserve"> TEXT(FilmaxData[[#This Row],[Show_Date]],"MMM")</f>
        <v>Aug</v>
      </c>
      <c r="E825" s="1" t="str">
        <f xml:space="preserve"> TEXT(FilmaxData[[#This Row],[Show_Date]],"DDD")</f>
        <v>Tue</v>
      </c>
      <c r="F825" t="s">
        <v>11</v>
      </c>
      <c r="G825" t="s">
        <v>17</v>
      </c>
      <c r="H825">
        <v>5</v>
      </c>
      <c r="I825">
        <v>12</v>
      </c>
      <c r="J825" t="s">
        <v>13</v>
      </c>
      <c r="K825" t="s">
        <v>18</v>
      </c>
      <c r="L825">
        <v>60</v>
      </c>
    </row>
    <row r="826" spans="1:12" x14ac:dyDescent="0.3">
      <c r="A826">
        <v>551</v>
      </c>
      <c r="B826" t="s">
        <v>24</v>
      </c>
      <c r="C826" s="1">
        <v>45851</v>
      </c>
      <c r="D826" s="1" t="str">
        <f xml:space="preserve"> TEXT(FilmaxData[[#This Row],[Show_Date]],"MMM")</f>
        <v>Jul</v>
      </c>
      <c r="E826" s="1" t="str">
        <f xml:space="preserve"> TEXT(FilmaxData[[#This Row],[Show_Date]],"DDD")</f>
        <v>Sun</v>
      </c>
      <c r="F826" t="s">
        <v>11</v>
      </c>
      <c r="G826" t="s">
        <v>17</v>
      </c>
      <c r="H826">
        <v>2</v>
      </c>
      <c r="I826">
        <v>12</v>
      </c>
      <c r="J826" t="s">
        <v>21</v>
      </c>
      <c r="K826" t="s">
        <v>18</v>
      </c>
      <c r="L826">
        <v>24</v>
      </c>
    </row>
    <row r="827" spans="1:12" x14ac:dyDescent="0.3">
      <c r="A827">
        <v>1241</v>
      </c>
      <c r="B827" t="s">
        <v>15</v>
      </c>
      <c r="C827" s="1">
        <v>45859</v>
      </c>
      <c r="D827" s="1" t="str">
        <f xml:space="preserve"> TEXT(FilmaxData[[#This Row],[Show_Date]],"MMM")</f>
        <v>Jul</v>
      </c>
      <c r="E827" s="1" t="str">
        <f xml:space="preserve"> TEXT(FilmaxData[[#This Row],[Show_Date]],"DDD")</f>
        <v>Mon</v>
      </c>
      <c r="F827" t="s">
        <v>11</v>
      </c>
      <c r="G827" t="s">
        <v>17</v>
      </c>
      <c r="H827">
        <v>4</v>
      </c>
      <c r="I827">
        <v>12</v>
      </c>
      <c r="J827" t="s">
        <v>23</v>
      </c>
      <c r="K827" t="s">
        <v>18</v>
      </c>
      <c r="L827">
        <v>48</v>
      </c>
    </row>
    <row r="828" spans="1:12" x14ac:dyDescent="0.3">
      <c r="A828">
        <v>534</v>
      </c>
      <c r="B828" t="s">
        <v>24</v>
      </c>
      <c r="C828" s="1">
        <v>45880</v>
      </c>
      <c r="D828" s="1" t="str">
        <f xml:space="preserve"> TEXT(FilmaxData[[#This Row],[Show_Date]],"MMM")</f>
        <v>Aug</v>
      </c>
      <c r="E828" s="1" t="str">
        <f xml:space="preserve"> TEXT(FilmaxData[[#This Row],[Show_Date]],"DDD")</f>
        <v>Mon</v>
      </c>
      <c r="F828" t="s">
        <v>11</v>
      </c>
      <c r="G828" t="s">
        <v>17</v>
      </c>
      <c r="H828">
        <v>1</v>
      </c>
      <c r="I828">
        <v>12</v>
      </c>
      <c r="J828" t="s">
        <v>13</v>
      </c>
      <c r="K828" t="s">
        <v>18</v>
      </c>
      <c r="L828">
        <v>12</v>
      </c>
    </row>
    <row r="829" spans="1:12" x14ac:dyDescent="0.3">
      <c r="A829">
        <v>1712</v>
      </c>
      <c r="B829" t="s">
        <v>24</v>
      </c>
      <c r="C829" s="1">
        <v>45907</v>
      </c>
      <c r="D829" s="1" t="str">
        <f xml:space="preserve"> TEXT(FilmaxData[[#This Row],[Show_Date]],"MMM")</f>
        <v>Sep</v>
      </c>
      <c r="E829" s="1" t="str">
        <f xml:space="preserve"> TEXT(FilmaxData[[#This Row],[Show_Date]],"DDD")</f>
        <v>Sun</v>
      </c>
      <c r="F829" t="s">
        <v>11</v>
      </c>
      <c r="G829" t="s">
        <v>30</v>
      </c>
      <c r="H829">
        <v>2</v>
      </c>
      <c r="I829">
        <v>8</v>
      </c>
      <c r="J829" t="s">
        <v>13</v>
      </c>
      <c r="K829" t="s">
        <v>18</v>
      </c>
      <c r="L829">
        <v>16</v>
      </c>
    </row>
    <row r="830" spans="1:12" x14ac:dyDescent="0.3">
      <c r="A830">
        <v>1825</v>
      </c>
      <c r="B830" t="s">
        <v>15</v>
      </c>
      <c r="C830" s="1">
        <v>45903</v>
      </c>
      <c r="D830" s="1" t="str">
        <f xml:space="preserve"> TEXT(FilmaxData[[#This Row],[Show_Date]],"MMM")</f>
        <v>Sep</v>
      </c>
      <c r="E830" s="1" t="str">
        <f xml:space="preserve"> TEXT(FilmaxData[[#This Row],[Show_Date]],"DDD")</f>
        <v>Wed</v>
      </c>
      <c r="F830" t="s">
        <v>11</v>
      </c>
      <c r="G830" t="s">
        <v>17</v>
      </c>
      <c r="H830">
        <v>3</v>
      </c>
      <c r="I830">
        <v>12</v>
      </c>
      <c r="J830" t="s">
        <v>13</v>
      </c>
      <c r="K830" t="s">
        <v>18</v>
      </c>
      <c r="L830">
        <v>36</v>
      </c>
    </row>
    <row r="831" spans="1:12" x14ac:dyDescent="0.3">
      <c r="A831">
        <v>28</v>
      </c>
      <c r="B831" t="s">
        <v>26</v>
      </c>
      <c r="C831" s="1">
        <v>45906</v>
      </c>
      <c r="D831" s="1" t="str">
        <f xml:space="preserve"> TEXT(FilmaxData[[#This Row],[Show_Date]],"MMM")</f>
        <v>Sep</v>
      </c>
      <c r="E831" s="1" t="str">
        <f xml:space="preserve"> TEXT(FilmaxData[[#This Row],[Show_Date]],"DDD")</f>
        <v>Sat</v>
      </c>
      <c r="F831" t="s">
        <v>11</v>
      </c>
      <c r="G831" t="s">
        <v>29</v>
      </c>
      <c r="H831">
        <v>1</v>
      </c>
      <c r="I831">
        <v>30</v>
      </c>
      <c r="J831" t="s">
        <v>23</v>
      </c>
      <c r="K831" t="s">
        <v>18</v>
      </c>
      <c r="L831">
        <v>30</v>
      </c>
    </row>
    <row r="832" spans="1:12" x14ac:dyDescent="0.3">
      <c r="A832">
        <v>306</v>
      </c>
      <c r="B832" t="s">
        <v>15</v>
      </c>
      <c r="C832" s="1">
        <v>45896</v>
      </c>
      <c r="D832" s="1" t="str">
        <f xml:space="preserve"> TEXT(FilmaxData[[#This Row],[Show_Date]],"MMM")</f>
        <v>Aug</v>
      </c>
      <c r="E832" s="1" t="str">
        <f xml:space="preserve"> TEXT(FilmaxData[[#This Row],[Show_Date]],"DDD")</f>
        <v>Wed</v>
      </c>
      <c r="F832" t="s">
        <v>11</v>
      </c>
      <c r="G832" t="s">
        <v>17</v>
      </c>
      <c r="H832">
        <v>4</v>
      </c>
      <c r="I832">
        <v>12</v>
      </c>
      <c r="J832" t="s">
        <v>23</v>
      </c>
      <c r="K832" t="s">
        <v>18</v>
      </c>
      <c r="L832">
        <v>48</v>
      </c>
    </row>
    <row r="833" spans="1:12" x14ac:dyDescent="0.3">
      <c r="A833">
        <v>1226</v>
      </c>
      <c r="B833" t="s">
        <v>10</v>
      </c>
      <c r="C833" s="1">
        <v>45872</v>
      </c>
      <c r="D833" s="1" t="str">
        <f xml:space="preserve"> TEXT(FilmaxData[[#This Row],[Show_Date]],"MMM")</f>
        <v>Aug</v>
      </c>
      <c r="E833" s="1" t="str">
        <f xml:space="preserve"> TEXT(FilmaxData[[#This Row],[Show_Date]],"DDD")</f>
        <v>Sun</v>
      </c>
      <c r="F833" t="s">
        <v>11</v>
      </c>
      <c r="G833" t="s">
        <v>22</v>
      </c>
      <c r="H833">
        <v>2</v>
      </c>
      <c r="I833">
        <v>20</v>
      </c>
      <c r="J833" t="s">
        <v>21</v>
      </c>
      <c r="K833" t="s">
        <v>18</v>
      </c>
      <c r="L833">
        <v>40</v>
      </c>
    </row>
    <row r="834" spans="1:12" x14ac:dyDescent="0.3">
      <c r="A834">
        <v>1076</v>
      </c>
      <c r="B834" t="s">
        <v>15</v>
      </c>
      <c r="C834" s="1">
        <v>45860</v>
      </c>
      <c r="D834" s="1" t="str">
        <f xml:space="preserve"> TEXT(FilmaxData[[#This Row],[Show_Date]],"MMM")</f>
        <v>Jul</v>
      </c>
      <c r="E834" s="1" t="str">
        <f xml:space="preserve"> TEXT(FilmaxData[[#This Row],[Show_Date]],"DDD")</f>
        <v>Tue</v>
      </c>
      <c r="F834" t="s">
        <v>11</v>
      </c>
      <c r="G834" t="s">
        <v>22</v>
      </c>
      <c r="H834">
        <v>4</v>
      </c>
      <c r="I834">
        <v>20</v>
      </c>
      <c r="J834" t="s">
        <v>13</v>
      </c>
      <c r="K834" t="s">
        <v>18</v>
      </c>
      <c r="L834">
        <v>80</v>
      </c>
    </row>
    <row r="835" spans="1:12" x14ac:dyDescent="0.3">
      <c r="A835">
        <v>904</v>
      </c>
      <c r="B835" t="s">
        <v>28</v>
      </c>
      <c r="C835" s="1">
        <v>45886</v>
      </c>
      <c r="D835" s="1" t="str">
        <f xml:space="preserve"> TEXT(FilmaxData[[#This Row],[Show_Date]],"MMM")</f>
        <v>Aug</v>
      </c>
      <c r="E835" s="1" t="str">
        <f xml:space="preserve"> TEXT(FilmaxData[[#This Row],[Show_Date]],"DDD")</f>
        <v>Sun</v>
      </c>
      <c r="F835" t="s">
        <v>11</v>
      </c>
      <c r="G835" t="s">
        <v>17</v>
      </c>
      <c r="H835">
        <v>3</v>
      </c>
      <c r="I835">
        <v>12</v>
      </c>
      <c r="J835" t="s">
        <v>21</v>
      </c>
      <c r="K835" t="s">
        <v>18</v>
      </c>
      <c r="L835">
        <v>36</v>
      </c>
    </row>
    <row r="836" spans="1:12" x14ac:dyDescent="0.3">
      <c r="A836">
        <v>1846</v>
      </c>
      <c r="B836" t="s">
        <v>28</v>
      </c>
      <c r="C836" s="1">
        <v>45892</v>
      </c>
      <c r="D836" s="1" t="str">
        <f xml:space="preserve"> TEXT(FilmaxData[[#This Row],[Show_Date]],"MMM")</f>
        <v>Aug</v>
      </c>
      <c r="E836" s="1" t="str">
        <f xml:space="preserve"> TEXT(FilmaxData[[#This Row],[Show_Date]],"DDD")</f>
        <v>Sat</v>
      </c>
      <c r="F836" t="s">
        <v>11</v>
      </c>
      <c r="G836" t="s">
        <v>30</v>
      </c>
      <c r="H836">
        <v>3</v>
      </c>
      <c r="I836">
        <v>8</v>
      </c>
      <c r="J836" t="s">
        <v>23</v>
      </c>
      <c r="K836" t="s">
        <v>18</v>
      </c>
      <c r="L836">
        <v>24</v>
      </c>
    </row>
    <row r="837" spans="1:12" x14ac:dyDescent="0.3">
      <c r="A837">
        <v>20</v>
      </c>
      <c r="B837" t="s">
        <v>32</v>
      </c>
      <c r="C837" s="1">
        <v>45920</v>
      </c>
      <c r="D837" s="1" t="str">
        <f xml:space="preserve"> TEXT(FilmaxData[[#This Row],[Show_Date]],"MMM")</f>
        <v>Sep</v>
      </c>
      <c r="E837" s="1" t="str">
        <f xml:space="preserve"> TEXT(FilmaxData[[#This Row],[Show_Date]],"DDD")</f>
        <v>Sat</v>
      </c>
      <c r="F837" t="s">
        <v>11</v>
      </c>
      <c r="G837" t="s">
        <v>30</v>
      </c>
      <c r="H837">
        <v>4</v>
      </c>
      <c r="I837">
        <v>8</v>
      </c>
      <c r="J837" t="s">
        <v>21</v>
      </c>
      <c r="K837" t="s">
        <v>18</v>
      </c>
      <c r="L837">
        <v>32</v>
      </c>
    </row>
    <row r="838" spans="1:12" x14ac:dyDescent="0.3">
      <c r="A838">
        <v>961</v>
      </c>
      <c r="B838" t="s">
        <v>24</v>
      </c>
      <c r="C838" s="1">
        <v>45881</v>
      </c>
      <c r="D838" s="1" t="str">
        <f xml:space="preserve"> TEXT(FilmaxData[[#This Row],[Show_Date]],"MMM")</f>
        <v>Aug</v>
      </c>
      <c r="E838" s="1" t="str">
        <f xml:space="preserve"> TEXT(FilmaxData[[#This Row],[Show_Date]],"DDD")</f>
        <v>Tue</v>
      </c>
      <c r="F838" t="s">
        <v>11</v>
      </c>
      <c r="G838" t="s">
        <v>17</v>
      </c>
      <c r="H838">
        <v>4</v>
      </c>
      <c r="I838">
        <v>12</v>
      </c>
      <c r="J838" t="s">
        <v>23</v>
      </c>
      <c r="K838" t="s">
        <v>18</v>
      </c>
      <c r="L838">
        <v>48</v>
      </c>
    </row>
    <row r="839" spans="1:12" x14ac:dyDescent="0.3">
      <c r="A839">
        <v>1429</v>
      </c>
      <c r="B839" t="s">
        <v>10</v>
      </c>
      <c r="C839" s="1">
        <v>45884</v>
      </c>
      <c r="D839" s="1" t="str">
        <f xml:space="preserve"> TEXT(FilmaxData[[#This Row],[Show_Date]],"MMM")</f>
        <v>Aug</v>
      </c>
      <c r="E839" s="1" t="str">
        <f xml:space="preserve"> TEXT(FilmaxData[[#This Row],[Show_Date]],"DDD")</f>
        <v>Fri</v>
      </c>
      <c r="F839" t="s">
        <v>11</v>
      </c>
      <c r="G839" t="s">
        <v>22</v>
      </c>
      <c r="H839">
        <v>4</v>
      </c>
      <c r="I839">
        <v>20</v>
      </c>
      <c r="J839" t="s">
        <v>13</v>
      </c>
      <c r="K839" t="s">
        <v>18</v>
      </c>
      <c r="L839">
        <v>80</v>
      </c>
    </row>
    <row r="840" spans="1:12" x14ac:dyDescent="0.3">
      <c r="A840">
        <v>1150</v>
      </c>
      <c r="B840" t="s">
        <v>24</v>
      </c>
      <c r="C840" s="1">
        <v>45849</v>
      </c>
      <c r="D840" s="1" t="str">
        <f xml:space="preserve"> TEXT(FilmaxData[[#This Row],[Show_Date]],"MMM")</f>
        <v>Jul</v>
      </c>
      <c r="E840" s="1" t="str">
        <f xml:space="preserve"> TEXT(FilmaxData[[#This Row],[Show_Date]],"DDD")</f>
        <v>Fri</v>
      </c>
      <c r="F840" t="s">
        <v>11</v>
      </c>
      <c r="G840" t="s">
        <v>17</v>
      </c>
      <c r="H840">
        <v>4</v>
      </c>
      <c r="I840">
        <v>12</v>
      </c>
      <c r="J840" t="s">
        <v>21</v>
      </c>
      <c r="K840" t="s">
        <v>18</v>
      </c>
      <c r="L840">
        <v>48</v>
      </c>
    </row>
    <row r="841" spans="1:12" x14ac:dyDescent="0.3">
      <c r="A841">
        <v>1445</v>
      </c>
      <c r="B841" t="s">
        <v>32</v>
      </c>
      <c r="C841" s="1">
        <v>45850</v>
      </c>
      <c r="D841" s="1" t="str">
        <f xml:space="preserve"> TEXT(FilmaxData[[#This Row],[Show_Date]],"MMM")</f>
        <v>Jul</v>
      </c>
      <c r="E841" s="1" t="str">
        <f xml:space="preserve"> TEXT(FilmaxData[[#This Row],[Show_Date]],"DDD")</f>
        <v>Sat</v>
      </c>
      <c r="F841" t="s">
        <v>11</v>
      </c>
      <c r="G841" t="s">
        <v>29</v>
      </c>
      <c r="H841">
        <v>4</v>
      </c>
      <c r="I841">
        <v>30</v>
      </c>
      <c r="J841" t="s">
        <v>23</v>
      </c>
      <c r="K841" t="s">
        <v>18</v>
      </c>
      <c r="L841">
        <v>120</v>
      </c>
    </row>
    <row r="842" spans="1:12" x14ac:dyDescent="0.3">
      <c r="A842">
        <v>156</v>
      </c>
      <c r="B842" t="s">
        <v>26</v>
      </c>
      <c r="C842" s="1">
        <v>45857</v>
      </c>
      <c r="D842" s="1" t="str">
        <f xml:space="preserve"> TEXT(FilmaxData[[#This Row],[Show_Date]],"MMM")</f>
        <v>Jul</v>
      </c>
      <c r="E842" s="1" t="str">
        <f xml:space="preserve"> TEXT(FilmaxData[[#This Row],[Show_Date]],"DDD")</f>
        <v>Sat</v>
      </c>
      <c r="F842" t="s">
        <v>11</v>
      </c>
      <c r="G842" t="s">
        <v>17</v>
      </c>
      <c r="H842">
        <v>4</v>
      </c>
      <c r="I842">
        <v>12</v>
      </c>
      <c r="J842" t="s">
        <v>23</v>
      </c>
      <c r="K842" t="s">
        <v>18</v>
      </c>
      <c r="L842">
        <v>48</v>
      </c>
    </row>
    <row r="843" spans="1:12" x14ac:dyDescent="0.3">
      <c r="A843">
        <v>1940</v>
      </c>
      <c r="B843" t="s">
        <v>28</v>
      </c>
      <c r="C843" s="1">
        <v>45911</v>
      </c>
      <c r="D843" s="1" t="str">
        <f xml:space="preserve"> TEXT(FilmaxData[[#This Row],[Show_Date]],"MMM")</f>
        <v>Sep</v>
      </c>
      <c r="E843" s="1" t="str">
        <f xml:space="preserve"> TEXT(FilmaxData[[#This Row],[Show_Date]],"DDD")</f>
        <v>Thu</v>
      </c>
      <c r="F843" t="s">
        <v>11</v>
      </c>
      <c r="G843" t="s">
        <v>17</v>
      </c>
      <c r="H843">
        <v>3</v>
      </c>
      <c r="I843">
        <v>12</v>
      </c>
      <c r="J843" t="s">
        <v>23</v>
      </c>
      <c r="K843" t="s">
        <v>18</v>
      </c>
      <c r="L843">
        <v>36</v>
      </c>
    </row>
    <row r="844" spans="1:12" x14ac:dyDescent="0.3">
      <c r="A844">
        <v>1410</v>
      </c>
      <c r="B844" t="s">
        <v>26</v>
      </c>
      <c r="C844" s="1">
        <v>45857</v>
      </c>
      <c r="D844" s="1" t="str">
        <f xml:space="preserve"> TEXT(FilmaxData[[#This Row],[Show_Date]],"MMM")</f>
        <v>Jul</v>
      </c>
      <c r="E844" s="1" t="str">
        <f xml:space="preserve"> TEXT(FilmaxData[[#This Row],[Show_Date]],"DDD")</f>
        <v>Sat</v>
      </c>
      <c r="F844" t="s">
        <v>11</v>
      </c>
      <c r="G844" t="s">
        <v>17</v>
      </c>
      <c r="H844">
        <v>5</v>
      </c>
      <c r="I844">
        <v>12</v>
      </c>
      <c r="J844" t="s">
        <v>23</v>
      </c>
      <c r="K844" t="s">
        <v>18</v>
      </c>
      <c r="L844">
        <v>60</v>
      </c>
    </row>
    <row r="845" spans="1:12" x14ac:dyDescent="0.3">
      <c r="A845">
        <v>1791</v>
      </c>
      <c r="B845" t="s">
        <v>15</v>
      </c>
      <c r="C845" s="1">
        <v>45892</v>
      </c>
      <c r="D845" s="1" t="str">
        <f xml:space="preserve"> TEXT(FilmaxData[[#This Row],[Show_Date]],"MMM")</f>
        <v>Aug</v>
      </c>
      <c r="E845" s="1" t="str">
        <f xml:space="preserve"> TEXT(FilmaxData[[#This Row],[Show_Date]],"DDD")</f>
        <v>Sat</v>
      </c>
      <c r="F845" t="s">
        <v>11</v>
      </c>
      <c r="G845" t="s">
        <v>17</v>
      </c>
      <c r="H845">
        <v>4</v>
      </c>
      <c r="I845">
        <v>12</v>
      </c>
      <c r="J845" t="s">
        <v>21</v>
      </c>
      <c r="K845" t="s">
        <v>18</v>
      </c>
      <c r="L845">
        <v>48</v>
      </c>
    </row>
    <row r="846" spans="1:12" x14ac:dyDescent="0.3">
      <c r="A846">
        <v>1882</v>
      </c>
      <c r="B846" t="s">
        <v>26</v>
      </c>
      <c r="C846" s="1">
        <v>45846</v>
      </c>
      <c r="D846" s="1" t="str">
        <f xml:space="preserve"> TEXT(FilmaxData[[#This Row],[Show_Date]],"MMM")</f>
        <v>Jul</v>
      </c>
      <c r="E846" s="1" t="str">
        <f xml:space="preserve"> TEXT(FilmaxData[[#This Row],[Show_Date]],"DDD")</f>
        <v>Tue</v>
      </c>
      <c r="F846" t="s">
        <v>11</v>
      </c>
      <c r="G846" t="s">
        <v>30</v>
      </c>
      <c r="H846">
        <v>3</v>
      </c>
      <c r="I846">
        <v>8</v>
      </c>
      <c r="J846" t="s">
        <v>23</v>
      </c>
      <c r="K846" t="s">
        <v>18</v>
      </c>
      <c r="L846">
        <v>24</v>
      </c>
    </row>
    <row r="847" spans="1:12" x14ac:dyDescent="0.3">
      <c r="A847">
        <v>1171</v>
      </c>
      <c r="B847" t="s">
        <v>19</v>
      </c>
      <c r="C847" s="1">
        <v>45852</v>
      </c>
      <c r="D847" s="1" t="str">
        <f xml:space="preserve"> TEXT(FilmaxData[[#This Row],[Show_Date]],"MMM")</f>
        <v>Jul</v>
      </c>
      <c r="E847" s="1" t="str">
        <f xml:space="preserve"> TEXT(FilmaxData[[#This Row],[Show_Date]],"DDD")</f>
        <v>Mon</v>
      </c>
      <c r="F847" t="s">
        <v>11</v>
      </c>
      <c r="G847" t="s">
        <v>30</v>
      </c>
      <c r="H847">
        <v>4</v>
      </c>
      <c r="I847">
        <v>8</v>
      </c>
      <c r="J847" t="s">
        <v>13</v>
      </c>
      <c r="K847" t="s">
        <v>18</v>
      </c>
      <c r="L847">
        <v>32</v>
      </c>
    </row>
    <row r="848" spans="1:12" x14ac:dyDescent="0.3">
      <c r="A848">
        <v>579</v>
      </c>
      <c r="B848" t="s">
        <v>26</v>
      </c>
      <c r="C848" s="1">
        <v>45922</v>
      </c>
      <c r="D848" s="1" t="str">
        <f xml:space="preserve"> TEXT(FilmaxData[[#This Row],[Show_Date]],"MMM")</f>
        <v>Sep</v>
      </c>
      <c r="E848" s="1" t="str">
        <f xml:space="preserve"> TEXT(FilmaxData[[#This Row],[Show_Date]],"DDD")</f>
        <v>Mon</v>
      </c>
      <c r="F848" t="s">
        <v>11</v>
      </c>
      <c r="G848" t="s">
        <v>17</v>
      </c>
      <c r="H848">
        <v>2</v>
      </c>
      <c r="I848">
        <v>12</v>
      </c>
      <c r="J848" t="s">
        <v>21</v>
      </c>
      <c r="K848" t="s">
        <v>18</v>
      </c>
      <c r="L848">
        <v>24</v>
      </c>
    </row>
    <row r="849" spans="1:12" x14ac:dyDescent="0.3">
      <c r="A849">
        <v>322</v>
      </c>
      <c r="B849" t="s">
        <v>15</v>
      </c>
      <c r="C849" s="1">
        <v>45850</v>
      </c>
      <c r="D849" s="1" t="str">
        <f xml:space="preserve"> TEXT(FilmaxData[[#This Row],[Show_Date]],"MMM")</f>
        <v>Jul</v>
      </c>
      <c r="E849" s="1" t="str">
        <f xml:space="preserve"> TEXT(FilmaxData[[#This Row],[Show_Date]],"DDD")</f>
        <v>Sat</v>
      </c>
      <c r="F849" t="s">
        <v>11</v>
      </c>
      <c r="G849" t="s">
        <v>30</v>
      </c>
      <c r="H849">
        <v>1</v>
      </c>
      <c r="I849">
        <v>8</v>
      </c>
      <c r="J849" t="s">
        <v>21</v>
      </c>
      <c r="K849" t="s">
        <v>18</v>
      </c>
      <c r="L849">
        <v>8</v>
      </c>
    </row>
    <row r="850" spans="1:12" x14ac:dyDescent="0.3">
      <c r="A850">
        <v>1010</v>
      </c>
      <c r="B850" t="s">
        <v>19</v>
      </c>
      <c r="C850" s="1">
        <v>45846</v>
      </c>
      <c r="D850" s="1" t="str">
        <f xml:space="preserve"> TEXT(FilmaxData[[#This Row],[Show_Date]],"MMM")</f>
        <v>Jul</v>
      </c>
      <c r="E850" s="1" t="str">
        <f xml:space="preserve"> TEXT(FilmaxData[[#This Row],[Show_Date]],"DDD")</f>
        <v>Tue</v>
      </c>
      <c r="F850" t="s">
        <v>11</v>
      </c>
      <c r="G850" t="s">
        <v>17</v>
      </c>
      <c r="H850">
        <v>4</v>
      </c>
      <c r="I850">
        <v>12</v>
      </c>
      <c r="J850" t="s">
        <v>13</v>
      </c>
      <c r="K850" t="s">
        <v>18</v>
      </c>
      <c r="L850">
        <v>48</v>
      </c>
    </row>
    <row r="851" spans="1:12" x14ac:dyDescent="0.3">
      <c r="A851">
        <v>1717</v>
      </c>
      <c r="B851" t="s">
        <v>19</v>
      </c>
      <c r="C851" s="1">
        <v>45928</v>
      </c>
      <c r="D851" s="1" t="str">
        <f xml:space="preserve"> TEXT(FilmaxData[[#This Row],[Show_Date]],"MMM")</f>
        <v>Sep</v>
      </c>
      <c r="E851" s="1" t="str">
        <f xml:space="preserve"> TEXT(FilmaxData[[#This Row],[Show_Date]],"DDD")</f>
        <v>Sun</v>
      </c>
      <c r="F851" t="s">
        <v>11</v>
      </c>
      <c r="G851" t="s">
        <v>17</v>
      </c>
      <c r="H851">
        <v>1</v>
      </c>
      <c r="I851">
        <v>12</v>
      </c>
      <c r="J851" t="s">
        <v>23</v>
      </c>
      <c r="K851" t="s">
        <v>18</v>
      </c>
      <c r="L851">
        <v>12</v>
      </c>
    </row>
    <row r="852" spans="1:12" x14ac:dyDescent="0.3">
      <c r="A852">
        <v>1555</v>
      </c>
      <c r="B852" t="s">
        <v>31</v>
      </c>
      <c r="C852" s="1">
        <v>45877</v>
      </c>
      <c r="D852" s="1" t="str">
        <f xml:space="preserve"> TEXT(FilmaxData[[#This Row],[Show_Date]],"MMM")</f>
        <v>Aug</v>
      </c>
      <c r="E852" s="1" t="str">
        <f xml:space="preserve"> TEXT(FilmaxData[[#This Row],[Show_Date]],"DDD")</f>
        <v>Fri</v>
      </c>
      <c r="F852" t="s">
        <v>11</v>
      </c>
      <c r="G852" t="s">
        <v>17</v>
      </c>
      <c r="H852">
        <v>1</v>
      </c>
      <c r="I852">
        <v>12</v>
      </c>
      <c r="J852" t="s">
        <v>21</v>
      </c>
      <c r="K852" t="s">
        <v>18</v>
      </c>
      <c r="L852">
        <v>12</v>
      </c>
    </row>
    <row r="853" spans="1:12" x14ac:dyDescent="0.3">
      <c r="A853">
        <v>975</v>
      </c>
      <c r="B853" t="s">
        <v>31</v>
      </c>
      <c r="C853" s="1">
        <v>45885</v>
      </c>
      <c r="D853" s="1" t="str">
        <f xml:space="preserve"> TEXT(FilmaxData[[#This Row],[Show_Date]],"MMM")</f>
        <v>Aug</v>
      </c>
      <c r="E853" s="1" t="str">
        <f xml:space="preserve"> TEXT(FilmaxData[[#This Row],[Show_Date]],"DDD")</f>
        <v>Sat</v>
      </c>
      <c r="F853" t="s">
        <v>11</v>
      </c>
      <c r="G853" t="s">
        <v>17</v>
      </c>
      <c r="H853">
        <v>3</v>
      </c>
      <c r="I853">
        <v>12</v>
      </c>
      <c r="J853" t="s">
        <v>23</v>
      </c>
      <c r="K853" t="s">
        <v>18</v>
      </c>
      <c r="L853">
        <v>36</v>
      </c>
    </row>
    <row r="854" spans="1:12" x14ac:dyDescent="0.3">
      <c r="A854">
        <v>1084</v>
      </c>
      <c r="B854" t="s">
        <v>31</v>
      </c>
      <c r="C854" s="1">
        <v>45864</v>
      </c>
      <c r="D854" s="1" t="str">
        <f xml:space="preserve"> TEXT(FilmaxData[[#This Row],[Show_Date]],"MMM")</f>
        <v>Jul</v>
      </c>
      <c r="E854" s="1" t="str">
        <f xml:space="preserve"> TEXT(FilmaxData[[#This Row],[Show_Date]],"DDD")</f>
        <v>Sat</v>
      </c>
      <c r="F854" t="s">
        <v>11</v>
      </c>
      <c r="G854" t="s">
        <v>12</v>
      </c>
      <c r="H854">
        <v>3</v>
      </c>
      <c r="I854">
        <v>25</v>
      </c>
      <c r="J854" t="s">
        <v>13</v>
      </c>
      <c r="K854" t="s">
        <v>18</v>
      </c>
      <c r="L854">
        <v>75</v>
      </c>
    </row>
    <row r="855" spans="1:12" x14ac:dyDescent="0.3">
      <c r="A855">
        <v>1990</v>
      </c>
      <c r="B855" t="s">
        <v>15</v>
      </c>
      <c r="C855" s="1">
        <v>45900</v>
      </c>
      <c r="D855" s="1" t="str">
        <f xml:space="preserve"> TEXT(FilmaxData[[#This Row],[Show_Date]],"MMM")</f>
        <v>Aug</v>
      </c>
      <c r="E855" s="1" t="str">
        <f xml:space="preserve"> TEXT(FilmaxData[[#This Row],[Show_Date]],"DDD")</f>
        <v>Sun</v>
      </c>
      <c r="F855" t="s">
        <v>11</v>
      </c>
      <c r="G855" t="s">
        <v>22</v>
      </c>
      <c r="H855">
        <v>2</v>
      </c>
      <c r="I855">
        <v>20</v>
      </c>
      <c r="J855" t="s">
        <v>21</v>
      </c>
      <c r="K855" t="s">
        <v>18</v>
      </c>
      <c r="L855">
        <v>40</v>
      </c>
    </row>
    <row r="856" spans="1:12" x14ac:dyDescent="0.3">
      <c r="A856">
        <v>1396</v>
      </c>
      <c r="B856" t="s">
        <v>10</v>
      </c>
      <c r="C856" s="1">
        <v>45925</v>
      </c>
      <c r="D856" s="1" t="str">
        <f xml:space="preserve"> TEXT(FilmaxData[[#This Row],[Show_Date]],"MMM")</f>
        <v>Sep</v>
      </c>
      <c r="E856" s="1" t="str">
        <f xml:space="preserve"> TEXT(FilmaxData[[#This Row],[Show_Date]],"DDD")</f>
        <v>Thu</v>
      </c>
      <c r="F856" t="s">
        <v>11</v>
      </c>
      <c r="G856" t="s">
        <v>29</v>
      </c>
      <c r="H856">
        <v>3</v>
      </c>
      <c r="I856">
        <v>30</v>
      </c>
      <c r="J856" t="s">
        <v>23</v>
      </c>
      <c r="K856" t="s">
        <v>18</v>
      </c>
      <c r="L856">
        <v>90</v>
      </c>
    </row>
    <row r="857" spans="1:12" x14ac:dyDescent="0.3">
      <c r="A857">
        <v>46</v>
      </c>
      <c r="B857" t="s">
        <v>31</v>
      </c>
      <c r="C857" s="1">
        <v>45891</v>
      </c>
      <c r="D857" s="1" t="str">
        <f xml:space="preserve"> TEXT(FilmaxData[[#This Row],[Show_Date]],"MMM")</f>
        <v>Aug</v>
      </c>
      <c r="E857" s="1" t="str">
        <f xml:space="preserve"> TEXT(FilmaxData[[#This Row],[Show_Date]],"DDD")</f>
        <v>Fri</v>
      </c>
      <c r="F857" t="s">
        <v>11</v>
      </c>
      <c r="G857" t="s">
        <v>30</v>
      </c>
      <c r="H857">
        <v>2</v>
      </c>
      <c r="I857">
        <v>8</v>
      </c>
      <c r="J857" t="s">
        <v>13</v>
      </c>
      <c r="K857" t="s">
        <v>18</v>
      </c>
      <c r="L857">
        <v>16</v>
      </c>
    </row>
    <row r="858" spans="1:12" x14ac:dyDescent="0.3">
      <c r="A858">
        <v>210</v>
      </c>
      <c r="B858" t="s">
        <v>15</v>
      </c>
      <c r="C858" s="1">
        <v>45892</v>
      </c>
      <c r="D858" s="1" t="str">
        <f xml:space="preserve"> TEXT(FilmaxData[[#This Row],[Show_Date]],"MMM")</f>
        <v>Aug</v>
      </c>
      <c r="E858" s="1" t="str">
        <f xml:space="preserve"> TEXT(FilmaxData[[#This Row],[Show_Date]],"DDD")</f>
        <v>Sat</v>
      </c>
      <c r="F858" t="s">
        <v>11</v>
      </c>
      <c r="G858" t="s">
        <v>29</v>
      </c>
      <c r="H858">
        <v>1</v>
      </c>
      <c r="I858">
        <v>30</v>
      </c>
      <c r="J858" t="s">
        <v>23</v>
      </c>
      <c r="K858" t="s">
        <v>18</v>
      </c>
      <c r="L858">
        <v>30</v>
      </c>
    </row>
    <row r="859" spans="1:12" x14ac:dyDescent="0.3">
      <c r="A859">
        <v>535</v>
      </c>
      <c r="B859" t="s">
        <v>32</v>
      </c>
      <c r="C859" s="1">
        <v>45904</v>
      </c>
      <c r="D859" s="1" t="str">
        <f xml:space="preserve"> TEXT(FilmaxData[[#This Row],[Show_Date]],"MMM")</f>
        <v>Sep</v>
      </c>
      <c r="E859" s="1" t="str">
        <f xml:space="preserve"> TEXT(FilmaxData[[#This Row],[Show_Date]],"DDD")</f>
        <v>Thu</v>
      </c>
      <c r="F859" t="s">
        <v>11</v>
      </c>
      <c r="G859" t="s">
        <v>30</v>
      </c>
      <c r="H859">
        <v>2</v>
      </c>
      <c r="I859">
        <v>8</v>
      </c>
      <c r="J859" t="s">
        <v>21</v>
      </c>
      <c r="K859" t="s">
        <v>18</v>
      </c>
      <c r="L859">
        <v>16</v>
      </c>
    </row>
    <row r="860" spans="1:12" x14ac:dyDescent="0.3">
      <c r="A860">
        <v>87</v>
      </c>
      <c r="B860" t="s">
        <v>10</v>
      </c>
      <c r="C860" s="1">
        <v>45925</v>
      </c>
      <c r="D860" s="1" t="str">
        <f xml:space="preserve"> TEXT(FilmaxData[[#This Row],[Show_Date]],"MMM")</f>
        <v>Sep</v>
      </c>
      <c r="E860" s="1" t="str">
        <f xml:space="preserve"> TEXT(FilmaxData[[#This Row],[Show_Date]],"DDD")</f>
        <v>Thu</v>
      </c>
      <c r="F860" t="s">
        <v>11</v>
      </c>
      <c r="G860" t="s">
        <v>17</v>
      </c>
      <c r="H860">
        <v>3</v>
      </c>
      <c r="I860">
        <v>12</v>
      </c>
      <c r="J860" t="s">
        <v>23</v>
      </c>
      <c r="K860" t="s">
        <v>18</v>
      </c>
      <c r="L860">
        <v>36</v>
      </c>
    </row>
    <row r="861" spans="1:12" x14ac:dyDescent="0.3">
      <c r="A861">
        <v>1692</v>
      </c>
      <c r="B861" t="s">
        <v>10</v>
      </c>
      <c r="C861" s="1">
        <v>45865</v>
      </c>
      <c r="D861" s="1" t="str">
        <f xml:space="preserve"> TEXT(FilmaxData[[#This Row],[Show_Date]],"MMM")</f>
        <v>Jul</v>
      </c>
      <c r="E861" s="1" t="str">
        <f xml:space="preserve"> TEXT(FilmaxData[[#This Row],[Show_Date]],"DDD")</f>
        <v>Sun</v>
      </c>
      <c r="F861" t="s">
        <v>11</v>
      </c>
      <c r="G861" t="s">
        <v>12</v>
      </c>
      <c r="H861">
        <v>3</v>
      </c>
      <c r="I861">
        <v>25</v>
      </c>
      <c r="J861" t="s">
        <v>23</v>
      </c>
      <c r="K861" t="s">
        <v>18</v>
      </c>
      <c r="L861">
        <v>75</v>
      </c>
    </row>
    <row r="862" spans="1:12" x14ac:dyDescent="0.3">
      <c r="A862">
        <v>1652</v>
      </c>
      <c r="B862" t="s">
        <v>10</v>
      </c>
      <c r="C862" s="1">
        <v>45841</v>
      </c>
      <c r="D862" s="1" t="str">
        <f xml:space="preserve"> TEXT(FilmaxData[[#This Row],[Show_Date]],"MMM")</f>
        <v>Jul</v>
      </c>
      <c r="E862" s="1" t="str">
        <f xml:space="preserve"> TEXT(FilmaxData[[#This Row],[Show_Date]],"DDD")</f>
        <v>Thu</v>
      </c>
      <c r="F862" t="s">
        <v>11</v>
      </c>
      <c r="G862" t="s">
        <v>17</v>
      </c>
      <c r="H862">
        <v>1</v>
      </c>
      <c r="I862">
        <v>12</v>
      </c>
      <c r="J862" t="s">
        <v>23</v>
      </c>
      <c r="K862" t="s">
        <v>18</v>
      </c>
      <c r="L862">
        <v>12</v>
      </c>
    </row>
    <row r="863" spans="1:12" x14ac:dyDescent="0.3">
      <c r="A863">
        <v>1594</v>
      </c>
      <c r="B863" t="s">
        <v>31</v>
      </c>
      <c r="C863" s="1">
        <v>45881</v>
      </c>
      <c r="D863" s="1" t="str">
        <f xml:space="preserve"> TEXT(FilmaxData[[#This Row],[Show_Date]],"MMM")</f>
        <v>Aug</v>
      </c>
      <c r="E863" s="1" t="str">
        <f xml:space="preserve"> TEXT(FilmaxData[[#This Row],[Show_Date]],"DDD")</f>
        <v>Tue</v>
      </c>
      <c r="F863" t="s">
        <v>11</v>
      </c>
      <c r="G863" t="s">
        <v>12</v>
      </c>
      <c r="H863">
        <v>5</v>
      </c>
      <c r="I863">
        <v>25</v>
      </c>
      <c r="J863" t="s">
        <v>13</v>
      </c>
      <c r="K863" t="s">
        <v>18</v>
      </c>
      <c r="L863">
        <v>125</v>
      </c>
    </row>
    <row r="864" spans="1:12" x14ac:dyDescent="0.3">
      <c r="A864">
        <v>522</v>
      </c>
      <c r="B864" t="s">
        <v>28</v>
      </c>
      <c r="C864" s="1">
        <v>45850</v>
      </c>
      <c r="D864" s="1" t="str">
        <f xml:space="preserve"> TEXT(FilmaxData[[#This Row],[Show_Date]],"MMM")</f>
        <v>Jul</v>
      </c>
      <c r="E864" s="1" t="str">
        <f xml:space="preserve"> TEXT(FilmaxData[[#This Row],[Show_Date]],"DDD")</f>
        <v>Sat</v>
      </c>
      <c r="F864" t="s">
        <v>11</v>
      </c>
      <c r="G864" t="s">
        <v>17</v>
      </c>
      <c r="H864">
        <v>2</v>
      </c>
      <c r="I864">
        <v>12</v>
      </c>
      <c r="J864" t="s">
        <v>21</v>
      </c>
      <c r="K864" t="s">
        <v>18</v>
      </c>
      <c r="L864">
        <v>24</v>
      </c>
    </row>
    <row r="865" spans="1:12" x14ac:dyDescent="0.3">
      <c r="A865">
        <v>264</v>
      </c>
      <c r="B865" t="s">
        <v>24</v>
      </c>
      <c r="C865" s="1">
        <v>45886</v>
      </c>
      <c r="D865" s="1" t="str">
        <f xml:space="preserve"> TEXT(FilmaxData[[#This Row],[Show_Date]],"MMM")</f>
        <v>Aug</v>
      </c>
      <c r="E865" s="1" t="str">
        <f xml:space="preserve"> TEXT(FilmaxData[[#This Row],[Show_Date]],"DDD")</f>
        <v>Sun</v>
      </c>
      <c r="F865" t="s">
        <v>11</v>
      </c>
      <c r="G865" t="s">
        <v>17</v>
      </c>
      <c r="H865">
        <v>3</v>
      </c>
      <c r="I865">
        <v>12</v>
      </c>
      <c r="J865" t="s">
        <v>23</v>
      </c>
      <c r="K865" t="s">
        <v>18</v>
      </c>
      <c r="L865">
        <v>36</v>
      </c>
    </row>
    <row r="866" spans="1:12" x14ac:dyDescent="0.3">
      <c r="A866">
        <v>1404</v>
      </c>
      <c r="B866" t="s">
        <v>10</v>
      </c>
      <c r="C866" s="1">
        <v>45920</v>
      </c>
      <c r="D866" s="1" t="str">
        <f xml:space="preserve"> TEXT(FilmaxData[[#This Row],[Show_Date]],"MMM")</f>
        <v>Sep</v>
      </c>
      <c r="E866" s="1" t="str">
        <f xml:space="preserve"> TEXT(FilmaxData[[#This Row],[Show_Date]],"DDD")</f>
        <v>Sat</v>
      </c>
      <c r="F866" t="s">
        <v>11</v>
      </c>
      <c r="G866" t="s">
        <v>17</v>
      </c>
      <c r="H866">
        <v>2</v>
      </c>
      <c r="I866">
        <v>12</v>
      </c>
      <c r="J866" t="s">
        <v>13</v>
      </c>
      <c r="K866" t="s">
        <v>18</v>
      </c>
      <c r="L866">
        <v>24</v>
      </c>
    </row>
    <row r="867" spans="1:12" x14ac:dyDescent="0.3">
      <c r="A867">
        <v>1106</v>
      </c>
      <c r="B867" t="s">
        <v>31</v>
      </c>
      <c r="C867" s="1">
        <v>45845</v>
      </c>
      <c r="D867" s="1" t="str">
        <f xml:space="preserve"> TEXT(FilmaxData[[#This Row],[Show_Date]],"MMM")</f>
        <v>Jul</v>
      </c>
      <c r="E867" s="1" t="str">
        <f xml:space="preserve"> TEXT(FilmaxData[[#This Row],[Show_Date]],"DDD")</f>
        <v>Mon</v>
      </c>
      <c r="F867" t="s">
        <v>11</v>
      </c>
      <c r="G867" t="s">
        <v>17</v>
      </c>
      <c r="H867">
        <v>5</v>
      </c>
      <c r="I867">
        <v>12</v>
      </c>
      <c r="J867" t="s">
        <v>23</v>
      </c>
      <c r="K867" t="s">
        <v>18</v>
      </c>
      <c r="L867">
        <v>60</v>
      </c>
    </row>
    <row r="868" spans="1:12" x14ac:dyDescent="0.3">
      <c r="A868">
        <v>927</v>
      </c>
      <c r="B868" t="s">
        <v>15</v>
      </c>
      <c r="C868" s="1">
        <v>45850</v>
      </c>
      <c r="D868" s="1" t="str">
        <f xml:space="preserve"> TEXT(FilmaxData[[#This Row],[Show_Date]],"MMM")</f>
        <v>Jul</v>
      </c>
      <c r="E868" s="1" t="str">
        <f xml:space="preserve"> TEXT(FilmaxData[[#This Row],[Show_Date]],"DDD")</f>
        <v>Sat</v>
      </c>
      <c r="F868" t="s">
        <v>11</v>
      </c>
      <c r="G868" t="s">
        <v>22</v>
      </c>
      <c r="H868">
        <v>2</v>
      </c>
      <c r="I868">
        <v>20</v>
      </c>
      <c r="J868" t="s">
        <v>21</v>
      </c>
      <c r="K868" t="s">
        <v>18</v>
      </c>
      <c r="L868">
        <v>40</v>
      </c>
    </row>
    <row r="869" spans="1:12" x14ac:dyDescent="0.3">
      <c r="A869">
        <v>467</v>
      </c>
      <c r="B869" t="s">
        <v>19</v>
      </c>
      <c r="C869" s="1">
        <v>45864</v>
      </c>
      <c r="D869" s="1" t="str">
        <f xml:space="preserve"> TEXT(FilmaxData[[#This Row],[Show_Date]],"MMM")</f>
        <v>Jul</v>
      </c>
      <c r="E869" s="1" t="str">
        <f xml:space="preserve"> TEXT(FilmaxData[[#This Row],[Show_Date]],"DDD")</f>
        <v>Sat</v>
      </c>
      <c r="F869" t="s">
        <v>11</v>
      </c>
      <c r="G869" t="s">
        <v>17</v>
      </c>
      <c r="H869">
        <v>2</v>
      </c>
      <c r="I869">
        <v>12</v>
      </c>
      <c r="J869" t="s">
        <v>21</v>
      </c>
      <c r="K869" t="s">
        <v>18</v>
      </c>
      <c r="L869">
        <v>24</v>
      </c>
    </row>
    <row r="870" spans="1:12" x14ac:dyDescent="0.3">
      <c r="A870">
        <v>35</v>
      </c>
      <c r="B870" t="s">
        <v>10</v>
      </c>
      <c r="C870" s="1">
        <v>45885</v>
      </c>
      <c r="D870" s="1" t="str">
        <f xml:space="preserve"> TEXT(FilmaxData[[#This Row],[Show_Date]],"MMM")</f>
        <v>Aug</v>
      </c>
      <c r="E870" s="1" t="str">
        <f xml:space="preserve"> TEXT(FilmaxData[[#This Row],[Show_Date]],"DDD")</f>
        <v>Sat</v>
      </c>
      <c r="F870" t="s">
        <v>11</v>
      </c>
      <c r="G870" t="s">
        <v>12</v>
      </c>
      <c r="H870">
        <v>4</v>
      </c>
      <c r="I870">
        <v>25</v>
      </c>
      <c r="J870" t="s">
        <v>21</v>
      </c>
      <c r="K870" t="s">
        <v>18</v>
      </c>
      <c r="L870">
        <v>100</v>
      </c>
    </row>
    <row r="871" spans="1:12" x14ac:dyDescent="0.3">
      <c r="A871">
        <v>706</v>
      </c>
      <c r="B871" t="s">
        <v>15</v>
      </c>
      <c r="C871" s="1">
        <v>45854</v>
      </c>
      <c r="D871" s="1" t="str">
        <f xml:space="preserve"> TEXT(FilmaxData[[#This Row],[Show_Date]],"MMM")</f>
        <v>Jul</v>
      </c>
      <c r="E871" s="1" t="str">
        <f xml:space="preserve"> TEXT(FilmaxData[[#This Row],[Show_Date]],"DDD")</f>
        <v>Wed</v>
      </c>
      <c r="F871" t="s">
        <v>11</v>
      </c>
      <c r="G871" t="s">
        <v>22</v>
      </c>
      <c r="H871">
        <v>4</v>
      </c>
      <c r="I871">
        <v>20</v>
      </c>
      <c r="J871" t="s">
        <v>23</v>
      </c>
      <c r="K871" t="s">
        <v>18</v>
      </c>
      <c r="L871">
        <v>80</v>
      </c>
    </row>
    <row r="872" spans="1:12" x14ac:dyDescent="0.3">
      <c r="A872">
        <v>109</v>
      </c>
      <c r="B872" t="s">
        <v>10</v>
      </c>
      <c r="C872" s="1">
        <v>45900</v>
      </c>
      <c r="D872" s="1" t="str">
        <f xml:space="preserve"> TEXT(FilmaxData[[#This Row],[Show_Date]],"MMM")</f>
        <v>Aug</v>
      </c>
      <c r="E872" s="1" t="str">
        <f xml:space="preserve"> TEXT(FilmaxData[[#This Row],[Show_Date]],"DDD")</f>
        <v>Sun</v>
      </c>
      <c r="F872" t="s">
        <v>11</v>
      </c>
      <c r="G872" t="s">
        <v>17</v>
      </c>
      <c r="H872">
        <v>1</v>
      </c>
      <c r="I872">
        <v>12</v>
      </c>
      <c r="J872" t="s">
        <v>21</v>
      </c>
      <c r="K872" t="s">
        <v>18</v>
      </c>
      <c r="L872">
        <v>12</v>
      </c>
    </row>
    <row r="873" spans="1:12" x14ac:dyDescent="0.3">
      <c r="A873">
        <v>778</v>
      </c>
      <c r="B873" t="s">
        <v>19</v>
      </c>
      <c r="C873" s="1">
        <v>45878</v>
      </c>
      <c r="D873" s="1" t="str">
        <f xml:space="preserve"> TEXT(FilmaxData[[#This Row],[Show_Date]],"MMM")</f>
        <v>Aug</v>
      </c>
      <c r="E873" s="1" t="str">
        <f xml:space="preserve"> TEXT(FilmaxData[[#This Row],[Show_Date]],"DDD")</f>
        <v>Sat</v>
      </c>
      <c r="F873" t="s">
        <v>11</v>
      </c>
      <c r="G873" t="s">
        <v>17</v>
      </c>
      <c r="H873">
        <v>4</v>
      </c>
      <c r="I873">
        <v>12</v>
      </c>
      <c r="J873" t="s">
        <v>13</v>
      </c>
      <c r="K873" t="s">
        <v>18</v>
      </c>
      <c r="L873">
        <v>48</v>
      </c>
    </row>
    <row r="874" spans="1:12" x14ac:dyDescent="0.3">
      <c r="A874">
        <v>1163</v>
      </c>
      <c r="B874" t="s">
        <v>26</v>
      </c>
      <c r="C874" s="1">
        <v>45928</v>
      </c>
      <c r="D874" s="1" t="str">
        <f xml:space="preserve"> TEXT(FilmaxData[[#This Row],[Show_Date]],"MMM")</f>
        <v>Sep</v>
      </c>
      <c r="E874" s="1" t="str">
        <f xml:space="preserve"> TEXT(FilmaxData[[#This Row],[Show_Date]],"DDD")</f>
        <v>Sun</v>
      </c>
      <c r="F874" t="s">
        <v>11</v>
      </c>
      <c r="G874" t="s">
        <v>17</v>
      </c>
      <c r="H874">
        <v>3</v>
      </c>
      <c r="I874">
        <v>12</v>
      </c>
      <c r="J874" t="s">
        <v>21</v>
      </c>
      <c r="K874" t="s">
        <v>18</v>
      </c>
      <c r="L874">
        <v>36</v>
      </c>
    </row>
    <row r="875" spans="1:12" x14ac:dyDescent="0.3">
      <c r="A875">
        <v>474</v>
      </c>
      <c r="B875" t="s">
        <v>31</v>
      </c>
      <c r="C875" s="1">
        <v>45848</v>
      </c>
      <c r="D875" s="1" t="str">
        <f xml:space="preserve"> TEXT(FilmaxData[[#This Row],[Show_Date]],"MMM")</f>
        <v>Jul</v>
      </c>
      <c r="E875" s="1" t="str">
        <f xml:space="preserve"> TEXT(FilmaxData[[#This Row],[Show_Date]],"DDD")</f>
        <v>Thu</v>
      </c>
      <c r="F875" t="s">
        <v>11</v>
      </c>
      <c r="G875" t="s">
        <v>30</v>
      </c>
      <c r="H875">
        <v>5</v>
      </c>
      <c r="I875">
        <v>8</v>
      </c>
      <c r="J875" t="s">
        <v>21</v>
      </c>
      <c r="K875" t="s">
        <v>18</v>
      </c>
      <c r="L875">
        <v>40</v>
      </c>
    </row>
    <row r="876" spans="1:12" x14ac:dyDescent="0.3">
      <c r="A876">
        <v>448</v>
      </c>
      <c r="B876" t="s">
        <v>10</v>
      </c>
      <c r="C876" s="1">
        <v>45840</v>
      </c>
      <c r="D876" s="1" t="str">
        <f xml:space="preserve"> TEXT(FilmaxData[[#This Row],[Show_Date]],"MMM")</f>
        <v>Jul</v>
      </c>
      <c r="E876" s="1" t="str">
        <f xml:space="preserve"> TEXT(FilmaxData[[#This Row],[Show_Date]],"DDD")</f>
        <v>Wed</v>
      </c>
      <c r="F876" t="s">
        <v>11</v>
      </c>
      <c r="G876" t="s">
        <v>17</v>
      </c>
      <c r="H876">
        <v>2</v>
      </c>
      <c r="I876">
        <v>12</v>
      </c>
      <c r="J876" t="s">
        <v>21</v>
      </c>
      <c r="K876" t="s">
        <v>18</v>
      </c>
      <c r="L876">
        <v>24</v>
      </c>
    </row>
    <row r="877" spans="1:12" x14ac:dyDescent="0.3">
      <c r="A877">
        <v>1587</v>
      </c>
      <c r="B877" t="s">
        <v>24</v>
      </c>
      <c r="C877" s="1">
        <v>45849</v>
      </c>
      <c r="D877" s="1" t="str">
        <f xml:space="preserve"> TEXT(FilmaxData[[#This Row],[Show_Date]],"MMM")</f>
        <v>Jul</v>
      </c>
      <c r="E877" s="1" t="str">
        <f xml:space="preserve"> TEXT(FilmaxData[[#This Row],[Show_Date]],"DDD")</f>
        <v>Fri</v>
      </c>
      <c r="F877" t="s">
        <v>11</v>
      </c>
      <c r="G877" t="s">
        <v>17</v>
      </c>
      <c r="H877">
        <v>4</v>
      </c>
      <c r="I877">
        <v>12</v>
      </c>
      <c r="J877" t="s">
        <v>23</v>
      </c>
      <c r="K877" t="s">
        <v>18</v>
      </c>
      <c r="L877">
        <v>48</v>
      </c>
    </row>
    <row r="878" spans="1:12" x14ac:dyDescent="0.3">
      <c r="A878">
        <v>944</v>
      </c>
      <c r="B878" t="s">
        <v>15</v>
      </c>
      <c r="C878" s="1">
        <v>45843</v>
      </c>
      <c r="D878" s="1" t="str">
        <f xml:space="preserve"> TEXT(FilmaxData[[#This Row],[Show_Date]],"MMM")</f>
        <v>Jul</v>
      </c>
      <c r="E878" s="1" t="str">
        <f xml:space="preserve"> TEXT(FilmaxData[[#This Row],[Show_Date]],"DDD")</f>
        <v>Sat</v>
      </c>
      <c r="F878" t="s">
        <v>11</v>
      </c>
      <c r="G878" t="s">
        <v>30</v>
      </c>
      <c r="H878">
        <v>2</v>
      </c>
      <c r="I878">
        <v>8</v>
      </c>
      <c r="J878" t="s">
        <v>21</v>
      </c>
      <c r="K878" t="s">
        <v>18</v>
      </c>
      <c r="L878">
        <v>16</v>
      </c>
    </row>
    <row r="879" spans="1:12" x14ac:dyDescent="0.3">
      <c r="A879">
        <v>1182</v>
      </c>
      <c r="B879" t="s">
        <v>19</v>
      </c>
      <c r="C879" s="1">
        <v>45865</v>
      </c>
      <c r="D879" s="1" t="str">
        <f xml:space="preserve"> TEXT(FilmaxData[[#This Row],[Show_Date]],"MMM")</f>
        <v>Jul</v>
      </c>
      <c r="E879" s="1" t="str">
        <f xml:space="preserve"> TEXT(FilmaxData[[#This Row],[Show_Date]],"DDD")</f>
        <v>Sun</v>
      </c>
      <c r="F879" t="s">
        <v>11</v>
      </c>
      <c r="G879" t="s">
        <v>17</v>
      </c>
      <c r="H879">
        <v>5</v>
      </c>
      <c r="I879">
        <v>12</v>
      </c>
      <c r="J879" t="s">
        <v>13</v>
      </c>
      <c r="K879" t="s">
        <v>18</v>
      </c>
      <c r="L879">
        <v>60</v>
      </c>
    </row>
    <row r="880" spans="1:12" x14ac:dyDescent="0.3">
      <c r="A880">
        <v>1776</v>
      </c>
      <c r="B880" t="s">
        <v>19</v>
      </c>
      <c r="C880" s="1">
        <v>45847</v>
      </c>
      <c r="D880" s="1" t="str">
        <f xml:space="preserve"> TEXT(FilmaxData[[#This Row],[Show_Date]],"MMM")</f>
        <v>Jul</v>
      </c>
      <c r="E880" s="1" t="str">
        <f xml:space="preserve"> TEXT(FilmaxData[[#This Row],[Show_Date]],"DDD")</f>
        <v>Wed</v>
      </c>
      <c r="F880" t="s">
        <v>11</v>
      </c>
      <c r="G880" t="s">
        <v>29</v>
      </c>
      <c r="H880">
        <v>1</v>
      </c>
      <c r="I880">
        <v>30</v>
      </c>
      <c r="J880" t="s">
        <v>23</v>
      </c>
      <c r="K880" t="s">
        <v>18</v>
      </c>
      <c r="L880">
        <v>30</v>
      </c>
    </row>
    <row r="881" spans="1:12" x14ac:dyDescent="0.3">
      <c r="A881">
        <v>226</v>
      </c>
      <c r="B881" t="s">
        <v>26</v>
      </c>
      <c r="C881" s="1">
        <v>45907</v>
      </c>
      <c r="D881" s="1" t="str">
        <f xml:space="preserve"> TEXT(FilmaxData[[#This Row],[Show_Date]],"MMM")</f>
        <v>Sep</v>
      </c>
      <c r="E881" s="1" t="str">
        <f xml:space="preserve"> TEXT(FilmaxData[[#This Row],[Show_Date]],"DDD")</f>
        <v>Sun</v>
      </c>
      <c r="F881" t="s">
        <v>11</v>
      </c>
      <c r="G881" t="s">
        <v>17</v>
      </c>
      <c r="H881">
        <v>2</v>
      </c>
      <c r="I881">
        <v>12</v>
      </c>
      <c r="J881" t="s">
        <v>13</v>
      </c>
      <c r="K881" t="s">
        <v>18</v>
      </c>
      <c r="L881">
        <v>24</v>
      </c>
    </row>
    <row r="882" spans="1:12" x14ac:dyDescent="0.3">
      <c r="A882">
        <v>78</v>
      </c>
      <c r="B882" t="s">
        <v>31</v>
      </c>
      <c r="C882" s="1">
        <v>45852</v>
      </c>
      <c r="D882" s="1" t="str">
        <f xml:space="preserve"> TEXT(FilmaxData[[#This Row],[Show_Date]],"MMM")</f>
        <v>Jul</v>
      </c>
      <c r="E882" s="1" t="str">
        <f xml:space="preserve"> TEXT(FilmaxData[[#This Row],[Show_Date]],"DDD")</f>
        <v>Mon</v>
      </c>
      <c r="F882" t="s">
        <v>11</v>
      </c>
      <c r="G882" t="s">
        <v>17</v>
      </c>
      <c r="H882">
        <v>4</v>
      </c>
      <c r="I882">
        <v>12</v>
      </c>
      <c r="J882" t="s">
        <v>23</v>
      </c>
      <c r="K882" t="s">
        <v>18</v>
      </c>
      <c r="L882">
        <v>48</v>
      </c>
    </row>
    <row r="883" spans="1:12" x14ac:dyDescent="0.3">
      <c r="A883">
        <v>1512</v>
      </c>
      <c r="B883" t="s">
        <v>28</v>
      </c>
      <c r="C883" s="1">
        <v>45902</v>
      </c>
      <c r="D883" s="1" t="str">
        <f xml:space="preserve"> TEXT(FilmaxData[[#This Row],[Show_Date]],"MMM")</f>
        <v>Sep</v>
      </c>
      <c r="E883" s="1" t="str">
        <f xml:space="preserve"> TEXT(FilmaxData[[#This Row],[Show_Date]],"DDD")</f>
        <v>Tue</v>
      </c>
      <c r="F883" t="s">
        <v>11</v>
      </c>
      <c r="G883" t="s">
        <v>17</v>
      </c>
      <c r="H883">
        <v>1</v>
      </c>
      <c r="I883">
        <v>12</v>
      </c>
      <c r="J883" t="s">
        <v>23</v>
      </c>
      <c r="K883" t="s">
        <v>18</v>
      </c>
      <c r="L883">
        <v>12</v>
      </c>
    </row>
    <row r="884" spans="1:12" x14ac:dyDescent="0.3">
      <c r="A884">
        <v>1026</v>
      </c>
      <c r="B884" t="s">
        <v>10</v>
      </c>
      <c r="C884" s="1">
        <v>45881</v>
      </c>
      <c r="D884" s="1" t="str">
        <f xml:space="preserve"> TEXT(FilmaxData[[#This Row],[Show_Date]],"MMM")</f>
        <v>Aug</v>
      </c>
      <c r="E884" s="1" t="str">
        <f xml:space="preserve"> TEXT(FilmaxData[[#This Row],[Show_Date]],"DDD")</f>
        <v>Tue</v>
      </c>
      <c r="F884" t="s">
        <v>11</v>
      </c>
      <c r="G884" t="s">
        <v>17</v>
      </c>
      <c r="H884">
        <v>2</v>
      </c>
      <c r="I884">
        <v>12</v>
      </c>
      <c r="J884" t="s">
        <v>23</v>
      </c>
      <c r="K884" t="s">
        <v>18</v>
      </c>
      <c r="L884">
        <v>24</v>
      </c>
    </row>
    <row r="885" spans="1:12" x14ac:dyDescent="0.3">
      <c r="A885">
        <v>1871</v>
      </c>
      <c r="B885" t="s">
        <v>28</v>
      </c>
      <c r="C885" s="1">
        <v>45858</v>
      </c>
      <c r="D885" s="1" t="str">
        <f xml:space="preserve"> TEXT(FilmaxData[[#This Row],[Show_Date]],"MMM")</f>
        <v>Jul</v>
      </c>
      <c r="E885" s="1" t="str">
        <f xml:space="preserve"> TEXT(FilmaxData[[#This Row],[Show_Date]],"DDD")</f>
        <v>Sun</v>
      </c>
      <c r="F885" t="s">
        <v>11</v>
      </c>
      <c r="G885" t="s">
        <v>17</v>
      </c>
      <c r="H885">
        <v>5</v>
      </c>
      <c r="I885">
        <v>12</v>
      </c>
      <c r="J885" t="s">
        <v>21</v>
      </c>
      <c r="K885" t="s">
        <v>18</v>
      </c>
      <c r="L885">
        <v>60</v>
      </c>
    </row>
    <row r="886" spans="1:12" x14ac:dyDescent="0.3">
      <c r="A886">
        <v>1207</v>
      </c>
      <c r="B886" t="s">
        <v>15</v>
      </c>
      <c r="C886" s="1">
        <v>45865</v>
      </c>
      <c r="D886" s="1" t="str">
        <f xml:space="preserve"> TEXT(FilmaxData[[#This Row],[Show_Date]],"MMM")</f>
        <v>Jul</v>
      </c>
      <c r="E886" s="1" t="str">
        <f xml:space="preserve"> TEXT(FilmaxData[[#This Row],[Show_Date]],"DDD")</f>
        <v>Sun</v>
      </c>
      <c r="F886" t="s">
        <v>11</v>
      </c>
      <c r="G886" t="s">
        <v>22</v>
      </c>
      <c r="H886">
        <v>4</v>
      </c>
      <c r="I886">
        <v>20</v>
      </c>
      <c r="J886" t="s">
        <v>13</v>
      </c>
      <c r="K886" t="s">
        <v>18</v>
      </c>
      <c r="L886">
        <v>80</v>
      </c>
    </row>
    <row r="887" spans="1:12" x14ac:dyDescent="0.3">
      <c r="A887">
        <v>44</v>
      </c>
      <c r="B887" t="s">
        <v>19</v>
      </c>
      <c r="C887" s="1">
        <v>45892</v>
      </c>
      <c r="D887" s="1" t="str">
        <f xml:space="preserve"> TEXT(FilmaxData[[#This Row],[Show_Date]],"MMM")</f>
        <v>Aug</v>
      </c>
      <c r="E887" s="1" t="str">
        <f xml:space="preserve"> TEXT(FilmaxData[[#This Row],[Show_Date]],"DDD")</f>
        <v>Sat</v>
      </c>
      <c r="F887" t="s">
        <v>11</v>
      </c>
      <c r="G887" t="s">
        <v>17</v>
      </c>
      <c r="H887">
        <v>2</v>
      </c>
      <c r="I887">
        <v>12</v>
      </c>
      <c r="J887" t="s">
        <v>23</v>
      </c>
      <c r="K887" t="s">
        <v>18</v>
      </c>
      <c r="L887">
        <v>24</v>
      </c>
    </row>
    <row r="888" spans="1:12" x14ac:dyDescent="0.3">
      <c r="A888">
        <v>1436</v>
      </c>
      <c r="B888" t="s">
        <v>26</v>
      </c>
      <c r="C888" s="1">
        <v>45873</v>
      </c>
      <c r="D888" s="1" t="str">
        <f xml:space="preserve"> TEXT(FilmaxData[[#This Row],[Show_Date]],"MMM")</f>
        <v>Aug</v>
      </c>
      <c r="E888" s="1" t="str">
        <f xml:space="preserve"> TEXT(FilmaxData[[#This Row],[Show_Date]],"DDD")</f>
        <v>Mon</v>
      </c>
      <c r="F888" t="s">
        <v>11</v>
      </c>
      <c r="G888" t="s">
        <v>17</v>
      </c>
      <c r="H888">
        <v>2</v>
      </c>
      <c r="I888">
        <v>12</v>
      </c>
      <c r="J888" t="s">
        <v>13</v>
      </c>
      <c r="K888" t="s">
        <v>18</v>
      </c>
      <c r="L888">
        <v>24</v>
      </c>
    </row>
    <row r="889" spans="1:12" x14ac:dyDescent="0.3">
      <c r="A889">
        <v>1028</v>
      </c>
      <c r="B889" t="s">
        <v>32</v>
      </c>
      <c r="C889" s="1">
        <v>45866</v>
      </c>
      <c r="D889" s="1" t="str">
        <f xml:space="preserve"> TEXT(FilmaxData[[#This Row],[Show_Date]],"MMM")</f>
        <v>Jul</v>
      </c>
      <c r="E889" s="1" t="str">
        <f xml:space="preserve"> TEXT(FilmaxData[[#This Row],[Show_Date]],"DDD")</f>
        <v>Mon</v>
      </c>
      <c r="F889" t="s">
        <v>11</v>
      </c>
      <c r="G889" t="s">
        <v>12</v>
      </c>
      <c r="H889">
        <v>5</v>
      </c>
      <c r="I889">
        <v>25</v>
      </c>
      <c r="J889" t="s">
        <v>21</v>
      </c>
      <c r="K889" t="s">
        <v>18</v>
      </c>
      <c r="L889">
        <v>125</v>
      </c>
    </row>
    <row r="890" spans="1:12" x14ac:dyDescent="0.3">
      <c r="A890">
        <v>951</v>
      </c>
      <c r="B890" t="s">
        <v>32</v>
      </c>
      <c r="C890" s="1">
        <v>45897</v>
      </c>
      <c r="D890" s="1" t="str">
        <f xml:space="preserve"> TEXT(FilmaxData[[#This Row],[Show_Date]],"MMM")</f>
        <v>Aug</v>
      </c>
      <c r="E890" s="1" t="str">
        <f xml:space="preserve"> TEXT(FilmaxData[[#This Row],[Show_Date]],"DDD")</f>
        <v>Thu</v>
      </c>
      <c r="F890" t="s">
        <v>11</v>
      </c>
      <c r="G890" t="s">
        <v>22</v>
      </c>
      <c r="H890">
        <v>4</v>
      </c>
      <c r="I890">
        <v>20</v>
      </c>
      <c r="J890" t="s">
        <v>23</v>
      </c>
      <c r="K890" t="s">
        <v>18</v>
      </c>
      <c r="L890">
        <v>80</v>
      </c>
    </row>
    <row r="891" spans="1:12" x14ac:dyDescent="0.3">
      <c r="A891">
        <v>250</v>
      </c>
      <c r="B891" t="s">
        <v>32</v>
      </c>
      <c r="C891" s="1">
        <v>45848</v>
      </c>
      <c r="D891" s="1" t="str">
        <f xml:space="preserve"> TEXT(FilmaxData[[#This Row],[Show_Date]],"MMM")</f>
        <v>Jul</v>
      </c>
      <c r="E891" s="1" t="str">
        <f xml:space="preserve"> TEXT(FilmaxData[[#This Row],[Show_Date]],"DDD")</f>
        <v>Thu</v>
      </c>
      <c r="F891" t="s">
        <v>11</v>
      </c>
      <c r="G891" t="s">
        <v>17</v>
      </c>
      <c r="H891">
        <v>5</v>
      </c>
      <c r="I891">
        <v>12</v>
      </c>
      <c r="J891" t="s">
        <v>21</v>
      </c>
      <c r="K891" t="s">
        <v>18</v>
      </c>
      <c r="L891">
        <v>60</v>
      </c>
    </row>
    <row r="892" spans="1:12" x14ac:dyDescent="0.3">
      <c r="A892">
        <v>934</v>
      </c>
      <c r="B892" t="s">
        <v>24</v>
      </c>
      <c r="C892" s="1">
        <v>45859</v>
      </c>
      <c r="D892" s="1" t="str">
        <f xml:space="preserve"> TEXT(FilmaxData[[#This Row],[Show_Date]],"MMM")</f>
        <v>Jul</v>
      </c>
      <c r="E892" s="1" t="str">
        <f xml:space="preserve"> TEXT(FilmaxData[[#This Row],[Show_Date]],"DDD")</f>
        <v>Mon</v>
      </c>
      <c r="F892" t="s">
        <v>11</v>
      </c>
      <c r="G892" t="s">
        <v>12</v>
      </c>
      <c r="H892">
        <v>1</v>
      </c>
      <c r="I892">
        <v>25</v>
      </c>
      <c r="J892" t="s">
        <v>23</v>
      </c>
      <c r="K892" t="s">
        <v>18</v>
      </c>
      <c r="L892">
        <v>25</v>
      </c>
    </row>
    <row r="893" spans="1:12" x14ac:dyDescent="0.3">
      <c r="A893">
        <v>1726</v>
      </c>
      <c r="B893" t="s">
        <v>10</v>
      </c>
      <c r="C893" s="1">
        <v>45901</v>
      </c>
      <c r="D893" s="1" t="str">
        <f xml:space="preserve"> TEXT(FilmaxData[[#This Row],[Show_Date]],"MMM")</f>
        <v>Sep</v>
      </c>
      <c r="E893" s="1" t="str">
        <f xml:space="preserve"> TEXT(FilmaxData[[#This Row],[Show_Date]],"DDD")</f>
        <v>Mon</v>
      </c>
      <c r="F893" t="s">
        <v>11</v>
      </c>
      <c r="G893" t="s">
        <v>29</v>
      </c>
      <c r="H893">
        <v>5</v>
      </c>
      <c r="I893">
        <v>30</v>
      </c>
      <c r="J893" t="s">
        <v>21</v>
      </c>
      <c r="K893" t="s">
        <v>18</v>
      </c>
      <c r="L893">
        <v>150</v>
      </c>
    </row>
    <row r="894" spans="1:12" x14ac:dyDescent="0.3">
      <c r="A894">
        <v>1893</v>
      </c>
      <c r="B894" t="s">
        <v>15</v>
      </c>
      <c r="C894" s="1">
        <v>45840</v>
      </c>
      <c r="D894" s="1" t="str">
        <f xml:space="preserve"> TEXT(FilmaxData[[#This Row],[Show_Date]],"MMM")</f>
        <v>Jul</v>
      </c>
      <c r="E894" s="1" t="str">
        <f xml:space="preserve"> TEXT(FilmaxData[[#This Row],[Show_Date]],"DDD")</f>
        <v>Wed</v>
      </c>
      <c r="F894" t="s">
        <v>11</v>
      </c>
      <c r="G894" t="s">
        <v>30</v>
      </c>
      <c r="H894">
        <v>1</v>
      </c>
      <c r="I894">
        <v>8</v>
      </c>
      <c r="J894" t="s">
        <v>13</v>
      </c>
      <c r="K894" t="s">
        <v>18</v>
      </c>
      <c r="L894">
        <v>8</v>
      </c>
    </row>
    <row r="895" spans="1:12" x14ac:dyDescent="0.3">
      <c r="A895">
        <v>1319</v>
      </c>
      <c r="B895" t="s">
        <v>26</v>
      </c>
      <c r="C895" s="1">
        <v>45907</v>
      </c>
      <c r="D895" s="1" t="str">
        <f xml:space="preserve"> TEXT(FilmaxData[[#This Row],[Show_Date]],"MMM")</f>
        <v>Sep</v>
      </c>
      <c r="E895" s="1" t="str">
        <f xml:space="preserve"> TEXT(FilmaxData[[#This Row],[Show_Date]],"DDD")</f>
        <v>Sun</v>
      </c>
      <c r="F895" t="s">
        <v>11</v>
      </c>
      <c r="G895" t="s">
        <v>22</v>
      </c>
      <c r="H895">
        <v>4</v>
      </c>
      <c r="I895">
        <v>20</v>
      </c>
      <c r="J895" t="s">
        <v>13</v>
      </c>
      <c r="K895" t="s">
        <v>18</v>
      </c>
      <c r="L895">
        <v>80</v>
      </c>
    </row>
    <row r="896" spans="1:12" x14ac:dyDescent="0.3">
      <c r="A896">
        <v>1074</v>
      </c>
      <c r="B896" t="s">
        <v>32</v>
      </c>
      <c r="C896" s="1">
        <v>45878</v>
      </c>
      <c r="D896" s="1" t="str">
        <f xml:space="preserve"> TEXT(FilmaxData[[#This Row],[Show_Date]],"MMM")</f>
        <v>Aug</v>
      </c>
      <c r="E896" s="1" t="str">
        <f xml:space="preserve"> TEXT(FilmaxData[[#This Row],[Show_Date]],"DDD")</f>
        <v>Sat</v>
      </c>
      <c r="F896" t="s">
        <v>11</v>
      </c>
      <c r="G896" t="s">
        <v>17</v>
      </c>
      <c r="H896">
        <v>2</v>
      </c>
      <c r="I896">
        <v>12</v>
      </c>
      <c r="J896" t="s">
        <v>21</v>
      </c>
      <c r="K896" t="s">
        <v>18</v>
      </c>
      <c r="L896">
        <v>24</v>
      </c>
    </row>
    <row r="897" spans="1:12" x14ac:dyDescent="0.3">
      <c r="A897">
        <v>120</v>
      </c>
      <c r="B897" t="s">
        <v>15</v>
      </c>
      <c r="C897" s="1">
        <v>45885</v>
      </c>
      <c r="D897" s="1" t="str">
        <f xml:space="preserve"> TEXT(FilmaxData[[#This Row],[Show_Date]],"MMM")</f>
        <v>Aug</v>
      </c>
      <c r="E897" s="1" t="str">
        <f xml:space="preserve"> TEXT(FilmaxData[[#This Row],[Show_Date]],"DDD")</f>
        <v>Sat</v>
      </c>
      <c r="F897" t="s">
        <v>11</v>
      </c>
      <c r="G897" t="s">
        <v>22</v>
      </c>
      <c r="H897">
        <v>1</v>
      </c>
      <c r="I897">
        <v>20</v>
      </c>
      <c r="J897" t="s">
        <v>21</v>
      </c>
      <c r="K897" t="s">
        <v>18</v>
      </c>
      <c r="L897">
        <v>20</v>
      </c>
    </row>
    <row r="898" spans="1:12" x14ac:dyDescent="0.3">
      <c r="A898">
        <v>98</v>
      </c>
      <c r="B898" t="s">
        <v>31</v>
      </c>
      <c r="C898" s="1">
        <v>45886</v>
      </c>
      <c r="D898" s="1" t="str">
        <f xml:space="preserve"> TEXT(FilmaxData[[#This Row],[Show_Date]],"MMM")</f>
        <v>Aug</v>
      </c>
      <c r="E898" s="1" t="str">
        <f xml:space="preserve"> TEXT(FilmaxData[[#This Row],[Show_Date]],"DDD")</f>
        <v>Sun</v>
      </c>
      <c r="F898" t="s">
        <v>11</v>
      </c>
      <c r="G898" t="s">
        <v>12</v>
      </c>
      <c r="H898">
        <v>2</v>
      </c>
      <c r="I898">
        <v>25</v>
      </c>
      <c r="J898" t="s">
        <v>13</v>
      </c>
      <c r="K898" t="s">
        <v>18</v>
      </c>
      <c r="L898">
        <v>50</v>
      </c>
    </row>
    <row r="899" spans="1:12" x14ac:dyDescent="0.3">
      <c r="A899">
        <v>939</v>
      </c>
      <c r="B899" t="s">
        <v>10</v>
      </c>
      <c r="C899" s="1">
        <v>45919</v>
      </c>
      <c r="D899" s="1" t="str">
        <f xml:space="preserve"> TEXT(FilmaxData[[#This Row],[Show_Date]],"MMM")</f>
        <v>Sep</v>
      </c>
      <c r="E899" s="1" t="str">
        <f xml:space="preserve"> TEXT(FilmaxData[[#This Row],[Show_Date]],"DDD")</f>
        <v>Fri</v>
      </c>
      <c r="F899" t="s">
        <v>11</v>
      </c>
      <c r="G899" t="s">
        <v>29</v>
      </c>
      <c r="H899">
        <v>1</v>
      </c>
      <c r="I899">
        <v>30</v>
      </c>
      <c r="J899" t="s">
        <v>13</v>
      </c>
      <c r="K899" t="s">
        <v>18</v>
      </c>
      <c r="L899">
        <v>30</v>
      </c>
    </row>
    <row r="900" spans="1:12" x14ac:dyDescent="0.3">
      <c r="A900">
        <v>457</v>
      </c>
      <c r="B900" t="s">
        <v>10</v>
      </c>
      <c r="C900" s="1">
        <v>45864</v>
      </c>
      <c r="D900" s="1" t="str">
        <f xml:space="preserve"> TEXT(FilmaxData[[#This Row],[Show_Date]],"MMM")</f>
        <v>Jul</v>
      </c>
      <c r="E900" s="1" t="str">
        <f xml:space="preserve"> TEXT(FilmaxData[[#This Row],[Show_Date]],"DDD")</f>
        <v>Sat</v>
      </c>
      <c r="F900" t="s">
        <v>11</v>
      </c>
      <c r="G900" t="s">
        <v>17</v>
      </c>
      <c r="H900">
        <v>1</v>
      </c>
      <c r="I900">
        <v>12</v>
      </c>
      <c r="J900" t="s">
        <v>21</v>
      </c>
      <c r="K900" t="s">
        <v>18</v>
      </c>
      <c r="L900">
        <v>12</v>
      </c>
    </row>
    <row r="901" spans="1:12" x14ac:dyDescent="0.3">
      <c r="A901">
        <v>13</v>
      </c>
      <c r="B901" t="s">
        <v>32</v>
      </c>
      <c r="C901" s="1">
        <v>45856</v>
      </c>
      <c r="D901" s="1" t="str">
        <f xml:space="preserve"> TEXT(FilmaxData[[#This Row],[Show_Date]],"MMM")</f>
        <v>Jul</v>
      </c>
      <c r="E901" s="1" t="str">
        <f xml:space="preserve"> TEXT(FilmaxData[[#This Row],[Show_Date]],"DDD")</f>
        <v>Fri</v>
      </c>
      <c r="F901" t="s">
        <v>11</v>
      </c>
      <c r="G901" t="s">
        <v>29</v>
      </c>
      <c r="H901">
        <v>4</v>
      </c>
      <c r="I901">
        <v>30</v>
      </c>
      <c r="J901" t="s">
        <v>23</v>
      </c>
      <c r="K901" t="s">
        <v>18</v>
      </c>
      <c r="L901">
        <v>120</v>
      </c>
    </row>
    <row r="902" spans="1:12" x14ac:dyDescent="0.3">
      <c r="A902">
        <v>1575</v>
      </c>
      <c r="B902" t="s">
        <v>19</v>
      </c>
      <c r="C902" s="1">
        <v>45877</v>
      </c>
      <c r="D902" s="1" t="str">
        <f xml:space="preserve"> TEXT(FilmaxData[[#This Row],[Show_Date]],"MMM")</f>
        <v>Aug</v>
      </c>
      <c r="E902" s="1" t="str">
        <f xml:space="preserve"> TEXT(FilmaxData[[#This Row],[Show_Date]],"DDD")</f>
        <v>Fri</v>
      </c>
      <c r="F902" t="s">
        <v>11</v>
      </c>
      <c r="G902" t="s">
        <v>22</v>
      </c>
      <c r="H902">
        <v>4</v>
      </c>
      <c r="I902">
        <v>20</v>
      </c>
      <c r="J902" t="s">
        <v>13</v>
      </c>
      <c r="K902" t="s">
        <v>18</v>
      </c>
      <c r="L902">
        <v>80</v>
      </c>
    </row>
    <row r="903" spans="1:12" x14ac:dyDescent="0.3">
      <c r="A903">
        <v>101</v>
      </c>
      <c r="B903" t="s">
        <v>28</v>
      </c>
      <c r="C903" s="1">
        <v>45857</v>
      </c>
      <c r="D903" s="1" t="str">
        <f xml:space="preserve"> TEXT(FilmaxData[[#This Row],[Show_Date]],"MMM")</f>
        <v>Jul</v>
      </c>
      <c r="E903" s="1" t="str">
        <f xml:space="preserve"> TEXT(FilmaxData[[#This Row],[Show_Date]],"DDD")</f>
        <v>Sat</v>
      </c>
      <c r="F903" t="s">
        <v>11</v>
      </c>
      <c r="G903" t="s">
        <v>29</v>
      </c>
      <c r="H903">
        <v>4</v>
      </c>
      <c r="I903">
        <v>30</v>
      </c>
      <c r="J903" t="s">
        <v>21</v>
      </c>
      <c r="K903" t="s">
        <v>18</v>
      </c>
      <c r="L903">
        <v>120</v>
      </c>
    </row>
    <row r="904" spans="1:12" x14ac:dyDescent="0.3">
      <c r="A904">
        <v>224</v>
      </c>
      <c r="B904" t="s">
        <v>31</v>
      </c>
      <c r="C904" s="1">
        <v>45871</v>
      </c>
      <c r="D904" s="1" t="str">
        <f xml:space="preserve"> TEXT(FilmaxData[[#This Row],[Show_Date]],"MMM")</f>
        <v>Aug</v>
      </c>
      <c r="E904" s="1" t="str">
        <f xml:space="preserve"> TEXT(FilmaxData[[#This Row],[Show_Date]],"DDD")</f>
        <v>Sat</v>
      </c>
      <c r="F904" t="s">
        <v>11</v>
      </c>
      <c r="G904" t="s">
        <v>17</v>
      </c>
      <c r="H904">
        <v>1</v>
      </c>
      <c r="I904">
        <v>12</v>
      </c>
      <c r="J904" t="s">
        <v>23</v>
      </c>
      <c r="K904" t="s">
        <v>18</v>
      </c>
      <c r="L904">
        <v>12</v>
      </c>
    </row>
    <row r="905" spans="1:12" x14ac:dyDescent="0.3">
      <c r="A905">
        <v>333</v>
      </c>
      <c r="B905" t="s">
        <v>31</v>
      </c>
      <c r="C905" s="1">
        <v>45893</v>
      </c>
      <c r="D905" s="1" t="str">
        <f xml:space="preserve"> TEXT(FilmaxData[[#This Row],[Show_Date]],"MMM")</f>
        <v>Aug</v>
      </c>
      <c r="E905" s="1" t="str">
        <f xml:space="preserve"> TEXT(FilmaxData[[#This Row],[Show_Date]],"DDD")</f>
        <v>Sun</v>
      </c>
      <c r="F905" t="s">
        <v>11</v>
      </c>
      <c r="G905" t="s">
        <v>12</v>
      </c>
      <c r="H905">
        <v>2</v>
      </c>
      <c r="I905">
        <v>25</v>
      </c>
      <c r="J905" t="s">
        <v>21</v>
      </c>
      <c r="K905" t="s">
        <v>18</v>
      </c>
      <c r="L905">
        <v>50</v>
      </c>
    </row>
    <row r="906" spans="1:12" x14ac:dyDescent="0.3">
      <c r="A906">
        <v>1506</v>
      </c>
      <c r="B906" t="s">
        <v>32</v>
      </c>
      <c r="C906" s="1">
        <v>45875</v>
      </c>
      <c r="D906" s="1" t="str">
        <f xml:space="preserve"> TEXT(FilmaxData[[#This Row],[Show_Date]],"MMM")</f>
        <v>Aug</v>
      </c>
      <c r="E906" s="1" t="str">
        <f xml:space="preserve"> TEXT(FilmaxData[[#This Row],[Show_Date]],"DDD")</f>
        <v>Wed</v>
      </c>
      <c r="F906" t="s">
        <v>11</v>
      </c>
      <c r="G906" t="s">
        <v>12</v>
      </c>
      <c r="H906">
        <v>1</v>
      </c>
      <c r="I906">
        <v>25</v>
      </c>
      <c r="J906" t="s">
        <v>21</v>
      </c>
      <c r="K906" t="s">
        <v>18</v>
      </c>
      <c r="L906">
        <v>25</v>
      </c>
    </row>
    <row r="907" spans="1:12" x14ac:dyDescent="0.3">
      <c r="A907">
        <v>1271</v>
      </c>
      <c r="B907" t="s">
        <v>26</v>
      </c>
      <c r="C907" s="1">
        <v>45880</v>
      </c>
      <c r="D907" s="1" t="str">
        <f xml:space="preserve"> TEXT(FilmaxData[[#This Row],[Show_Date]],"MMM")</f>
        <v>Aug</v>
      </c>
      <c r="E907" s="1" t="str">
        <f xml:space="preserve"> TEXT(FilmaxData[[#This Row],[Show_Date]],"DDD")</f>
        <v>Mon</v>
      </c>
      <c r="F907" t="s">
        <v>11</v>
      </c>
      <c r="G907" t="s">
        <v>17</v>
      </c>
      <c r="H907">
        <v>3</v>
      </c>
      <c r="I907">
        <v>12</v>
      </c>
      <c r="J907" t="s">
        <v>13</v>
      </c>
      <c r="K907" t="s">
        <v>18</v>
      </c>
      <c r="L907">
        <v>36</v>
      </c>
    </row>
    <row r="908" spans="1:12" x14ac:dyDescent="0.3">
      <c r="A908">
        <v>90</v>
      </c>
      <c r="B908" t="s">
        <v>26</v>
      </c>
      <c r="C908" s="1">
        <v>45874</v>
      </c>
      <c r="D908" s="1" t="str">
        <f xml:space="preserve"> TEXT(FilmaxData[[#This Row],[Show_Date]],"MMM")</f>
        <v>Aug</v>
      </c>
      <c r="E908" s="1" t="str">
        <f xml:space="preserve"> TEXT(FilmaxData[[#This Row],[Show_Date]],"DDD")</f>
        <v>Tue</v>
      </c>
      <c r="F908" t="s">
        <v>11</v>
      </c>
      <c r="G908" t="s">
        <v>17</v>
      </c>
      <c r="H908">
        <v>3</v>
      </c>
      <c r="I908">
        <v>12</v>
      </c>
      <c r="J908" t="s">
        <v>13</v>
      </c>
      <c r="K908" t="s">
        <v>18</v>
      </c>
      <c r="L908">
        <v>36</v>
      </c>
    </row>
    <row r="909" spans="1:12" x14ac:dyDescent="0.3">
      <c r="A909">
        <v>1300</v>
      </c>
      <c r="B909" t="s">
        <v>26</v>
      </c>
      <c r="C909" s="1">
        <v>45919</v>
      </c>
      <c r="D909" s="1" t="str">
        <f xml:space="preserve"> TEXT(FilmaxData[[#This Row],[Show_Date]],"MMM")</f>
        <v>Sep</v>
      </c>
      <c r="E909" s="1" t="str">
        <f xml:space="preserve"> TEXT(FilmaxData[[#This Row],[Show_Date]],"DDD")</f>
        <v>Fri</v>
      </c>
      <c r="F909" t="s">
        <v>11</v>
      </c>
      <c r="G909" t="s">
        <v>22</v>
      </c>
      <c r="H909">
        <v>2</v>
      </c>
      <c r="I909">
        <v>20</v>
      </c>
      <c r="J909" t="s">
        <v>21</v>
      </c>
      <c r="K909" t="s">
        <v>18</v>
      </c>
      <c r="L909">
        <v>40</v>
      </c>
    </row>
    <row r="910" spans="1:12" x14ac:dyDescent="0.3">
      <c r="A910">
        <v>395</v>
      </c>
      <c r="B910" t="s">
        <v>32</v>
      </c>
      <c r="C910" s="1">
        <v>45843</v>
      </c>
      <c r="D910" s="1" t="str">
        <f xml:space="preserve"> TEXT(FilmaxData[[#This Row],[Show_Date]],"MMM")</f>
        <v>Jul</v>
      </c>
      <c r="E910" s="1" t="str">
        <f xml:space="preserve"> TEXT(FilmaxData[[#This Row],[Show_Date]],"DDD")</f>
        <v>Sat</v>
      </c>
      <c r="F910" t="s">
        <v>11</v>
      </c>
      <c r="G910" t="s">
        <v>22</v>
      </c>
      <c r="H910">
        <v>2</v>
      </c>
      <c r="I910">
        <v>20</v>
      </c>
      <c r="J910" t="s">
        <v>13</v>
      </c>
      <c r="K910" t="s">
        <v>18</v>
      </c>
      <c r="L910">
        <v>40</v>
      </c>
    </row>
    <row r="911" spans="1:12" x14ac:dyDescent="0.3">
      <c r="A911">
        <v>1078</v>
      </c>
      <c r="B911" t="s">
        <v>24</v>
      </c>
      <c r="C911" s="1">
        <v>45858</v>
      </c>
      <c r="D911" s="1" t="str">
        <f xml:space="preserve"> TEXT(FilmaxData[[#This Row],[Show_Date]],"MMM")</f>
        <v>Jul</v>
      </c>
      <c r="E911" s="1" t="str">
        <f xml:space="preserve"> TEXT(FilmaxData[[#This Row],[Show_Date]],"DDD")</f>
        <v>Sun</v>
      </c>
      <c r="F911" t="s">
        <v>11</v>
      </c>
      <c r="G911" t="s">
        <v>17</v>
      </c>
      <c r="H911">
        <v>4</v>
      </c>
      <c r="I911">
        <v>12</v>
      </c>
      <c r="J911" t="s">
        <v>13</v>
      </c>
      <c r="K911" t="s">
        <v>18</v>
      </c>
      <c r="L911">
        <v>48</v>
      </c>
    </row>
    <row r="912" spans="1:12" x14ac:dyDescent="0.3">
      <c r="A912">
        <v>1349</v>
      </c>
      <c r="B912" t="s">
        <v>19</v>
      </c>
      <c r="C912" s="1">
        <v>45910</v>
      </c>
      <c r="D912" s="1" t="str">
        <f xml:space="preserve"> TEXT(FilmaxData[[#This Row],[Show_Date]],"MMM")</f>
        <v>Sep</v>
      </c>
      <c r="E912" s="1" t="str">
        <f xml:space="preserve"> TEXT(FilmaxData[[#This Row],[Show_Date]],"DDD")</f>
        <v>Wed</v>
      </c>
      <c r="F912" t="s">
        <v>11</v>
      </c>
      <c r="G912" t="s">
        <v>17</v>
      </c>
      <c r="H912">
        <v>4</v>
      </c>
      <c r="I912">
        <v>12</v>
      </c>
      <c r="J912" t="s">
        <v>13</v>
      </c>
      <c r="K912" t="s">
        <v>18</v>
      </c>
      <c r="L912">
        <v>48</v>
      </c>
    </row>
    <row r="913" spans="1:12" x14ac:dyDescent="0.3">
      <c r="A913">
        <v>394</v>
      </c>
      <c r="B913" t="s">
        <v>19</v>
      </c>
      <c r="C913" s="1">
        <v>45882</v>
      </c>
      <c r="D913" s="1" t="str">
        <f xml:space="preserve"> TEXT(FilmaxData[[#This Row],[Show_Date]],"MMM")</f>
        <v>Aug</v>
      </c>
      <c r="E913" s="1" t="str">
        <f xml:space="preserve"> TEXT(FilmaxData[[#This Row],[Show_Date]],"DDD")</f>
        <v>Wed</v>
      </c>
      <c r="F913" t="s">
        <v>11</v>
      </c>
      <c r="G913" t="s">
        <v>17</v>
      </c>
      <c r="H913">
        <v>4</v>
      </c>
      <c r="I913">
        <v>12</v>
      </c>
      <c r="J913" t="s">
        <v>21</v>
      </c>
      <c r="K913" t="s">
        <v>18</v>
      </c>
      <c r="L913">
        <v>48</v>
      </c>
    </row>
    <row r="914" spans="1:12" x14ac:dyDescent="0.3">
      <c r="A914">
        <v>851</v>
      </c>
      <c r="B914" t="s">
        <v>28</v>
      </c>
      <c r="C914" s="1">
        <v>45875</v>
      </c>
      <c r="D914" s="1" t="str">
        <f xml:space="preserve"> TEXT(FilmaxData[[#This Row],[Show_Date]],"MMM")</f>
        <v>Aug</v>
      </c>
      <c r="E914" s="1" t="str">
        <f xml:space="preserve"> TEXT(FilmaxData[[#This Row],[Show_Date]],"DDD")</f>
        <v>Wed</v>
      </c>
      <c r="F914" t="s">
        <v>11</v>
      </c>
      <c r="G914" t="s">
        <v>30</v>
      </c>
      <c r="H914">
        <v>5</v>
      </c>
      <c r="I914">
        <v>8</v>
      </c>
      <c r="J914" t="s">
        <v>23</v>
      </c>
      <c r="K914" t="s">
        <v>18</v>
      </c>
      <c r="L914">
        <v>40</v>
      </c>
    </row>
    <row r="915" spans="1:12" x14ac:dyDescent="0.3">
      <c r="A915">
        <v>1359</v>
      </c>
      <c r="B915" t="s">
        <v>31</v>
      </c>
      <c r="C915" s="1">
        <v>45885</v>
      </c>
      <c r="D915" s="1" t="str">
        <f xml:space="preserve"> TEXT(FilmaxData[[#This Row],[Show_Date]],"MMM")</f>
        <v>Aug</v>
      </c>
      <c r="E915" s="1" t="str">
        <f xml:space="preserve"> TEXT(FilmaxData[[#This Row],[Show_Date]],"DDD")</f>
        <v>Sat</v>
      </c>
      <c r="F915" t="s">
        <v>11</v>
      </c>
      <c r="G915" t="s">
        <v>22</v>
      </c>
      <c r="H915">
        <v>3</v>
      </c>
      <c r="I915">
        <v>20</v>
      </c>
      <c r="J915" t="s">
        <v>13</v>
      </c>
      <c r="K915" t="s">
        <v>18</v>
      </c>
      <c r="L915">
        <v>60</v>
      </c>
    </row>
    <row r="916" spans="1:12" x14ac:dyDescent="0.3">
      <c r="A916">
        <v>1730</v>
      </c>
      <c r="B916" t="s">
        <v>10</v>
      </c>
      <c r="C916" s="1">
        <v>45858</v>
      </c>
      <c r="D916" s="1" t="str">
        <f xml:space="preserve"> TEXT(FilmaxData[[#This Row],[Show_Date]],"MMM")</f>
        <v>Jul</v>
      </c>
      <c r="E916" s="1" t="str">
        <f xml:space="preserve"> TEXT(FilmaxData[[#This Row],[Show_Date]],"DDD")</f>
        <v>Sun</v>
      </c>
      <c r="F916" t="s">
        <v>11</v>
      </c>
      <c r="G916" t="s">
        <v>12</v>
      </c>
      <c r="H916">
        <v>5</v>
      </c>
      <c r="I916">
        <v>25</v>
      </c>
      <c r="J916" t="s">
        <v>13</v>
      </c>
      <c r="K916" t="s">
        <v>18</v>
      </c>
      <c r="L916">
        <v>125</v>
      </c>
    </row>
    <row r="917" spans="1:12" x14ac:dyDescent="0.3">
      <c r="A917">
        <v>1320</v>
      </c>
      <c r="B917" t="s">
        <v>32</v>
      </c>
      <c r="C917" s="1">
        <v>45907</v>
      </c>
      <c r="D917" s="1" t="str">
        <f xml:space="preserve"> TEXT(FilmaxData[[#This Row],[Show_Date]],"MMM")</f>
        <v>Sep</v>
      </c>
      <c r="E917" s="1" t="str">
        <f xml:space="preserve"> TEXT(FilmaxData[[#This Row],[Show_Date]],"DDD")</f>
        <v>Sun</v>
      </c>
      <c r="F917" t="s">
        <v>11</v>
      </c>
      <c r="G917" t="s">
        <v>30</v>
      </c>
      <c r="H917">
        <v>5</v>
      </c>
      <c r="I917">
        <v>8</v>
      </c>
      <c r="J917" t="s">
        <v>21</v>
      </c>
      <c r="K917" t="s">
        <v>18</v>
      </c>
      <c r="L917">
        <v>40</v>
      </c>
    </row>
    <row r="918" spans="1:12" x14ac:dyDescent="0.3">
      <c r="A918">
        <v>1428</v>
      </c>
      <c r="B918" t="s">
        <v>32</v>
      </c>
      <c r="C918" s="1">
        <v>45906</v>
      </c>
      <c r="D918" s="1" t="str">
        <f xml:space="preserve"> TEXT(FilmaxData[[#This Row],[Show_Date]],"MMM")</f>
        <v>Sep</v>
      </c>
      <c r="E918" s="1" t="str">
        <f xml:space="preserve"> TEXT(FilmaxData[[#This Row],[Show_Date]],"DDD")</f>
        <v>Sat</v>
      </c>
      <c r="F918" t="s">
        <v>11</v>
      </c>
      <c r="G918" t="s">
        <v>12</v>
      </c>
      <c r="H918">
        <v>2</v>
      </c>
      <c r="I918">
        <v>25</v>
      </c>
      <c r="J918" t="s">
        <v>13</v>
      </c>
      <c r="K918" t="s">
        <v>18</v>
      </c>
      <c r="L918">
        <v>50</v>
      </c>
    </row>
    <row r="919" spans="1:12" x14ac:dyDescent="0.3">
      <c r="A919">
        <v>237</v>
      </c>
      <c r="B919" t="s">
        <v>10</v>
      </c>
      <c r="C919" s="1">
        <v>45928</v>
      </c>
      <c r="D919" s="1" t="str">
        <f xml:space="preserve"> TEXT(FilmaxData[[#This Row],[Show_Date]],"MMM")</f>
        <v>Sep</v>
      </c>
      <c r="E919" s="1" t="str">
        <f xml:space="preserve"> TEXT(FilmaxData[[#This Row],[Show_Date]],"DDD")</f>
        <v>Sun</v>
      </c>
      <c r="F919" t="s">
        <v>11</v>
      </c>
      <c r="G919" t="s">
        <v>22</v>
      </c>
      <c r="H919">
        <v>4</v>
      </c>
      <c r="I919">
        <v>20</v>
      </c>
      <c r="J919" t="s">
        <v>23</v>
      </c>
      <c r="K919" t="s">
        <v>18</v>
      </c>
      <c r="L919">
        <v>80</v>
      </c>
    </row>
    <row r="920" spans="1:12" x14ac:dyDescent="0.3">
      <c r="A920">
        <v>1795</v>
      </c>
      <c r="B920" t="s">
        <v>19</v>
      </c>
      <c r="C920" s="1">
        <v>45862</v>
      </c>
      <c r="D920" s="1" t="str">
        <f xml:space="preserve"> TEXT(FilmaxData[[#This Row],[Show_Date]],"MMM")</f>
        <v>Jul</v>
      </c>
      <c r="E920" s="1" t="str">
        <f xml:space="preserve"> TEXT(FilmaxData[[#This Row],[Show_Date]],"DDD")</f>
        <v>Thu</v>
      </c>
      <c r="F920" t="s">
        <v>11</v>
      </c>
      <c r="G920" t="s">
        <v>17</v>
      </c>
      <c r="H920">
        <v>3</v>
      </c>
      <c r="I920">
        <v>12</v>
      </c>
      <c r="J920" t="s">
        <v>21</v>
      </c>
      <c r="K920" t="s">
        <v>18</v>
      </c>
      <c r="L920">
        <v>36</v>
      </c>
    </row>
    <row r="921" spans="1:12" x14ac:dyDescent="0.3">
      <c r="A921">
        <v>678</v>
      </c>
      <c r="B921" t="s">
        <v>19</v>
      </c>
      <c r="C921" s="1">
        <v>45844</v>
      </c>
      <c r="D921" s="1" t="str">
        <f xml:space="preserve"> TEXT(FilmaxData[[#This Row],[Show_Date]],"MMM")</f>
        <v>Jul</v>
      </c>
      <c r="E921" s="1" t="str">
        <f xml:space="preserve"> TEXT(FilmaxData[[#This Row],[Show_Date]],"DDD")</f>
        <v>Sun</v>
      </c>
      <c r="F921" t="s">
        <v>11</v>
      </c>
      <c r="G921" t="s">
        <v>17</v>
      </c>
      <c r="H921">
        <v>1</v>
      </c>
      <c r="I921">
        <v>12</v>
      </c>
      <c r="J921" t="s">
        <v>13</v>
      </c>
      <c r="K921" t="s">
        <v>18</v>
      </c>
      <c r="L921">
        <v>12</v>
      </c>
    </row>
    <row r="922" spans="1:12" x14ac:dyDescent="0.3">
      <c r="A922">
        <v>1313</v>
      </c>
      <c r="B922" t="s">
        <v>24</v>
      </c>
      <c r="C922" s="1">
        <v>45921</v>
      </c>
      <c r="D922" s="1" t="str">
        <f xml:space="preserve"> TEXT(FilmaxData[[#This Row],[Show_Date]],"MMM")</f>
        <v>Sep</v>
      </c>
      <c r="E922" s="1" t="str">
        <f xml:space="preserve"> TEXT(FilmaxData[[#This Row],[Show_Date]],"DDD")</f>
        <v>Sun</v>
      </c>
      <c r="F922" t="s">
        <v>11</v>
      </c>
      <c r="G922" t="s">
        <v>30</v>
      </c>
      <c r="H922">
        <v>2</v>
      </c>
      <c r="I922">
        <v>8</v>
      </c>
      <c r="J922" t="s">
        <v>13</v>
      </c>
      <c r="K922" t="s">
        <v>18</v>
      </c>
      <c r="L922">
        <v>16</v>
      </c>
    </row>
    <row r="923" spans="1:12" x14ac:dyDescent="0.3">
      <c r="A923">
        <v>1121</v>
      </c>
      <c r="B923" t="s">
        <v>26</v>
      </c>
      <c r="C923" s="1">
        <v>45883</v>
      </c>
      <c r="D923" s="1" t="str">
        <f xml:space="preserve"> TEXT(FilmaxData[[#This Row],[Show_Date]],"MMM")</f>
        <v>Aug</v>
      </c>
      <c r="E923" s="1" t="str">
        <f xml:space="preserve"> TEXT(FilmaxData[[#This Row],[Show_Date]],"DDD")</f>
        <v>Thu</v>
      </c>
      <c r="F923" t="s">
        <v>11</v>
      </c>
      <c r="G923" t="s">
        <v>17</v>
      </c>
      <c r="H923">
        <v>2</v>
      </c>
      <c r="I923">
        <v>12</v>
      </c>
      <c r="J923" t="s">
        <v>23</v>
      </c>
      <c r="K923" t="s">
        <v>18</v>
      </c>
      <c r="L923">
        <v>24</v>
      </c>
    </row>
    <row r="924" spans="1:12" x14ac:dyDescent="0.3">
      <c r="A924">
        <v>1637</v>
      </c>
      <c r="B924" t="s">
        <v>24</v>
      </c>
      <c r="C924" s="1">
        <v>45874</v>
      </c>
      <c r="D924" s="1" t="str">
        <f xml:space="preserve"> TEXT(FilmaxData[[#This Row],[Show_Date]],"MMM")</f>
        <v>Aug</v>
      </c>
      <c r="E924" s="1" t="str">
        <f xml:space="preserve"> TEXT(FilmaxData[[#This Row],[Show_Date]],"DDD")</f>
        <v>Tue</v>
      </c>
      <c r="F924" t="s">
        <v>11</v>
      </c>
      <c r="G924" t="s">
        <v>29</v>
      </c>
      <c r="H924">
        <v>4</v>
      </c>
      <c r="I924">
        <v>30</v>
      </c>
      <c r="J924" t="s">
        <v>21</v>
      </c>
      <c r="K924" t="s">
        <v>18</v>
      </c>
      <c r="L924">
        <v>120</v>
      </c>
    </row>
    <row r="925" spans="1:12" x14ac:dyDescent="0.3">
      <c r="A925">
        <v>1079</v>
      </c>
      <c r="B925" t="s">
        <v>10</v>
      </c>
      <c r="C925" s="1">
        <v>45885</v>
      </c>
      <c r="D925" s="1" t="str">
        <f xml:space="preserve"> TEXT(FilmaxData[[#This Row],[Show_Date]],"MMM")</f>
        <v>Aug</v>
      </c>
      <c r="E925" s="1" t="str">
        <f xml:space="preserve"> TEXT(FilmaxData[[#This Row],[Show_Date]],"DDD")</f>
        <v>Sat</v>
      </c>
      <c r="F925" t="s">
        <v>11</v>
      </c>
      <c r="G925" t="s">
        <v>17</v>
      </c>
      <c r="H925">
        <v>1</v>
      </c>
      <c r="I925">
        <v>12</v>
      </c>
      <c r="J925" t="s">
        <v>21</v>
      </c>
      <c r="K925" t="s">
        <v>18</v>
      </c>
      <c r="L925">
        <v>12</v>
      </c>
    </row>
    <row r="926" spans="1:12" x14ac:dyDescent="0.3">
      <c r="A926">
        <v>111</v>
      </c>
      <c r="B926" t="s">
        <v>19</v>
      </c>
      <c r="C926" s="1">
        <v>45851</v>
      </c>
      <c r="D926" s="1" t="str">
        <f xml:space="preserve"> TEXT(FilmaxData[[#This Row],[Show_Date]],"MMM")</f>
        <v>Jul</v>
      </c>
      <c r="E926" s="1" t="str">
        <f xml:space="preserve"> TEXT(FilmaxData[[#This Row],[Show_Date]],"DDD")</f>
        <v>Sun</v>
      </c>
      <c r="F926" t="s">
        <v>11</v>
      </c>
      <c r="G926" t="s">
        <v>17</v>
      </c>
      <c r="H926">
        <v>1</v>
      </c>
      <c r="I926">
        <v>12</v>
      </c>
      <c r="J926" t="s">
        <v>21</v>
      </c>
      <c r="K926" t="s">
        <v>18</v>
      </c>
      <c r="L926">
        <v>12</v>
      </c>
    </row>
    <row r="927" spans="1:12" x14ac:dyDescent="0.3">
      <c r="A927">
        <v>1108</v>
      </c>
      <c r="B927" t="s">
        <v>10</v>
      </c>
      <c r="C927" s="1">
        <v>45879</v>
      </c>
      <c r="D927" s="1" t="str">
        <f xml:space="preserve"> TEXT(FilmaxData[[#This Row],[Show_Date]],"MMM")</f>
        <v>Aug</v>
      </c>
      <c r="E927" s="1" t="str">
        <f xml:space="preserve"> TEXT(FilmaxData[[#This Row],[Show_Date]],"DDD")</f>
        <v>Sun</v>
      </c>
      <c r="F927" t="s">
        <v>11</v>
      </c>
      <c r="G927" t="s">
        <v>17</v>
      </c>
      <c r="H927">
        <v>5</v>
      </c>
      <c r="I927">
        <v>12</v>
      </c>
      <c r="J927" t="s">
        <v>21</v>
      </c>
      <c r="K927" t="s">
        <v>18</v>
      </c>
      <c r="L927">
        <v>60</v>
      </c>
    </row>
    <row r="928" spans="1:12" x14ac:dyDescent="0.3">
      <c r="A928">
        <v>275</v>
      </c>
      <c r="B928" t="s">
        <v>24</v>
      </c>
      <c r="C928" s="1">
        <v>45871</v>
      </c>
      <c r="D928" s="1" t="str">
        <f xml:space="preserve"> TEXT(FilmaxData[[#This Row],[Show_Date]],"MMM")</f>
        <v>Aug</v>
      </c>
      <c r="E928" s="1" t="str">
        <f xml:space="preserve"> TEXT(FilmaxData[[#This Row],[Show_Date]],"DDD")</f>
        <v>Sat</v>
      </c>
      <c r="F928" t="s">
        <v>11</v>
      </c>
      <c r="G928" t="s">
        <v>29</v>
      </c>
      <c r="H928">
        <v>3</v>
      </c>
      <c r="I928">
        <v>30</v>
      </c>
      <c r="J928" t="s">
        <v>21</v>
      </c>
      <c r="K928" t="s">
        <v>18</v>
      </c>
      <c r="L928">
        <v>90</v>
      </c>
    </row>
    <row r="929" spans="1:12" x14ac:dyDescent="0.3">
      <c r="A929">
        <v>1155</v>
      </c>
      <c r="B929" t="s">
        <v>19</v>
      </c>
      <c r="C929" s="1">
        <v>45894</v>
      </c>
      <c r="D929" s="1" t="str">
        <f xml:space="preserve"> TEXT(FilmaxData[[#This Row],[Show_Date]],"MMM")</f>
        <v>Aug</v>
      </c>
      <c r="E929" s="1" t="str">
        <f xml:space="preserve"> TEXT(FilmaxData[[#This Row],[Show_Date]],"DDD")</f>
        <v>Mon</v>
      </c>
      <c r="F929" t="s">
        <v>11</v>
      </c>
      <c r="G929" t="s">
        <v>17</v>
      </c>
      <c r="H929">
        <v>2</v>
      </c>
      <c r="I929">
        <v>12</v>
      </c>
      <c r="J929" t="s">
        <v>23</v>
      </c>
      <c r="K929" t="s">
        <v>18</v>
      </c>
      <c r="L929">
        <v>24</v>
      </c>
    </row>
    <row r="930" spans="1:12" x14ac:dyDescent="0.3">
      <c r="A930">
        <v>922</v>
      </c>
      <c r="B930" t="s">
        <v>28</v>
      </c>
      <c r="C930" s="1">
        <v>45902</v>
      </c>
      <c r="D930" s="1" t="str">
        <f xml:space="preserve"> TEXT(FilmaxData[[#This Row],[Show_Date]],"MMM")</f>
        <v>Sep</v>
      </c>
      <c r="E930" s="1" t="str">
        <f xml:space="preserve"> TEXT(FilmaxData[[#This Row],[Show_Date]],"DDD")</f>
        <v>Tue</v>
      </c>
      <c r="F930" t="s">
        <v>11</v>
      </c>
      <c r="G930" t="s">
        <v>30</v>
      </c>
      <c r="H930">
        <v>4</v>
      </c>
      <c r="I930">
        <v>8</v>
      </c>
      <c r="J930" t="s">
        <v>21</v>
      </c>
      <c r="K930" t="s">
        <v>18</v>
      </c>
      <c r="L930">
        <v>32</v>
      </c>
    </row>
    <row r="931" spans="1:12" x14ac:dyDescent="0.3">
      <c r="A931">
        <v>1212</v>
      </c>
      <c r="B931" t="s">
        <v>31</v>
      </c>
      <c r="C931" s="1">
        <v>45877</v>
      </c>
      <c r="D931" s="1" t="str">
        <f xml:space="preserve"> TEXT(FilmaxData[[#This Row],[Show_Date]],"MMM")</f>
        <v>Aug</v>
      </c>
      <c r="E931" s="1" t="str">
        <f xml:space="preserve"> TEXT(FilmaxData[[#This Row],[Show_Date]],"DDD")</f>
        <v>Fri</v>
      </c>
      <c r="F931" t="s">
        <v>11</v>
      </c>
      <c r="G931" t="s">
        <v>30</v>
      </c>
      <c r="H931">
        <v>1</v>
      </c>
      <c r="I931">
        <v>8</v>
      </c>
      <c r="J931" t="s">
        <v>23</v>
      </c>
      <c r="K931" t="s">
        <v>18</v>
      </c>
      <c r="L931">
        <v>8</v>
      </c>
    </row>
    <row r="932" spans="1:12" x14ac:dyDescent="0.3">
      <c r="A932">
        <v>89</v>
      </c>
      <c r="B932" t="s">
        <v>31</v>
      </c>
      <c r="C932" s="1">
        <v>45861</v>
      </c>
      <c r="D932" s="1" t="str">
        <f xml:space="preserve"> TEXT(FilmaxData[[#This Row],[Show_Date]],"MMM")</f>
        <v>Jul</v>
      </c>
      <c r="E932" s="1" t="str">
        <f xml:space="preserve"> TEXT(FilmaxData[[#This Row],[Show_Date]],"DDD")</f>
        <v>Wed</v>
      </c>
      <c r="F932" t="s">
        <v>11</v>
      </c>
      <c r="G932" t="s">
        <v>22</v>
      </c>
      <c r="H932">
        <v>3</v>
      </c>
      <c r="I932">
        <v>20</v>
      </c>
      <c r="J932" t="s">
        <v>23</v>
      </c>
      <c r="K932" t="s">
        <v>27</v>
      </c>
      <c r="L932">
        <v>60</v>
      </c>
    </row>
    <row r="933" spans="1:12" x14ac:dyDescent="0.3">
      <c r="A933">
        <v>96</v>
      </c>
      <c r="B933" t="s">
        <v>10</v>
      </c>
      <c r="C933" s="1">
        <v>45870</v>
      </c>
      <c r="D933" s="1" t="str">
        <f xml:space="preserve"> TEXT(FilmaxData[[#This Row],[Show_Date]],"MMM")</f>
        <v>Aug</v>
      </c>
      <c r="E933" s="1" t="str">
        <f xml:space="preserve"> TEXT(FilmaxData[[#This Row],[Show_Date]],"DDD")</f>
        <v>Fri</v>
      </c>
      <c r="F933" t="s">
        <v>11</v>
      </c>
      <c r="G933" t="s">
        <v>30</v>
      </c>
      <c r="H933">
        <v>3</v>
      </c>
      <c r="I933">
        <v>8</v>
      </c>
      <c r="J933" t="s">
        <v>21</v>
      </c>
      <c r="K933" t="s">
        <v>25</v>
      </c>
      <c r="L933">
        <v>24</v>
      </c>
    </row>
    <row r="934" spans="1:12" x14ac:dyDescent="0.3">
      <c r="A934">
        <v>1067</v>
      </c>
      <c r="B934" t="s">
        <v>15</v>
      </c>
      <c r="C934" s="1">
        <v>45886</v>
      </c>
      <c r="D934" s="1" t="str">
        <f xml:space="preserve"> TEXT(FilmaxData[[#This Row],[Show_Date]],"MMM")</f>
        <v>Aug</v>
      </c>
      <c r="E934" s="1" t="str">
        <f xml:space="preserve"> TEXT(FilmaxData[[#This Row],[Show_Date]],"DDD")</f>
        <v>Sun</v>
      </c>
      <c r="F934" t="s">
        <v>11</v>
      </c>
      <c r="G934" t="s">
        <v>17</v>
      </c>
      <c r="H934">
        <v>2</v>
      </c>
      <c r="I934">
        <v>12</v>
      </c>
      <c r="J934" t="s">
        <v>13</v>
      </c>
      <c r="K934" t="s">
        <v>27</v>
      </c>
      <c r="L934">
        <v>24</v>
      </c>
    </row>
    <row r="935" spans="1:12" x14ac:dyDescent="0.3">
      <c r="A935">
        <v>572</v>
      </c>
      <c r="B935" t="s">
        <v>32</v>
      </c>
      <c r="C935" s="1">
        <v>45904</v>
      </c>
      <c r="D935" s="1" t="str">
        <f xml:space="preserve"> TEXT(FilmaxData[[#This Row],[Show_Date]],"MMM")</f>
        <v>Sep</v>
      </c>
      <c r="E935" s="1" t="str">
        <f xml:space="preserve"> TEXT(FilmaxData[[#This Row],[Show_Date]],"DDD")</f>
        <v>Thu</v>
      </c>
      <c r="F935" t="s">
        <v>11</v>
      </c>
      <c r="G935" t="s">
        <v>29</v>
      </c>
      <c r="H935">
        <v>3</v>
      </c>
      <c r="I935">
        <v>30</v>
      </c>
      <c r="J935" t="s">
        <v>23</v>
      </c>
      <c r="K935" t="s">
        <v>14</v>
      </c>
      <c r="L935">
        <v>90</v>
      </c>
    </row>
    <row r="936" spans="1:12" x14ac:dyDescent="0.3">
      <c r="A936">
        <v>564</v>
      </c>
      <c r="B936" t="s">
        <v>28</v>
      </c>
      <c r="C936" s="1">
        <v>45888</v>
      </c>
      <c r="D936" s="1" t="str">
        <f xml:space="preserve"> TEXT(FilmaxData[[#This Row],[Show_Date]],"MMM")</f>
        <v>Aug</v>
      </c>
      <c r="E936" s="1" t="str">
        <f xml:space="preserve"> TEXT(FilmaxData[[#This Row],[Show_Date]],"DDD")</f>
        <v>Tue</v>
      </c>
      <c r="F936" t="s">
        <v>11</v>
      </c>
      <c r="G936" t="s">
        <v>17</v>
      </c>
      <c r="H936">
        <v>3</v>
      </c>
      <c r="I936">
        <v>12</v>
      </c>
      <c r="J936" t="s">
        <v>23</v>
      </c>
      <c r="K936" t="s">
        <v>14</v>
      </c>
      <c r="L936">
        <v>36</v>
      </c>
    </row>
    <row r="937" spans="1:12" x14ac:dyDescent="0.3">
      <c r="A937">
        <v>658</v>
      </c>
      <c r="B937" t="s">
        <v>32</v>
      </c>
      <c r="C937" s="1">
        <v>45845</v>
      </c>
      <c r="D937" s="1" t="str">
        <f xml:space="preserve"> TEXT(FilmaxData[[#This Row],[Show_Date]],"MMM")</f>
        <v>Jul</v>
      </c>
      <c r="E937" s="1" t="str">
        <f xml:space="preserve"> TEXT(FilmaxData[[#This Row],[Show_Date]],"DDD")</f>
        <v>Mon</v>
      </c>
      <c r="F937" t="s">
        <v>11</v>
      </c>
      <c r="G937" t="s">
        <v>22</v>
      </c>
      <c r="H937">
        <v>1</v>
      </c>
      <c r="I937">
        <v>20</v>
      </c>
      <c r="J937" t="s">
        <v>23</v>
      </c>
      <c r="K937" t="s">
        <v>25</v>
      </c>
      <c r="L937">
        <v>20</v>
      </c>
    </row>
    <row r="938" spans="1:12" x14ac:dyDescent="0.3">
      <c r="A938">
        <v>883</v>
      </c>
      <c r="B938" t="s">
        <v>32</v>
      </c>
      <c r="C938" s="1">
        <v>45869</v>
      </c>
      <c r="D938" s="1" t="str">
        <f xml:space="preserve"> TEXT(FilmaxData[[#This Row],[Show_Date]],"MMM")</f>
        <v>Jul</v>
      </c>
      <c r="E938" s="1" t="str">
        <f xml:space="preserve"> TEXT(FilmaxData[[#This Row],[Show_Date]],"DDD")</f>
        <v>Thu</v>
      </c>
      <c r="F938" t="s">
        <v>11</v>
      </c>
      <c r="G938" t="s">
        <v>17</v>
      </c>
      <c r="H938">
        <v>3</v>
      </c>
      <c r="I938">
        <v>12</v>
      </c>
      <c r="J938" t="s">
        <v>23</v>
      </c>
      <c r="K938" t="s">
        <v>18</v>
      </c>
      <c r="L938">
        <v>36</v>
      </c>
    </row>
    <row r="939" spans="1:12" x14ac:dyDescent="0.3">
      <c r="A939">
        <v>1666</v>
      </c>
      <c r="B939" t="s">
        <v>10</v>
      </c>
      <c r="C939" s="1">
        <v>45916</v>
      </c>
      <c r="D939" s="1" t="str">
        <f xml:space="preserve"> TEXT(FilmaxData[[#This Row],[Show_Date]],"MMM")</f>
        <v>Sep</v>
      </c>
      <c r="E939" s="1" t="str">
        <f xml:space="preserve"> TEXT(FilmaxData[[#This Row],[Show_Date]],"DDD")</f>
        <v>Tue</v>
      </c>
      <c r="F939" t="s">
        <v>11</v>
      </c>
      <c r="G939" t="s">
        <v>17</v>
      </c>
      <c r="H939">
        <v>5</v>
      </c>
      <c r="I939">
        <v>12</v>
      </c>
      <c r="J939" t="s">
        <v>13</v>
      </c>
      <c r="K939" t="s">
        <v>27</v>
      </c>
      <c r="L939">
        <v>60</v>
      </c>
    </row>
    <row r="940" spans="1:12" x14ac:dyDescent="0.3">
      <c r="A940">
        <v>441</v>
      </c>
      <c r="B940" t="s">
        <v>24</v>
      </c>
      <c r="C940" s="1">
        <v>45920</v>
      </c>
      <c r="D940" s="1" t="str">
        <f xml:space="preserve"> TEXT(FilmaxData[[#This Row],[Show_Date]],"MMM")</f>
        <v>Sep</v>
      </c>
      <c r="E940" s="1" t="str">
        <f xml:space="preserve"> TEXT(FilmaxData[[#This Row],[Show_Date]],"DDD")</f>
        <v>Sat</v>
      </c>
      <c r="F940" t="s">
        <v>11</v>
      </c>
      <c r="G940" t="s">
        <v>12</v>
      </c>
      <c r="H940">
        <v>2</v>
      </c>
      <c r="I940">
        <v>25</v>
      </c>
      <c r="J940" t="s">
        <v>13</v>
      </c>
      <c r="K940" t="s">
        <v>14</v>
      </c>
      <c r="L940">
        <v>50</v>
      </c>
    </row>
    <row r="941" spans="1:12" x14ac:dyDescent="0.3">
      <c r="A941">
        <v>220</v>
      </c>
      <c r="B941" t="s">
        <v>28</v>
      </c>
      <c r="C941" s="1">
        <v>45893</v>
      </c>
      <c r="D941" s="1" t="str">
        <f xml:space="preserve"> TEXT(FilmaxData[[#This Row],[Show_Date]],"MMM")</f>
        <v>Aug</v>
      </c>
      <c r="E941" s="1" t="str">
        <f xml:space="preserve"> TEXT(FilmaxData[[#This Row],[Show_Date]],"DDD")</f>
        <v>Sun</v>
      </c>
      <c r="F941" t="s">
        <v>11</v>
      </c>
      <c r="G941" t="s">
        <v>17</v>
      </c>
      <c r="H941">
        <v>3</v>
      </c>
      <c r="I941">
        <v>12</v>
      </c>
      <c r="J941" t="s">
        <v>13</v>
      </c>
      <c r="K941" t="s">
        <v>14</v>
      </c>
      <c r="L941">
        <v>36</v>
      </c>
    </row>
    <row r="942" spans="1:12" x14ac:dyDescent="0.3">
      <c r="A942">
        <v>107</v>
      </c>
      <c r="B942" t="s">
        <v>10</v>
      </c>
      <c r="C942" s="1">
        <v>45885</v>
      </c>
      <c r="D942" s="1" t="str">
        <f xml:space="preserve"> TEXT(FilmaxData[[#This Row],[Show_Date]],"MMM")</f>
        <v>Aug</v>
      </c>
      <c r="E942" s="1" t="str">
        <f xml:space="preserve"> TEXT(FilmaxData[[#This Row],[Show_Date]],"DDD")</f>
        <v>Sat</v>
      </c>
      <c r="F942" t="s">
        <v>11</v>
      </c>
      <c r="G942" t="s">
        <v>22</v>
      </c>
      <c r="H942">
        <v>4</v>
      </c>
      <c r="I942">
        <v>20</v>
      </c>
      <c r="J942" t="s">
        <v>13</v>
      </c>
      <c r="K942" t="s">
        <v>18</v>
      </c>
      <c r="L942">
        <v>80</v>
      </c>
    </row>
    <row r="943" spans="1:12" x14ac:dyDescent="0.3">
      <c r="A943">
        <v>60</v>
      </c>
      <c r="B943" t="s">
        <v>15</v>
      </c>
      <c r="C943" s="1">
        <v>45840</v>
      </c>
      <c r="D943" s="1" t="str">
        <f xml:space="preserve"> TEXT(FilmaxData[[#This Row],[Show_Date]],"MMM")</f>
        <v>Jul</v>
      </c>
      <c r="E943" s="1" t="str">
        <f xml:space="preserve"> TEXT(FilmaxData[[#This Row],[Show_Date]],"DDD")</f>
        <v>Wed</v>
      </c>
      <c r="F943" t="s">
        <v>11</v>
      </c>
      <c r="G943" t="s">
        <v>12</v>
      </c>
      <c r="H943">
        <v>2</v>
      </c>
      <c r="I943">
        <v>25</v>
      </c>
      <c r="J943" t="s">
        <v>13</v>
      </c>
      <c r="K943" t="s">
        <v>14</v>
      </c>
      <c r="L943">
        <v>50</v>
      </c>
    </row>
    <row r="944" spans="1:12" x14ac:dyDescent="0.3">
      <c r="A944">
        <v>385</v>
      </c>
      <c r="B944" t="s">
        <v>15</v>
      </c>
      <c r="C944" s="1">
        <v>45914</v>
      </c>
      <c r="D944" s="1" t="str">
        <f xml:space="preserve"> TEXT(FilmaxData[[#This Row],[Show_Date]],"MMM")</f>
        <v>Sep</v>
      </c>
      <c r="E944" s="1" t="str">
        <f xml:space="preserve"> TEXT(FilmaxData[[#This Row],[Show_Date]],"DDD")</f>
        <v>Sun</v>
      </c>
      <c r="F944" t="s">
        <v>11</v>
      </c>
      <c r="G944" t="s">
        <v>17</v>
      </c>
      <c r="H944">
        <v>5</v>
      </c>
      <c r="I944">
        <v>12</v>
      </c>
      <c r="J944" t="s">
        <v>21</v>
      </c>
      <c r="K944" t="s">
        <v>25</v>
      </c>
      <c r="L944">
        <v>60</v>
      </c>
    </row>
    <row r="945" spans="1:12" x14ac:dyDescent="0.3">
      <c r="A945">
        <v>1599</v>
      </c>
      <c r="B945" t="s">
        <v>19</v>
      </c>
      <c r="C945" s="1">
        <v>45878</v>
      </c>
      <c r="D945" s="1" t="str">
        <f xml:space="preserve"> TEXT(FilmaxData[[#This Row],[Show_Date]],"MMM")</f>
        <v>Aug</v>
      </c>
      <c r="E945" s="1" t="str">
        <f xml:space="preserve"> TEXT(FilmaxData[[#This Row],[Show_Date]],"DDD")</f>
        <v>Sat</v>
      </c>
      <c r="F945" t="s">
        <v>11</v>
      </c>
      <c r="G945" t="s">
        <v>17</v>
      </c>
      <c r="H945">
        <v>5</v>
      </c>
      <c r="I945">
        <v>12</v>
      </c>
      <c r="J945" t="s">
        <v>13</v>
      </c>
      <c r="K945" t="s">
        <v>25</v>
      </c>
      <c r="L945">
        <v>60</v>
      </c>
    </row>
    <row r="946" spans="1:12" x14ac:dyDescent="0.3">
      <c r="A946">
        <v>501</v>
      </c>
      <c r="B946" t="s">
        <v>28</v>
      </c>
      <c r="C946" s="1">
        <v>45853</v>
      </c>
      <c r="D946" s="1" t="str">
        <f xml:space="preserve"> TEXT(FilmaxData[[#This Row],[Show_Date]],"MMM")</f>
        <v>Jul</v>
      </c>
      <c r="E946" s="1" t="str">
        <f xml:space="preserve"> TEXT(FilmaxData[[#This Row],[Show_Date]],"DDD")</f>
        <v>Tue</v>
      </c>
      <c r="F946" t="s">
        <v>11</v>
      </c>
      <c r="G946" t="s">
        <v>22</v>
      </c>
      <c r="H946">
        <v>2</v>
      </c>
      <c r="I946">
        <v>20</v>
      </c>
      <c r="J946" t="s">
        <v>13</v>
      </c>
      <c r="K946" t="s">
        <v>25</v>
      </c>
      <c r="L946">
        <v>40</v>
      </c>
    </row>
    <row r="947" spans="1:12" x14ac:dyDescent="0.3">
      <c r="A947">
        <v>686</v>
      </c>
      <c r="B947" t="s">
        <v>10</v>
      </c>
      <c r="C947" s="1">
        <v>45917</v>
      </c>
      <c r="D947" s="1" t="str">
        <f xml:space="preserve"> TEXT(FilmaxData[[#This Row],[Show_Date]],"MMM")</f>
        <v>Sep</v>
      </c>
      <c r="E947" s="1" t="str">
        <f xml:space="preserve"> TEXT(FilmaxData[[#This Row],[Show_Date]],"DDD")</f>
        <v>Wed</v>
      </c>
      <c r="F947" t="s">
        <v>11</v>
      </c>
      <c r="G947" t="s">
        <v>17</v>
      </c>
      <c r="H947">
        <v>2</v>
      </c>
      <c r="I947">
        <v>12</v>
      </c>
      <c r="J947" t="s">
        <v>21</v>
      </c>
      <c r="K947" t="s">
        <v>18</v>
      </c>
      <c r="L947">
        <v>24</v>
      </c>
    </row>
    <row r="948" spans="1:12" x14ac:dyDescent="0.3">
      <c r="A948">
        <v>1572</v>
      </c>
      <c r="B948" t="s">
        <v>19</v>
      </c>
      <c r="C948" s="1">
        <v>45891</v>
      </c>
      <c r="D948" s="1" t="str">
        <f xml:space="preserve"> TEXT(FilmaxData[[#This Row],[Show_Date]],"MMM")</f>
        <v>Aug</v>
      </c>
      <c r="E948" s="1" t="str">
        <f xml:space="preserve"> TEXT(FilmaxData[[#This Row],[Show_Date]],"DDD")</f>
        <v>Fri</v>
      </c>
      <c r="F948" t="s">
        <v>11</v>
      </c>
      <c r="G948" t="s">
        <v>12</v>
      </c>
      <c r="H948">
        <v>2</v>
      </c>
      <c r="I948">
        <v>25</v>
      </c>
      <c r="J948" t="s">
        <v>13</v>
      </c>
      <c r="K948" t="s">
        <v>14</v>
      </c>
      <c r="L948">
        <v>50</v>
      </c>
    </row>
    <row r="949" spans="1:12" x14ac:dyDescent="0.3">
      <c r="A949">
        <v>1779</v>
      </c>
      <c r="B949" t="s">
        <v>19</v>
      </c>
      <c r="C949" s="1">
        <v>45885</v>
      </c>
      <c r="D949" s="1" t="str">
        <f xml:space="preserve"> TEXT(FilmaxData[[#This Row],[Show_Date]],"MMM")</f>
        <v>Aug</v>
      </c>
      <c r="E949" s="1" t="str">
        <f xml:space="preserve"> TEXT(FilmaxData[[#This Row],[Show_Date]],"DDD")</f>
        <v>Sat</v>
      </c>
      <c r="F949" t="s">
        <v>11</v>
      </c>
      <c r="G949" t="s">
        <v>30</v>
      </c>
      <c r="H949">
        <v>5</v>
      </c>
      <c r="I949">
        <v>8</v>
      </c>
      <c r="J949" t="s">
        <v>23</v>
      </c>
      <c r="K949" t="s">
        <v>14</v>
      </c>
      <c r="L949">
        <v>40</v>
      </c>
    </row>
    <row r="950" spans="1:12" x14ac:dyDescent="0.3">
      <c r="A950">
        <v>1047</v>
      </c>
      <c r="B950" t="s">
        <v>32</v>
      </c>
      <c r="C950" s="1">
        <v>45880</v>
      </c>
      <c r="D950" s="1" t="str">
        <f xml:space="preserve"> TEXT(FilmaxData[[#This Row],[Show_Date]],"MMM")</f>
        <v>Aug</v>
      </c>
      <c r="E950" s="1" t="str">
        <f xml:space="preserve"> TEXT(FilmaxData[[#This Row],[Show_Date]],"DDD")</f>
        <v>Mon</v>
      </c>
      <c r="F950" t="s">
        <v>11</v>
      </c>
      <c r="G950" t="s">
        <v>17</v>
      </c>
      <c r="H950">
        <v>4</v>
      </c>
      <c r="I950">
        <v>12</v>
      </c>
      <c r="J950" t="s">
        <v>23</v>
      </c>
      <c r="K950" t="s">
        <v>18</v>
      </c>
      <c r="L950">
        <v>48</v>
      </c>
    </row>
    <row r="951" spans="1:12" x14ac:dyDescent="0.3">
      <c r="A951">
        <v>1670</v>
      </c>
      <c r="B951" t="s">
        <v>31</v>
      </c>
      <c r="C951" s="1">
        <v>45876</v>
      </c>
      <c r="D951" s="1" t="str">
        <f xml:space="preserve"> TEXT(FilmaxData[[#This Row],[Show_Date]],"MMM")</f>
        <v>Aug</v>
      </c>
      <c r="E951" s="1" t="str">
        <f xml:space="preserve"> TEXT(FilmaxData[[#This Row],[Show_Date]],"DDD")</f>
        <v>Thu</v>
      </c>
      <c r="F951" t="s">
        <v>11</v>
      </c>
      <c r="G951" t="s">
        <v>17</v>
      </c>
      <c r="H951">
        <v>5</v>
      </c>
      <c r="I951">
        <v>12</v>
      </c>
      <c r="J951" t="s">
        <v>21</v>
      </c>
      <c r="K951" t="s">
        <v>27</v>
      </c>
      <c r="L951">
        <v>60</v>
      </c>
    </row>
    <row r="952" spans="1:12" x14ac:dyDescent="0.3">
      <c r="A952">
        <v>1253</v>
      </c>
      <c r="B952" t="s">
        <v>19</v>
      </c>
      <c r="C952" s="1">
        <v>45924</v>
      </c>
      <c r="D952" s="1" t="str">
        <f xml:space="preserve"> TEXT(FilmaxData[[#This Row],[Show_Date]],"MMM")</f>
        <v>Sep</v>
      </c>
      <c r="E952" s="1" t="str">
        <f xml:space="preserve"> TEXT(FilmaxData[[#This Row],[Show_Date]],"DDD")</f>
        <v>Wed</v>
      </c>
      <c r="F952" t="s">
        <v>11</v>
      </c>
      <c r="G952" t="s">
        <v>12</v>
      </c>
      <c r="H952">
        <v>5</v>
      </c>
      <c r="I952">
        <v>25</v>
      </c>
      <c r="J952" t="s">
        <v>21</v>
      </c>
      <c r="K952" t="s">
        <v>14</v>
      </c>
      <c r="L952">
        <v>125</v>
      </c>
    </row>
    <row r="953" spans="1:12" x14ac:dyDescent="0.3">
      <c r="A953">
        <v>1989</v>
      </c>
      <c r="B953" t="s">
        <v>32</v>
      </c>
      <c r="C953" s="1">
        <v>45908</v>
      </c>
      <c r="D953" s="1" t="str">
        <f xml:space="preserve"> TEXT(FilmaxData[[#This Row],[Show_Date]],"MMM")</f>
        <v>Sep</v>
      </c>
      <c r="E953" s="1" t="str">
        <f xml:space="preserve"> TEXT(FilmaxData[[#This Row],[Show_Date]],"DDD")</f>
        <v>Mon</v>
      </c>
      <c r="F953" t="s">
        <v>11</v>
      </c>
      <c r="G953" t="s">
        <v>17</v>
      </c>
      <c r="H953">
        <v>5</v>
      </c>
      <c r="I953">
        <v>12</v>
      </c>
      <c r="J953" t="s">
        <v>21</v>
      </c>
      <c r="K953" t="s">
        <v>14</v>
      </c>
      <c r="L953">
        <v>60</v>
      </c>
    </row>
    <row r="954" spans="1:12" x14ac:dyDescent="0.3">
      <c r="A954">
        <v>1308</v>
      </c>
      <c r="B954" t="s">
        <v>19</v>
      </c>
      <c r="C954" s="1">
        <v>45896</v>
      </c>
      <c r="D954" s="1" t="str">
        <f xml:space="preserve"> TEXT(FilmaxData[[#This Row],[Show_Date]],"MMM")</f>
        <v>Aug</v>
      </c>
      <c r="E954" s="1" t="str">
        <f xml:space="preserve"> TEXT(FilmaxData[[#This Row],[Show_Date]],"DDD")</f>
        <v>Wed</v>
      </c>
      <c r="F954" t="s">
        <v>11</v>
      </c>
      <c r="G954" t="s">
        <v>17</v>
      </c>
      <c r="H954">
        <v>2</v>
      </c>
      <c r="I954">
        <v>12</v>
      </c>
      <c r="J954" t="s">
        <v>13</v>
      </c>
      <c r="K954" t="s">
        <v>14</v>
      </c>
      <c r="L954">
        <v>24</v>
      </c>
    </row>
    <row r="955" spans="1:12" x14ac:dyDescent="0.3">
      <c r="A955">
        <v>462</v>
      </c>
      <c r="B955" t="s">
        <v>15</v>
      </c>
      <c r="C955" s="1">
        <v>45840</v>
      </c>
      <c r="D955" s="1" t="str">
        <f xml:space="preserve"> TEXT(FilmaxData[[#This Row],[Show_Date]],"MMM")</f>
        <v>Jul</v>
      </c>
      <c r="E955" s="1" t="str">
        <f xml:space="preserve"> TEXT(FilmaxData[[#This Row],[Show_Date]],"DDD")</f>
        <v>Wed</v>
      </c>
      <c r="F955" t="s">
        <v>11</v>
      </c>
      <c r="G955" t="s">
        <v>22</v>
      </c>
      <c r="H955">
        <v>2</v>
      </c>
      <c r="I955">
        <v>20</v>
      </c>
      <c r="J955" t="s">
        <v>21</v>
      </c>
      <c r="K955" t="s">
        <v>14</v>
      </c>
      <c r="L955">
        <v>40</v>
      </c>
    </row>
    <row r="956" spans="1:12" x14ac:dyDescent="0.3">
      <c r="A956">
        <v>147</v>
      </c>
      <c r="B956" t="s">
        <v>32</v>
      </c>
      <c r="C956" s="1">
        <v>45851</v>
      </c>
      <c r="D956" s="1" t="str">
        <f xml:space="preserve"> TEXT(FilmaxData[[#This Row],[Show_Date]],"MMM")</f>
        <v>Jul</v>
      </c>
      <c r="E956" s="1" t="str">
        <f xml:space="preserve"> TEXT(FilmaxData[[#This Row],[Show_Date]],"DDD")</f>
        <v>Sun</v>
      </c>
      <c r="F956" t="s">
        <v>11</v>
      </c>
      <c r="G956" t="s">
        <v>17</v>
      </c>
      <c r="H956">
        <v>4</v>
      </c>
      <c r="I956">
        <v>12</v>
      </c>
      <c r="J956" t="s">
        <v>13</v>
      </c>
      <c r="K956" t="s">
        <v>14</v>
      </c>
      <c r="L956">
        <v>48</v>
      </c>
    </row>
    <row r="957" spans="1:12" x14ac:dyDescent="0.3">
      <c r="A957">
        <v>314</v>
      </c>
      <c r="B957" t="s">
        <v>28</v>
      </c>
      <c r="C957" s="1">
        <v>45862</v>
      </c>
      <c r="D957" s="1" t="str">
        <f xml:space="preserve"> TEXT(FilmaxData[[#This Row],[Show_Date]],"MMM")</f>
        <v>Jul</v>
      </c>
      <c r="E957" s="1" t="str">
        <f xml:space="preserve"> TEXT(FilmaxData[[#This Row],[Show_Date]],"DDD")</f>
        <v>Thu</v>
      </c>
      <c r="F957" t="s">
        <v>11</v>
      </c>
      <c r="G957" t="s">
        <v>30</v>
      </c>
      <c r="H957">
        <v>2</v>
      </c>
      <c r="I957">
        <v>8</v>
      </c>
      <c r="J957" t="s">
        <v>23</v>
      </c>
      <c r="K957" t="s">
        <v>14</v>
      </c>
      <c r="L957">
        <v>16</v>
      </c>
    </row>
    <row r="958" spans="1:12" x14ac:dyDescent="0.3">
      <c r="A958">
        <v>770</v>
      </c>
      <c r="B958" t="s">
        <v>24</v>
      </c>
      <c r="C958" s="1">
        <v>45906</v>
      </c>
      <c r="D958" s="1" t="str">
        <f xml:space="preserve"> TEXT(FilmaxData[[#This Row],[Show_Date]],"MMM")</f>
        <v>Sep</v>
      </c>
      <c r="E958" s="1" t="str">
        <f xml:space="preserve"> TEXT(FilmaxData[[#This Row],[Show_Date]],"DDD")</f>
        <v>Sat</v>
      </c>
      <c r="F958" t="s">
        <v>11</v>
      </c>
      <c r="G958" t="s">
        <v>30</v>
      </c>
      <c r="H958">
        <v>3</v>
      </c>
      <c r="I958">
        <v>8</v>
      </c>
      <c r="J958" t="s">
        <v>13</v>
      </c>
      <c r="K958" t="s">
        <v>14</v>
      </c>
      <c r="L958">
        <v>24</v>
      </c>
    </row>
    <row r="959" spans="1:12" x14ac:dyDescent="0.3">
      <c r="A959">
        <v>1832</v>
      </c>
      <c r="B959" t="s">
        <v>15</v>
      </c>
      <c r="C959" s="1">
        <v>45856</v>
      </c>
      <c r="D959" s="1" t="str">
        <f xml:space="preserve"> TEXT(FilmaxData[[#This Row],[Show_Date]],"MMM")</f>
        <v>Jul</v>
      </c>
      <c r="E959" s="1" t="str">
        <f xml:space="preserve"> TEXT(FilmaxData[[#This Row],[Show_Date]],"DDD")</f>
        <v>Fri</v>
      </c>
      <c r="F959" t="s">
        <v>11</v>
      </c>
      <c r="G959" t="s">
        <v>22</v>
      </c>
      <c r="H959">
        <v>3</v>
      </c>
      <c r="I959">
        <v>20</v>
      </c>
      <c r="J959" t="s">
        <v>23</v>
      </c>
      <c r="K959" t="s">
        <v>14</v>
      </c>
      <c r="L959">
        <v>60</v>
      </c>
    </row>
    <row r="960" spans="1:12" x14ac:dyDescent="0.3">
      <c r="A960">
        <v>1193</v>
      </c>
      <c r="B960" t="s">
        <v>15</v>
      </c>
      <c r="C960" s="1">
        <v>45899</v>
      </c>
      <c r="D960" s="1" t="str">
        <f xml:space="preserve"> TEXT(FilmaxData[[#This Row],[Show_Date]],"MMM")</f>
        <v>Aug</v>
      </c>
      <c r="E960" s="1" t="str">
        <f xml:space="preserve"> TEXT(FilmaxData[[#This Row],[Show_Date]],"DDD")</f>
        <v>Sat</v>
      </c>
      <c r="F960" t="s">
        <v>11</v>
      </c>
      <c r="G960" t="s">
        <v>29</v>
      </c>
      <c r="H960">
        <v>2</v>
      </c>
      <c r="I960">
        <v>30</v>
      </c>
      <c r="J960" t="s">
        <v>23</v>
      </c>
      <c r="K960" t="s">
        <v>14</v>
      </c>
      <c r="L960">
        <v>60</v>
      </c>
    </row>
    <row r="961" spans="1:12" x14ac:dyDescent="0.3">
      <c r="A961">
        <v>1305</v>
      </c>
      <c r="B961" t="s">
        <v>26</v>
      </c>
      <c r="C961" s="1">
        <v>45907</v>
      </c>
      <c r="D961" s="1" t="str">
        <f xml:space="preserve"> TEXT(FilmaxData[[#This Row],[Show_Date]],"MMM")</f>
        <v>Sep</v>
      </c>
      <c r="E961" s="1" t="str">
        <f xml:space="preserve"> TEXT(FilmaxData[[#This Row],[Show_Date]],"DDD")</f>
        <v>Sun</v>
      </c>
      <c r="F961" t="s">
        <v>11</v>
      </c>
      <c r="G961" t="s">
        <v>17</v>
      </c>
      <c r="H961">
        <v>4</v>
      </c>
      <c r="I961">
        <v>12</v>
      </c>
      <c r="J961" t="s">
        <v>21</v>
      </c>
      <c r="K961" t="s">
        <v>27</v>
      </c>
      <c r="L961">
        <v>48</v>
      </c>
    </row>
    <row r="962" spans="1:12" x14ac:dyDescent="0.3">
      <c r="A962">
        <v>599</v>
      </c>
      <c r="B962" t="s">
        <v>31</v>
      </c>
      <c r="C962" s="1">
        <v>45887</v>
      </c>
      <c r="D962" s="1" t="str">
        <f xml:space="preserve"> TEXT(FilmaxData[[#This Row],[Show_Date]],"MMM")</f>
        <v>Aug</v>
      </c>
      <c r="E962" s="1" t="str">
        <f xml:space="preserve"> TEXT(FilmaxData[[#This Row],[Show_Date]],"DDD")</f>
        <v>Mon</v>
      </c>
      <c r="F962" t="s">
        <v>11</v>
      </c>
      <c r="G962" t="s">
        <v>17</v>
      </c>
      <c r="H962">
        <v>5</v>
      </c>
      <c r="I962">
        <v>12</v>
      </c>
      <c r="J962" t="s">
        <v>13</v>
      </c>
      <c r="K962" t="s">
        <v>25</v>
      </c>
      <c r="L962">
        <v>60</v>
      </c>
    </row>
    <row r="963" spans="1:12" x14ac:dyDescent="0.3">
      <c r="A963">
        <v>47</v>
      </c>
      <c r="B963" t="s">
        <v>19</v>
      </c>
      <c r="C963" s="1">
        <v>45880</v>
      </c>
      <c r="D963" s="1" t="str">
        <f xml:space="preserve"> TEXT(FilmaxData[[#This Row],[Show_Date]],"MMM")</f>
        <v>Aug</v>
      </c>
      <c r="E963" s="1" t="str">
        <f xml:space="preserve"> TEXT(FilmaxData[[#This Row],[Show_Date]],"DDD")</f>
        <v>Mon</v>
      </c>
      <c r="F963" t="s">
        <v>11</v>
      </c>
      <c r="G963" t="s">
        <v>17</v>
      </c>
      <c r="H963">
        <v>4</v>
      </c>
      <c r="I963">
        <v>12</v>
      </c>
      <c r="J963" t="s">
        <v>21</v>
      </c>
      <c r="K963" t="s">
        <v>27</v>
      </c>
      <c r="L963">
        <v>48</v>
      </c>
    </row>
    <row r="964" spans="1:12" x14ac:dyDescent="0.3">
      <c r="A964">
        <v>1179</v>
      </c>
      <c r="B964" t="s">
        <v>28</v>
      </c>
      <c r="C964" s="1">
        <v>45858</v>
      </c>
      <c r="D964" s="1" t="str">
        <f xml:space="preserve"> TEXT(FilmaxData[[#This Row],[Show_Date]],"MMM")</f>
        <v>Jul</v>
      </c>
      <c r="E964" s="1" t="str">
        <f xml:space="preserve"> TEXT(FilmaxData[[#This Row],[Show_Date]],"DDD")</f>
        <v>Sun</v>
      </c>
      <c r="F964" t="s">
        <v>11</v>
      </c>
      <c r="G964" t="s">
        <v>22</v>
      </c>
      <c r="H964">
        <v>4</v>
      </c>
      <c r="I964">
        <v>20</v>
      </c>
      <c r="J964" t="s">
        <v>13</v>
      </c>
      <c r="K964" t="s">
        <v>27</v>
      </c>
      <c r="L964">
        <v>80</v>
      </c>
    </row>
    <row r="965" spans="1:12" x14ac:dyDescent="0.3">
      <c r="A965">
        <v>660</v>
      </c>
      <c r="B965" t="s">
        <v>26</v>
      </c>
      <c r="C965" s="1">
        <v>45914</v>
      </c>
      <c r="D965" s="1" t="str">
        <f xml:space="preserve"> TEXT(FilmaxData[[#This Row],[Show_Date]],"MMM")</f>
        <v>Sep</v>
      </c>
      <c r="E965" s="1" t="str">
        <f xml:space="preserve"> TEXT(FilmaxData[[#This Row],[Show_Date]],"DDD")</f>
        <v>Sun</v>
      </c>
      <c r="F965" t="s">
        <v>11</v>
      </c>
      <c r="G965" t="s">
        <v>30</v>
      </c>
      <c r="H965">
        <v>3</v>
      </c>
      <c r="I965">
        <v>8</v>
      </c>
      <c r="J965" t="s">
        <v>23</v>
      </c>
      <c r="K965" t="s">
        <v>27</v>
      </c>
      <c r="L965">
        <v>24</v>
      </c>
    </row>
    <row r="966" spans="1:12" x14ac:dyDescent="0.3">
      <c r="A966">
        <v>1394</v>
      </c>
      <c r="B966" t="s">
        <v>10</v>
      </c>
      <c r="C966" s="1">
        <v>45860</v>
      </c>
      <c r="D966" s="1" t="str">
        <f xml:space="preserve"> TEXT(FilmaxData[[#This Row],[Show_Date]],"MMM")</f>
        <v>Jul</v>
      </c>
      <c r="E966" s="1" t="str">
        <f xml:space="preserve"> TEXT(FilmaxData[[#This Row],[Show_Date]],"DDD")</f>
        <v>Tue</v>
      </c>
      <c r="F966" t="s">
        <v>11</v>
      </c>
      <c r="G966" t="s">
        <v>17</v>
      </c>
      <c r="H966">
        <v>2</v>
      </c>
      <c r="I966">
        <v>12</v>
      </c>
      <c r="J966" t="s">
        <v>23</v>
      </c>
      <c r="K966" t="s">
        <v>14</v>
      </c>
      <c r="L966">
        <v>24</v>
      </c>
    </row>
    <row r="967" spans="1:12" x14ac:dyDescent="0.3">
      <c r="A967">
        <v>696</v>
      </c>
      <c r="B967" t="s">
        <v>31</v>
      </c>
      <c r="C967" s="1">
        <v>45846</v>
      </c>
      <c r="D967" s="1" t="str">
        <f xml:space="preserve"> TEXT(FilmaxData[[#This Row],[Show_Date]],"MMM")</f>
        <v>Jul</v>
      </c>
      <c r="E967" s="1" t="str">
        <f xml:space="preserve"> TEXT(FilmaxData[[#This Row],[Show_Date]],"DDD")</f>
        <v>Tue</v>
      </c>
      <c r="F967" t="s">
        <v>11</v>
      </c>
      <c r="G967" t="s">
        <v>12</v>
      </c>
      <c r="H967">
        <v>5</v>
      </c>
      <c r="I967">
        <v>25</v>
      </c>
      <c r="J967" t="s">
        <v>21</v>
      </c>
      <c r="K967" t="s">
        <v>18</v>
      </c>
      <c r="L967">
        <v>125</v>
      </c>
    </row>
    <row r="968" spans="1:12" x14ac:dyDescent="0.3">
      <c r="A968">
        <v>1007</v>
      </c>
      <c r="B968" t="s">
        <v>31</v>
      </c>
      <c r="C968" s="1">
        <v>45848</v>
      </c>
      <c r="D968" s="1" t="str">
        <f xml:space="preserve"> TEXT(FilmaxData[[#This Row],[Show_Date]],"MMM")</f>
        <v>Jul</v>
      </c>
      <c r="E968" s="1" t="str">
        <f xml:space="preserve"> TEXT(FilmaxData[[#This Row],[Show_Date]],"DDD")</f>
        <v>Thu</v>
      </c>
      <c r="F968" t="s">
        <v>11</v>
      </c>
      <c r="G968" t="s">
        <v>29</v>
      </c>
      <c r="H968">
        <v>3</v>
      </c>
      <c r="I968">
        <v>30</v>
      </c>
      <c r="J968" t="s">
        <v>13</v>
      </c>
      <c r="K968" t="s">
        <v>14</v>
      </c>
      <c r="L968">
        <v>90</v>
      </c>
    </row>
    <row r="969" spans="1:12" x14ac:dyDescent="0.3">
      <c r="A969">
        <v>1502</v>
      </c>
      <c r="B969" t="s">
        <v>10</v>
      </c>
      <c r="C969" s="1">
        <v>45860</v>
      </c>
      <c r="D969" s="1" t="str">
        <f xml:space="preserve"> TEXT(FilmaxData[[#This Row],[Show_Date]],"MMM")</f>
        <v>Jul</v>
      </c>
      <c r="E969" s="1" t="str">
        <f xml:space="preserve"> TEXT(FilmaxData[[#This Row],[Show_Date]],"DDD")</f>
        <v>Tue</v>
      </c>
      <c r="F969" t="s">
        <v>11</v>
      </c>
      <c r="G969" t="s">
        <v>22</v>
      </c>
      <c r="H969">
        <v>4</v>
      </c>
      <c r="I969">
        <v>20</v>
      </c>
      <c r="J969" t="s">
        <v>21</v>
      </c>
      <c r="K969" t="s">
        <v>27</v>
      </c>
      <c r="L969">
        <v>80</v>
      </c>
    </row>
    <row r="970" spans="1:12" x14ac:dyDescent="0.3">
      <c r="A970">
        <v>1997</v>
      </c>
      <c r="B970" t="s">
        <v>26</v>
      </c>
      <c r="C970" s="1">
        <v>45842</v>
      </c>
      <c r="D970" s="1" t="str">
        <f xml:space="preserve"> TEXT(FilmaxData[[#This Row],[Show_Date]],"MMM")</f>
        <v>Jul</v>
      </c>
      <c r="E970" s="1" t="str">
        <f xml:space="preserve"> TEXT(FilmaxData[[#This Row],[Show_Date]],"DDD")</f>
        <v>Fri</v>
      </c>
      <c r="F970" t="s">
        <v>11</v>
      </c>
      <c r="G970" t="s">
        <v>17</v>
      </c>
      <c r="H970">
        <v>2</v>
      </c>
      <c r="I970">
        <v>12</v>
      </c>
      <c r="J970" t="s">
        <v>13</v>
      </c>
      <c r="K970" t="s">
        <v>25</v>
      </c>
      <c r="L970">
        <v>24</v>
      </c>
    </row>
    <row r="971" spans="1:12" x14ac:dyDescent="0.3">
      <c r="A971">
        <v>918</v>
      </c>
      <c r="B971" t="s">
        <v>31</v>
      </c>
      <c r="C971" s="1">
        <v>45924</v>
      </c>
      <c r="D971" s="1" t="str">
        <f xml:space="preserve"> TEXT(FilmaxData[[#This Row],[Show_Date]],"MMM")</f>
        <v>Sep</v>
      </c>
      <c r="E971" s="1" t="str">
        <f xml:space="preserve"> TEXT(FilmaxData[[#This Row],[Show_Date]],"DDD")</f>
        <v>Wed</v>
      </c>
      <c r="F971" t="s">
        <v>11</v>
      </c>
      <c r="G971" t="s">
        <v>22</v>
      </c>
      <c r="H971">
        <v>3</v>
      </c>
      <c r="I971">
        <v>20</v>
      </c>
      <c r="J971" t="s">
        <v>13</v>
      </c>
      <c r="K971" t="s">
        <v>14</v>
      </c>
      <c r="L971">
        <v>60</v>
      </c>
    </row>
    <row r="972" spans="1:12" x14ac:dyDescent="0.3">
      <c r="A972">
        <v>1848</v>
      </c>
      <c r="B972" t="s">
        <v>19</v>
      </c>
      <c r="C972" s="1">
        <v>45902</v>
      </c>
      <c r="D972" s="1" t="str">
        <f xml:space="preserve"> TEXT(FilmaxData[[#This Row],[Show_Date]],"MMM")</f>
        <v>Sep</v>
      </c>
      <c r="E972" s="1" t="str">
        <f xml:space="preserve"> TEXT(FilmaxData[[#This Row],[Show_Date]],"DDD")</f>
        <v>Tue</v>
      </c>
      <c r="F972" t="s">
        <v>11</v>
      </c>
      <c r="G972" t="s">
        <v>12</v>
      </c>
      <c r="H972">
        <v>1</v>
      </c>
      <c r="I972">
        <v>25</v>
      </c>
      <c r="J972" t="s">
        <v>13</v>
      </c>
      <c r="K972" t="s">
        <v>14</v>
      </c>
      <c r="L972">
        <v>25</v>
      </c>
    </row>
    <row r="973" spans="1:12" x14ac:dyDescent="0.3">
      <c r="A973">
        <v>1493</v>
      </c>
      <c r="B973" t="s">
        <v>28</v>
      </c>
      <c r="C973" s="1">
        <v>45927</v>
      </c>
      <c r="D973" s="1" t="str">
        <f xml:space="preserve"> TEXT(FilmaxData[[#This Row],[Show_Date]],"MMM")</f>
        <v>Sep</v>
      </c>
      <c r="E973" s="1" t="str">
        <f xml:space="preserve"> TEXT(FilmaxData[[#This Row],[Show_Date]],"DDD")</f>
        <v>Sat</v>
      </c>
      <c r="F973" t="s">
        <v>11</v>
      </c>
      <c r="G973" t="s">
        <v>22</v>
      </c>
      <c r="H973">
        <v>3</v>
      </c>
      <c r="I973">
        <v>20</v>
      </c>
      <c r="J973" t="s">
        <v>23</v>
      </c>
      <c r="K973" t="s">
        <v>25</v>
      </c>
      <c r="L973">
        <v>60</v>
      </c>
    </row>
    <row r="974" spans="1:12" x14ac:dyDescent="0.3">
      <c r="A974">
        <v>1219</v>
      </c>
      <c r="B974" t="s">
        <v>15</v>
      </c>
      <c r="C974" s="1">
        <v>45925</v>
      </c>
      <c r="D974" s="1" t="str">
        <f xml:space="preserve"> TEXT(FilmaxData[[#This Row],[Show_Date]],"MMM")</f>
        <v>Sep</v>
      </c>
      <c r="E974" s="1" t="str">
        <f xml:space="preserve"> TEXT(FilmaxData[[#This Row],[Show_Date]],"DDD")</f>
        <v>Thu</v>
      </c>
      <c r="F974" t="s">
        <v>11</v>
      </c>
      <c r="G974" t="s">
        <v>30</v>
      </c>
      <c r="H974">
        <v>4</v>
      </c>
      <c r="I974">
        <v>8</v>
      </c>
      <c r="J974" t="s">
        <v>23</v>
      </c>
      <c r="K974" t="s">
        <v>18</v>
      </c>
      <c r="L974">
        <v>32</v>
      </c>
    </row>
    <row r="975" spans="1:12" x14ac:dyDescent="0.3">
      <c r="A975">
        <v>328</v>
      </c>
      <c r="B975" t="s">
        <v>28</v>
      </c>
      <c r="C975" s="1">
        <v>45904</v>
      </c>
      <c r="D975" s="1" t="str">
        <f xml:space="preserve"> TEXT(FilmaxData[[#This Row],[Show_Date]],"MMM")</f>
        <v>Sep</v>
      </c>
      <c r="E975" s="1" t="str">
        <f xml:space="preserve"> TEXT(FilmaxData[[#This Row],[Show_Date]],"DDD")</f>
        <v>Thu</v>
      </c>
      <c r="F975" t="s">
        <v>11</v>
      </c>
      <c r="G975" t="s">
        <v>17</v>
      </c>
      <c r="H975">
        <v>4</v>
      </c>
      <c r="I975">
        <v>12</v>
      </c>
      <c r="J975" t="s">
        <v>23</v>
      </c>
      <c r="K975" t="s">
        <v>18</v>
      </c>
      <c r="L975">
        <v>48</v>
      </c>
    </row>
    <row r="976" spans="1:12" x14ac:dyDescent="0.3">
      <c r="A976">
        <v>1491</v>
      </c>
      <c r="B976" t="s">
        <v>24</v>
      </c>
      <c r="C976" s="1">
        <v>45892</v>
      </c>
      <c r="D976" s="1" t="str">
        <f xml:space="preserve"> TEXT(FilmaxData[[#This Row],[Show_Date]],"MMM")</f>
        <v>Aug</v>
      </c>
      <c r="E976" s="1" t="str">
        <f xml:space="preserve"> TEXT(FilmaxData[[#This Row],[Show_Date]],"DDD")</f>
        <v>Sat</v>
      </c>
      <c r="F976" t="s">
        <v>11</v>
      </c>
      <c r="G976" t="s">
        <v>17</v>
      </c>
      <c r="H976">
        <v>1</v>
      </c>
      <c r="I976">
        <v>12</v>
      </c>
      <c r="J976" t="s">
        <v>23</v>
      </c>
      <c r="K976" t="s">
        <v>18</v>
      </c>
      <c r="L976">
        <v>12</v>
      </c>
    </row>
    <row r="977" spans="1:12" x14ac:dyDescent="0.3">
      <c r="A977">
        <v>30</v>
      </c>
      <c r="B977" t="s">
        <v>31</v>
      </c>
      <c r="C977" s="1">
        <v>45864</v>
      </c>
      <c r="D977" s="1" t="str">
        <f xml:space="preserve"> TEXT(FilmaxData[[#This Row],[Show_Date]],"MMM")</f>
        <v>Jul</v>
      </c>
      <c r="E977" s="1" t="str">
        <f xml:space="preserve"> TEXT(FilmaxData[[#This Row],[Show_Date]],"DDD")</f>
        <v>Sat</v>
      </c>
      <c r="F977" t="s">
        <v>16</v>
      </c>
      <c r="G977" t="s">
        <v>30</v>
      </c>
      <c r="H977">
        <v>1</v>
      </c>
      <c r="I977">
        <v>8</v>
      </c>
      <c r="J977" t="s">
        <v>13</v>
      </c>
      <c r="K977" t="s">
        <v>18</v>
      </c>
      <c r="L977">
        <v>8</v>
      </c>
    </row>
    <row r="978" spans="1:12" x14ac:dyDescent="0.3">
      <c r="A978">
        <v>1784</v>
      </c>
      <c r="B978" t="s">
        <v>10</v>
      </c>
      <c r="C978" s="1">
        <v>45865</v>
      </c>
      <c r="D978" s="1" t="str">
        <f xml:space="preserve"> TEXT(FilmaxData[[#This Row],[Show_Date]],"MMM")</f>
        <v>Jul</v>
      </c>
      <c r="E978" s="1" t="str">
        <f xml:space="preserve"> TEXT(FilmaxData[[#This Row],[Show_Date]],"DDD")</f>
        <v>Sun</v>
      </c>
      <c r="F978" t="s">
        <v>16</v>
      </c>
      <c r="G978" t="s">
        <v>22</v>
      </c>
      <c r="H978">
        <v>4</v>
      </c>
      <c r="I978">
        <v>20</v>
      </c>
      <c r="J978" t="s">
        <v>23</v>
      </c>
      <c r="K978" t="s">
        <v>18</v>
      </c>
      <c r="L978">
        <v>80</v>
      </c>
    </row>
    <row r="979" spans="1:12" x14ac:dyDescent="0.3">
      <c r="A979">
        <v>981</v>
      </c>
      <c r="B979" t="s">
        <v>31</v>
      </c>
      <c r="C979" s="1">
        <v>45850</v>
      </c>
      <c r="D979" s="1" t="str">
        <f xml:space="preserve"> TEXT(FilmaxData[[#This Row],[Show_Date]],"MMM")</f>
        <v>Jul</v>
      </c>
      <c r="E979" s="1" t="str">
        <f xml:space="preserve"> TEXT(FilmaxData[[#This Row],[Show_Date]],"DDD")</f>
        <v>Sat</v>
      </c>
      <c r="F979" t="s">
        <v>33</v>
      </c>
      <c r="G979" t="s">
        <v>17</v>
      </c>
      <c r="H979">
        <v>2</v>
      </c>
      <c r="I979">
        <v>12</v>
      </c>
      <c r="J979" t="s">
        <v>13</v>
      </c>
      <c r="K979" t="s">
        <v>18</v>
      </c>
      <c r="L979">
        <v>24</v>
      </c>
    </row>
    <row r="980" spans="1:12" x14ac:dyDescent="0.3">
      <c r="A980">
        <v>1800</v>
      </c>
      <c r="B980" t="s">
        <v>24</v>
      </c>
      <c r="C980" s="1">
        <v>45851</v>
      </c>
      <c r="D980" s="1" t="str">
        <f xml:space="preserve"> TEXT(FilmaxData[[#This Row],[Show_Date]],"MMM")</f>
        <v>Jul</v>
      </c>
      <c r="E980" s="1" t="str">
        <f xml:space="preserve"> TEXT(FilmaxData[[#This Row],[Show_Date]],"DDD")</f>
        <v>Sun</v>
      </c>
      <c r="F980" t="s">
        <v>33</v>
      </c>
      <c r="G980" t="s">
        <v>12</v>
      </c>
      <c r="H980">
        <v>3</v>
      </c>
      <c r="I980">
        <v>25</v>
      </c>
      <c r="J980" t="s">
        <v>21</v>
      </c>
      <c r="K980" t="s">
        <v>18</v>
      </c>
      <c r="L980">
        <v>75</v>
      </c>
    </row>
    <row r="981" spans="1:12" x14ac:dyDescent="0.3">
      <c r="A981">
        <v>693</v>
      </c>
      <c r="B981" t="s">
        <v>15</v>
      </c>
      <c r="C981" s="1">
        <v>45907</v>
      </c>
      <c r="D981" s="1" t="str">
        <f xml:space="preserve"> TEXT(FilmaxData[[#This Row],[Show_Date]],"MMM")</f>
        <v>Sep</v>
      </c>
      <c r="E981" s="1" t="str">
        <f xml:space="preserve"> TEXT(FilmaxData[[#This Row],[Show_Date]],"DDD")</f>
        <v>Sun</v>
      </c>
      <c r="F981" t="s">
        <v>16</v>
      </c>
      <c r="G981" t="s">
        <v>17</v>
      </c>
      <c r="H981">
        <v>1</v>
      </c>
      <c r="I981">
        <v>12</v>
      </c>
      <c r="J981" t="s">
        <v>13</v>
      </c>
      <c r="K981" t="s">
        <v>18</v>
      </c>
      <c r="L981">
        <v>12</v>
      </c>
    </row>
    <row r="982" spans="1:12" x14ac:dyDescent="0.3">
      <c r="A982">
        <v>1700</v>
      </c>
      <c r="B982" t="s">
        <v>19</v>
      </c>
      <c r="C982" s="1">
        <v>45864</v>
      </c>
      <c r="D982" s="1" t="str">
        <f xml:space="preserve"> TEXT(FilmaxData[[#This Row],[Show_Date]],"MMM")</f>
        <v>Jul</v>
      </c>
      <c r="E982" s="1" t="str">
        <f xml:space="preserve"> TEXT(FilmaxData[[#This Row],[Show_Date]],"DDD")</f>
        <v>Sat</v>
      </c>
      <c r="F982" t="s">
        <v>33</v>
      </c>
      <c r="G982" t="s">
        <v>17</v>
      </c>
      <c r="H982">
        <v>5</v>
      </c>
      <c r="I982">
        <v>12</v>
      </c>
      <c r="J982" t="s">
        <v>21</v>
      </c>
      <c r="K982" t="s">
        <v>18</v>
      </c>
      <c r="L982">
        <v>60</v>
      </c>
    </row>
    <row r="983" spans="1:12" x14ac:dyDescent="0.3">
      <c r="A983">
        <v>495</v>
      </c>
      <c r="B983" t="s">
        <v>15</v>
      </c>
      <c r="C983" s="1">
        <v>45866</v>
      </c>
      <c r="D983" s="1" t="str">
        <f xml:space="preserve"> TEXT(FilmaxData[[#This Row],[Show_Date]],"MMM")</f>
        <v>Jul</v>
      </c>
      <c r="E983" s="1" t="str">
        <f xml:space="preserve"> TEXT(FilmaxData[[#This Row],[Show_Date]],"DDD")</f>
        <v>Mon</v>
      </c>
      <c r="F983" t="s">
        <v>33</v>
      </c>
      <c r="G983" t="s">
        <v>12</v>
      </c>
      <c r="H983">
        <v>2</v>
      </c>
      <c r="I983">
        <v>25</v>
      </c>
      <c r="J983" t="s">
        <v>23</v>
      </c>
      <c r="K983" t="s">
        <v>18</v>
      </c>
      <c r="L983">
        <v>50</v>
      </c>
    </row>
    <row r="984" spans="1:12" x14ac:dyDescent="0.3">
      <c r="A984">
        <v>1187</v>
      </c>
      <c r="B984" t="s">
        <v>19</v>
      </c>
      <c r="C984" s="1">
        <v>45916</v>
      </c>
      <c r="D984" s="1" t="str">
        <f xml:space="preserve"> TEXT(FilmaxData[[#This Row],[Show_Date]],"MMM")</f>
        <v>Sep</v>
      </c>
      <c r="E984" s="1" t="str">
        <f xml:space="preserve"> TEXT(FilmaxData[[#This Row],[Show_Date]],"DDD")</f>
        <v>Tue</v>
      </c>
      <c r="F984" t="s">
        <v>11</v>
      </c>
      <c r="G984" t="s">
        <v>17</v>
      </c>
      <c r="H984">
        <v>2</v>
      </c>
      <c r="I984">
        <v>12</v>
      </c>
      <c r="J984" t="s">
        <v>13</v>
      </c>
      <c r="K984" t="s">
        <v>18</v>
      </c>
      <c r="L984">
        <v>24</v>
      </c>
    </row>
    <row r="985" spans="1:12" x14ac:dyDescent="0.3">
      <c r="A985">
        <v>65</v>
      </c>
      <c r="B985" t="s">
        <v>28</v>
      </c>
      <c r="C985" s="1">
        <v>45928</v>
      </c>
      <c r="D985" s="1" t="str">
        <f xml:space="preserve"> TEXT(FilmaxData[[#This Row],[Show_Date]],"MMM")</f>
        <v>Sep</v>
      </c>
      <c r="E985" s="1" t="str">
        <f xml:space="preserve"> TEXT(FilmaxData[[#This Row],[Show_Date]],"DDD")</f>
        <v>Sun</v>
      </c>
      <c r="F985" t="s">
        <v>11</v>
      </c>
      <c r="G985" t="s">
        <v>17</v>
      </c>
      <c r="H985">
        <v>3</v>
      </c>
      <c r="I985">
        <v>12</v>
      </c>
      <c r="J985" t="s">
        <v>21</v>
      </c>
      <c r="K985" t="s">
        <v>18</v>
      </c>
      <c r="L985">
        <v>36</v>
      </c>
    </row>
    <row r="986" spans="1:12" x14ac:dyDescent="0.3">
      <c r="A986">
        <v>374</v>
      </c>
      <c r="B986" t="s">
        <v>19</v>
      </c>
      <c r="C986" s="1">
        <v>45886</v>
      </c>
      <c r="D986" s="1" t="str">
        <f xml:space="preserve"> TEXT(FilmaxData[[#This Row],[Show_Date]],"MMM")</f>
        <v>Aug</v>
      </c>
      <c r="E986" s="1" t="str">
        <f xml:space="preserve"> TEXT(FilmaxData[[#This Row],[Show_Date]],"DDD")</f>
        <v>Sun</v>
      </c>
      <c r="F986" t="s">
        <v>16</v>
      </c>
      <c r="G986" t="s">
        <v>17</v>
      </c>
      <c r="H986">
        <v>3</v>
      </c>
      <c r="I986">
        <v>12</v>
      </c>
      <c r="J986" t="s">
        <v>21</v>
      </c>
      <c r="K986" t="s">
        <v>18</v>
      </c>
      <c r="L986">
        <v>36</v>
      </c>
    </row>
    <row r="987" spans="1:12" x14ac:dyDescent="0.3">
      <c r="A987">
        <v>1484</v>
      </c>
      <c r="B987" t="s">
        <v>24</v>
      </c>
      <c r="C987" s="1">
        <v>45888</v>
      </c>
      <c r="D987" s="1" t="str">
        <f xml:space="preserve"> TEXT(FilmaxData[[#This Row],[Show_Date]],"MMM")</f>
        <v>Aug</v>
      </c>
      <c r="E987" s="1" t="str">
        <f xml:space="preserve"> TEXT(FilmaxData[[#This Row],[Show_Date]],"DDD")</f>
        <v>Tue</v>
      </c>
      <c r="F987" t="s">
        <v>33</v>
      </c>
      <c r="G987" t="s">
        <v>29</v>
      </c>
      <c r="H987">
        <v>5</v>
      </c>
      <c r="I987">
        <v>30</v>
      </c>
      <c r="J987" t="s">
        <v>21</v>
      </c>
      <c r="K987" t="s">
        <v>18</v>
      </c>
      <c r="L987">
        <v>150</v>
      </c>
    </row>
    <row r="988" spans="1:12" x14ac:dyDescent="0.3">
      <c r="A988">
        <v>1475</v>
      </c>
      <c r="B988" t="s">
        <v>19</v>
      </c>
      <c r="C988" s="1">
        <v>45858</v>
      </c>
      <c r="D988" s="1" t="str">
        <f xml:space="preserve"> TEXT(FilmaxData[[#This Row],[Show_Date]],"MMM")</f>
        <v>Jul</v>
      </c>
      <c r="E988" s="1" t="str">
        <f xml:space="preserve"> TEXT(FilmaxData[[#This Row],[Show_Date]],"DDD")</f>
        <v>Sun</v>
      </c>
      <c r="F988" t="s">
        <v>33</v>
      </c>
      <c r="G988" t="s">
        <v>22</v>
      </c>
      <c r="H988">
        <v>5</v>
      </c>
      <c r="I988">
        <v>20</v>
      </c>
      <c r="J988" t="s">
        <v>23</v>
      </c>
      <c r="K988" t="s">
        <v>18</v>
      </c>
      <c r="L988">
        <v>100</v>
      </c>
    </row>
    <row r="989" spans="1:12" x14ac:dyDescent="0.3">
      <c r="A989">
        <v>193</v>
      </c>
      <c r="B989" t="s">
        <v>24</v>
      </c>
      <c r="C989" s="1">
        <v>45900</v>
      </c>
      <c r="D989" s="1" t="str">
        <f xml:space="preserve"> TEXT(FilmaxData[[#This Row],[Show_Date]],"MMM")</f>
        <v>Aug</v>
      </c>
      <c r="E989" s="1" t="str">
        <f xml:space="preserve"> TEXT(FilmaxData[[#This Row],[Show_Date]],"DDD")</f>
        <v>Sun</v>
      </c>
      <c r="F989" t="s">
        <v>20</v>
      </c>
      <c r="G989" t="s">
        <v>30</v>
      </c>
      <c r="H989">
        <v>3</v>
      </c>
      <c r="I989">
        <v>8</v>
      </c>
      <c r="J989" t="s">
        <v>23</v>
      </c>
      <c r="K989" t="s">
        <v>18</v>
      </c>
      <c r="L989">
        <v>24</v>
      </c>
    </row>
    <row r="990" spans="1:12" x14ac:dyDescent="0.3">
      <c r="A990">
        <v>165</v>
      </c>
      <c r="B990" t="s">
        <v>26</v>
      </c>
      <c r="C990" s="1">
        <v>45871</v>
      </c>
      <c r="D990" s="1" t="str">
        <f xml:space="preserve"> TEXT(FilmaxData[[#This Row],[Show_Date]],"MMM")</f>
        <v>Aug</v>
      </c>
      <c r="E990" s="1" t="str">
        <f xml:space="preserve"> TEXT(FilmaxData[[#This Row],[Show_Date]],"DDD")</f>
        <v>Sat</v>
      </c>
      <c r="F990" t="s">
        <v>20</v>
      </c>
      <c r="G990" t="s">
        <v>17</v>
      </c>
      <c r="H990">
        <v>4</v>
      </c>
      <c r="I990">
        <v>12</v>
      </c>
      <c r="J990" t="s">
        <v>13</v>
      </c>
      <c r="K990" t="s">
        <v>18</v>
      </c>
      <c r="L990">
        <v>48</v>
      </c>
    </row>
    <row r="991" spans="1:12" x14ac:dyDescent="0.3">
      <c r="A991">
        <v>1669</v>
      </c>
      <c r="B991" t="s">
        <v>28</v>
      </c>
      <c r="C991" s="1">
        <v>45870</v>
      </c>
      <c r="D991" s="1" t="str">
        <f xml:space="preserve"> TEXT(FilmaxData[[#This Row],[Show_Date]],"MMM")</f>
        <v>Aug</v>
      </c>
      <c r="E991" s="1" t="str">
        <f xml:space="preserve"> TEXT(FilmaxData[[#This Row],[Show_Date]],"DDD")</f>
        <v>Fri</v>
      </c>
      <c r="F991" t="s">
        <v>16</v>
      </c>
      <c r="G991" t="s">
        <v>17</v>
      </c>
      <c r="H991">
        <v>4</v>
      </c>
      <c r="I991">
        <v>12</v>
      </c>
      <c r="J991" t="s">
        <v>21</v>
      </c>
      <c r="K991" t="s">
        <v>18</v>
      </c>
      <c r="L991">
        <v>48</v>
      </c>
    </row>
    <row r="992" spans="1:12" x14ac:dyDescent="0.3">
      <c r="A992">
        <v>1461</v>
      </c>
      <c r="B992" t="s">
        <v>15</v>
      </c>
      <c r="C992" s="1">
        <v>45917</v>
      </c>
      <c r="D992" s="1" t="str">
        <f xml:space="preserve"> TEXT(FilmaxData[[#This Row],[Show_Date]],"MMM")</f>
        <v>Sep</v>
      </c>
      <c r="E992" s="1" t="str">
        <f xml:space="preserve"> TEXT(FilmaxData[[#This Row],[Show_Date]],"DDD")</f>
        <v>Wed</v>
      </c>
      <c r="F992" t="s">
        <v>16</v>
      </c>
      <c r="G992" t="s">
        <v>17</v>
      </c>
      <c r="H992">
        <v>3</v>
      </c>
      <c r="I992">
        <v>12</v>
      </c>
      <c r="J992" t="s">
        <v>21</v>
      </c>
      <c r="K992" t="s">
        <v>18</v>
      </c>
      <c r="L992">
        <v>36</v>
      </c>
    </row>
    <row r="993" spans="1:12" x14ac:dyDescent="0.3">
      <c r="A993">
        <v>1588</v>
      </c>
      <c r="B993" t="s">
        <v>24</v>
      </c>
      <c r="C993" s="1">
        <v>45841</v>
      </c>
      <c r="D993" s="1" t="str">
        <f xml:space="preserve"> TEXT(FilmaxData[[#This Row],[Show_Date]],"MMM")</f>
        <v>Jul</v>
      </c>
      <c r="E993" s="1" t="str">
        <f xml:space="preserve"> TEXT(FilmaxData[[#This Row],[Show_Date]],"DDD")</f>
        <v>Thu</v>
      </c>
      <c r="F993" t="s">
        <v>16</v>
      </c>
      <c r="G993" t="s">
        <v>30</v>
      </c>
      <c r="H993">
        <v>4</v>
      </c>
      <c r="I993">
        <v>8</v>
      </c>
      <c r="J993" t="s">
        <v>23</v>
      </c>
      <c r="K993" t="s">
        <v>18</v>
      </c>
      <c r="L993">
        <v>32</v>
      </c>
    </row>
    <row r="994" spans="1:12" x14ac:dyDescent="0.3">
      <c r="A994">
        <v>1144</v>
      </c>
      <c r="B994" t="s">
        <v>28</v>
      </c>
      <c r="C994" s="1">
        <v>45921</v>
      </c>
      <c r="D994" s="1" t="str">
        <f xml:space="preserve"> TEXT(FilmaxData[[#This Row],[Show_Date]],"MMM")</f>
        <v>Sep</v>
      </c>
      <c r="E994" s="1" t="str">
        <f xml:space="preserve"> TEXT(FilmaxData[[#This Row],[Show_Date]],"DDD")</f>
        <v>Sun</v>
      </c>
      <c r="F994" t="s">
        <v>33</v>
      </c>
      <c r="G994" t="s">
        <v>12</v>
      </c>
      <c r="H994">
        <v>4</v>
      </c>
      <c r="I994">
        <v>25</v>
      </c>
      <c r="J994" t="s">
        <v>23</v>
      </c>
      <c r="K994" t="s">
        <v>18</v>
      </c>
      <c r="L994">
        <v>100</v>
      </c>
    </row>
    <row r="995" spans="1:12" x14ac:dyDescent="0.3">
      <c r="A995">
        <v>45</v>
      </c>
      <c r="B995" t="s">
        <v>31</v>
      </c>
      <c r="C995" s="1">
        <v>45922</v>
      </c>
      <c r="D995" s="1" t="str">
        <f xml:space="preserve"> TEXT(FilmaxData[[#This Row],[Show_Date]],"MMM")</f>
        <v>Sep</v>
      </c>
      <c r="E995" s="1" t="str">
        <f xml:space="preserve"> TEXT(FilmaxData[[#This Row],[Show_Date]],"DDD")</f>
        <v>Mon</v>
      </c>
      <c r="F995" t="s">
        <v>16</v>
      </c>
      <c r="G995" t="s">
        <v>22</v>
      </c>
      <c r="H995">
        <v>1</v>
      </c>
      <c r="I995">
        <v>20</v>
      </c>
      <c r="J995" t="s">
        <v>23</v>
      </c>
      <c r="K995" t="s">
        <v>18</v>
      </c>
      <c r="L995">
        <v>20</v>
      </c>
    </row>
    <row r="996" spans="1:12" x14ac:dyDescent="0.3">
      <c r="A996">
        <v>671</v>
      </c>
      <c r="B996" t="s">
        <v>24</v>
      </c>
      <c r="C996" s="1">
        <v>45840</v>
      </c>
      <c r="D996" s="1" t="str">
        <f xml:space="preserve"> TEXT(FilmaxData[[#This Row],[Show_Date]],"MMM")</f>
        <v>Jul</v>
      </c>
      <c r="E996" s="1" t="str">
        <f xml:space="preserve"> TEXT(FilmaxData[[#This Row],[Show_Date]],"DDD")</f>
        <v>Wed</v>
      </c>
      <c r="F996" t="s">
        <v>11</v>
      </c>
      <c r="G996" t="s">
        <v>12</v>
      </c>
      <c r="H996">
        <v>2</v>
      </c>
      <c r="I996">
        <v>25</v>
      </c>
      <c r="J996" t="s">
        <v>21</v>
      </c>
      <c r="K996" t="s">
        <v>18</v>
      </c>
      <c r="L996">
        <v>50</v>
      </c>
    </row>
    <row r="997" spans="1:12" x14ac:dyDescent="0.3">
      <c r="A997">
        <v>1170</v>
      </c>
      <c r="B997" t="s">
        <v>32</v>
      </c>
      <c r="C997" s="1">
        <v>45906</v>
      </c>
      <c r="D997" s="1" t="str">
        <f xml:space="preserve"> TEXT(FilmaxData[[#This Row],[Show_Date]],"MMM")</f>
        <v>Sep</v>
      </c>
      <c r="E997" s="1" t="str">
        <f xml:space="preserve"> TEXT(FilmaxData[[#This Row],[Show_Date]],"DDD")</f>
        <v>Sat</v>
      </c>
      <c r="F997" t="s">
        <v>16</v>
      </c>
      <c r="G997" t="s">
        <v>17</v>
      </c>
      <c r="H997">
        <v>1</v>
      </c>
      <c r="I997">
        <v>12</v>
      </c>
      <c r="J997" t="s">
        <v>13</v>
      </c>
      <c r="K997" t="s">
        <v>18</v>
      </c>
      <c r="L997">
        <v>12</v>
      </c>
    </row>
    <row r="998" spans="1:12" x14ac:dyDescent="0.3">
      <c r="A998">
        <v>260</v>
      </c>
      <c r="B998" t="s">
        <v>32</v>
      </c>
      <c r="C998" s="1">
        <v>45844</v>
      </c>
      <c r="D998" s="1" t="str">
        <f xml:space="preserve"> TEXT(FilmaxData[[#This Row],[Show_Date]],"MMM")</f>
        <v>Jul</v>
      </c>
      <c r="E998" s="1" t="str">
        <f xml:space="preserve"> TEXT(FilmaxData[[#This Row],[Show_Date]],"DDD")</f>
        <v>Sun</v>
      </c>
      <c r="F998" t="s">
        <v>11</v>
      </c>
      <c r="G998" t="s">
        <v>17</v>
      </c>
      <c r="H998">
        <v>2</v>
      </c>
      <c r="I998">
        <v>12</v>
      </c>
      <c r="J998" t="s">
        <v>21</v>
      </c>
      <c r="K998" t="s">
        <v>18</v>
      </c>
      <c r="L998">
        <v>24</v>
      </c>
    </row>
    <row r="999" spans="1:12" x14ac:dyDescent="0.3">
      <c r="A999">
        <v>614</v>
      </c>
      <c r="B999" t="s">
        <v>26</v>
      </c>
      <c r="C999" s="1">
        <v>45863</v>
      </c>
      <c r="D999" s="1" t="str">
        <f xml:space="preserve"> TEXT(FilmaxData[[#This Row],[Show_Date]],"MMM")</f>
        <v>Jul</v>
      </c>
      <c r="E999" s="1" t="str">
        <f xml:space="preserve"> TEXT(FilmaxData[[#This Row],[Show_Date]],"DDD")</f>
        <v>Fri</v>
      </c>
      <c r="F999" t="s">
        <v>16</v>
      </c>
      <c r="G999" t="s">
        <v>30</v>
      </c>
      <c r="H999">
        <v>3</v>
      </c>
      <c r="I999">
        <v>8</v>
      </c>
      <c r="J999" t="s">
        <v>23</v>
      </c>
      <c r="K999" t="s">
        <v>18</v>
      </c>
      <c r="L999">
        <v>24</v>
      </c>
    </row>
    <row r="1000" spans="1:12" x14ac:dyDescent="0.3">
      <c r="A1000">
        <v>1731</v>
      </c>
      <c r="B1000" t="s">
        <v>10</v>
      </c>
      <c r="C1000" s="1">
        <v>45878</v>
      </c>
      <c r="D1000" s="1" t="str">
        <f xml:space="preserve"> TEXT(FilmaxData[[#This Row],[Show_Date]],"MMM")</f>
        <v>Aug</v>
      </c>
      <c r="E1000" s="1" t="str">
        <f xml:space="preserve"> TEXT(FilmaxData[[#This Row],[Show_Date]],"DDD")</f>
        <v>Sat</v>
      </c>
      <c r="F1000" t="s">
        <v>20</v>
      </c>
      <c r="G1000" t="s">
        <v>17</v>
      </c>
      <c r="H1000">
        <v>4</v>
      </c>
      <c r="I1000">
        <v>12</v>
      </c>
      <c r="J1000" t="s">
        <v>23</v>
      </c>
      <c r="K1000" t="s">
        <v>18</v>
      </c>
      <c r="L1000">
        <v>48</v>
      </c>
    </row>
    <row r="1001" spans="1:12" x14ac:dyDescent="0.3">
      <c r="A1001">
        <v>412</v>
      </c>
      <c r="B1001" t="s">
        <v>19</v>
      </c>
      <c r="C1001" s="1">
        <v>45878</v>
      </c>
      <c r="D1001" s="1" t="str">
        <f xml:space="preserve"> TEXT(FilmaxData[[#This Row],[Show_Date]],"MMM")</f>
        <v>Aug</v>
      </c>
      <c r="E1001" s="1" t="str">
        <f xml:space="preserve"> TEXT(FilmaxData[[#This Row],[Show_Date]],"DDD")</f>
        <v>Sat</v>
      </c>
      <c r="F1001" t="s">
        <v>11</v>
      </c>
      <c r="G1001" t="s">
        <v>17</v>
      </c>
      <c r="H1001">
        <v>2</v>
      </c>
      <c r="I1001">
        <v>12</v>
      </c>
      <c r="J1001" t="s">
        <v>21</v>
      </c>
      <c r="K1001" t="s">
        <v>18</v>
      </c>
      <c r="L1001">
        <v>24</v>
      </c>
    </row>
    <row r="1002" spans="1:12" x14ac:dyDescent="0.3">
      <c r="A1002">
        <v>1738</v>
      </c>
      <c r="B1002" t="s">
        <v>28</v>
      </c>
      <c r="C1002" s="1">
        <v>45930</v>
      </c>
      <c r="D1002" s="1" t="str">
        <f xml:space="preserve"> TEXT(FilmaxData[[#This Row],[Show_Date]],"MMM")</f>
        <v>Sep</v>
      </c>
      <c r="E1002" s="1" t="str">
        <f xml:space="preserve"> TEXT(FilmaxData[[#This Row],[Show_Date]],"DDD")</f>
        <v>Tue</v>
      </c>
      <c r="F1002" t="s">
        <v>33</v>
      </c>
      <c r="G1002" t="s">
        <v>30</v>
      </c>
      <c r="H1002">
        <v>2</v>
      </c>
      <c r="I1002">
        <v>8</v>
      </c>
      <c r="J1002" t="s">
        <v>23</v>
      </c>
      <c r="K1002" t="s">
        <v>18</v>
      </c>
      <c r="L1002">
        <v>16</v>
      </c>
    </row>
    <row r="1003" spans="1:12" x14ac:dyDescent="0.3">
      <c r="A1003">
        <v>1807</v>
      </c>
      <c r="B1003" t="s">
        <v>31</v>
      </c>
      <c r="C1003" s="1">
        <v>45891</v>
      </c>
      <c r="D1003" s="1" t="str">
        <f xml:space="preserve"> TEXT(FilmaxData[[#This Row],[Show_Date]],"MMM")</f>
        <v>Aug</v>
      </c>
      <c r="E1003" s="1" t="str">
        <f xml:space="preserve"> TEXT(FilmaxData[[#This Row],[Show_Date]],"DDD")</f>
        <v>Fri</v>
      </c>
      <c r="F1003" t="s">
        <v>20</v>
      </c>
      <c r="G1003" t="s">
        <v>17</v>
      </c>
      <c r="H1003">
        <v>3</v>
      </c>
      <c r="I1003">
        <v>12</v>
      </c>
      <c r="J1003" t="s">
        <v>23</v>
      </c>
      <c r="K1003" t="s">
        <v>18</v>
      </c>
      <c r="L1003">
        <v>36</v>
      </c>
    </row>
    <row r="1004" spans="1:12" x14ac:dyDescent="0.3">
      <c r="A1004">
        <v>687</v>
      </c>
      <c r="B1004" t="s">
        <v>10</v>
      </c>
      <c r="C1004" s="1">
        <v>45907</v>
      </c>
      <c r="D1004" s="1" t="str">
        <f xml:space="preserve"> TEXT(FilmaxData[[#This Row],[Show_Date]],"MMM")</f>
        <v>Sep</v>
      </c>
      <c r="E1004" s="1" t="str">
        <f xml:space="preserve"> TEXT(FilmaxData[[#This Row],[Show_Date]],"DDD")</f>
        <v>Sun</v>
      </c>
      <c r="F1004" t="s">
        <v>11</v>
      </c>
      <c r="G1004" t="s">
        <v>17</v>
      </c>
      <c r="H1004">
        <v>1</v>
      </c>
      <c r="I1004">
        <v>12</v>
      </c>
      <c r="J1004" t="s">
        <v>21</v>
      </c>
      <c r="K1004" t="s">
        <v>18</v>
      </c>
      <c r="L1004">
        <v>12</v>
      </c>
    </row>
    <row r="1005" spans="1:12" x14ac:dyDescent="0.3">
      <c r="A1005">
        <v>15</v>
      </c>
      <c r="B1005" t="s">
        <v>19</v>
      </c>
      <c r="C1005" s="1">
        <v>45874</v>
      </c>
      <c r="D1005" s="1" t="str">
        <f xml:space="preserve"> TEXT(FilmaxData[[#This Row],[Show_Date]],"MMM")</f>
        <v>Aug</v>
      </c>
      <c r="E1005" s="1" t="str">
        <f xml:space="preserve"> TEXT(FilmaxData[[#This Row],[Show_Date]],"DDD")</f>
        <v>Tue</v>
      </c>
      <c r="F1005" t="s">
        <v>20</v>
      </c>
      <c r="G1005" t="s">
        <v>12</v>
      </c>
      <c r="H1005">
        <v>3</v>
      </c>
      <c r="I1005">
        <v>25</v>
      </c>
      <c r="J1005" t="s">
        <v>21</v>
      </c>
      <c r="K1005" t="s">
        <v>18</v>
      </c>
      <c r="L1005">
        <v>75</v>
      </c>
    </row>
    <row r="1006" spans="1:12" x14ac:dyDescent="0.3">
      <c r="A1006">
        <v>837</v>
      </c>
      <c r="B1006" t="s">
        <v>32</v>
      </c>
      <c r="C1006" s="1">
        <v>45850</v>
      </c>
      <c r="D1006" s="1" t="str">
        <f xml:space="preserve"> TEXT(FilmaxData[[#This Row],[Show_Date]],"MMM")</f>
        <v>Jul</v>
      </c>
      <c r="E1006" s="1" t="str">
        <f xml:space="preserve"> TEXT(FilmaxData[[#This Row],[Show_Date]],"DDD")</f>
        <v>Sat</v>
      </c>
      <c r="F1006" t="s">
        <v>20</v>
      </c>
      <c r="G1006" t="s">
        <v>29</v>
      </c>
      <c r="H1006">
        <v>3</v>
      </c>
      <c r="I1006">
        <v>30</v>
      </c>
      <c r="J1006" t="s">
        <v>21</v>
      </c>
      <c r="K1006" t="s">
        <v>18</v>
      </c>
      <c r="L1006">
        <v>90</v>
      </c>
    </row>
    <row r="1007" spans="1:12" x14ac:dyDescent="0.3">
      <c r="A1007">
        <v>1713</v>
      </c>
      <c r="B1007" t="s">
        <v>15</v>
      </c>
      <c r="C1007" s="1">
        <v>45856</v>
      </c>
      <c r="D1007" s="1" t="str">
        <f xml:space="preserve"> TEXT(FilmaxData[[#This Row],[Show_Date]],"MMM")</f>
        <v>Jul</v>
      </c>
      <c r="E1007" s="1" t="str">
        <f xml:space="preserve"> TEXT(FilmaxData[[#This Row],[Show_Date]],"DDD")</f>
        <v>Fri</v>
      </c>
      <c r="F1007" t="s">
        <v>33</v>
      </c>
      <c r="G1007" t="s">
        <v>30</v>
      </c>
      <c r="H1007">
        <v>1</v>
      </c>
      <c r="I1007">
        <v>8</v>
      </c>
      <c r="J1007" t="s">
        <v>23</v>
      </c>
      <c r="K1007" t="s">
        <v>18</v>
      </c>
      <c r="L1007">
        <v>8</v>
      </c>
    </row>
    <row r="1008" spans="1:12" x14ac:dyDescent="0.3">
      <c r="A1008">
        <v>1621</v>
      </c>
      <c r="B1008" t="s">
        <v>15</v>
      </c>
      <c r="C1008" s="1">
        <v>45911</v>
      </c>
      <c r="D1008" s="1" t="str">
        <f xml:space="preserve"> TEXT(FilmaxData[[#This Row],[Show_Date]],"MMM")</f>
        <v>Sep</v>
      </c>
      <c r="E1008" s="1" t="str">
        <f xml:space="preserve"> TEXT(FilmaxData[[#This Row],[Show_Date]],"DDD")</f>
        <v>Thu</v>
      </c>
      <c r="F1008" t="s">
        <v>20</v>
      </c>
      <c r="G1008" t="s">
        <v>30</v>
      </c>
      <c r="H1008">
        <v>2</v>
      </c>
      <c r="I1008">
        <v>8</v>
      </c>
      <c r="J1008" t="s">
        <v>23</v>
      </c>
      <c r="K1008" t="s">
        <v>18</v>
      </c>
      <c r="L1008">
        <v>16</v>
      </c>
    </row>
    <row r="1009" spans="1:12" x14ac:dyDescent="0.3">
      <c r="A1009">
        <v>802</v>
      </c>
      <c r="B1009" t="s">
        <v>10</v>
      </c>
      <c r="C1009" s="1">
        <v>45906</v>
      </c>
      <c r="D1009" s="1" t="str">
        <f xml:space="preserve"> TEXT(FilmaxData[[#This Row],[Show_Date]],"MMM")</f>
        <v>Sep</v>
      </c>
      <c r="E1009" s="1" t="str">
        <f xml:space="preserve"> TEXT(FilmaxData[[#This Row],[Show_Date]],"DDD")</f>
        <v>Sat</v>
      </c>
      <c r="F1009" t="s">
        <v>20</v>
      </c>
      <c r="G1009" t="s">
        <v>29</v>
      </c>
      <c r="H1009">
        <v>2</v>
      </c>
      <c r="I1009">
        <v>30</v>
      </c>
      <c r="J1009" t="s">
        <v>23</v>
      </c>
      <c r="K1009" t="s">
        <v>18</v>
      </c>
      <c r="L1009">
        <v>60</v>
      </c>
    </row>
    <row r="1010" spans="1:12" x14ac:dyDescent="0.3">
      <c r="A1010">
        <v>407</v>
      </c>
      <c r="B1010" t="s">
        <v>10</v>
      </c>
      <c r="C1010" s="1">
        <v>45879</v>
      </c>
      <c r="D1010" s="1" t="str">
        <f xml:space="preserve"> TEXT(FilmaxData[[#This Row],[Show_Date]],"MMM")</f>
        <v>Aug</v>
      </c>
      <c r="E1010" s="1" t="str">
        <f xml:space="preserve"> TEXT(FilmaxData[[#This Row],[Show_Date]],"DDD")</f>
        <v>Sun</v>
      </c>
      <c r="F1010" t="s">
        <v>20</v>
      </c>
      <c r="G1010" t="s">
        <v>17</v>
      </c>
      <c r="H1010">
        <v>2</v>
      </c>
      <c r="I1010">
        <v>12</v>
      </c>
      <c r="J1010" t="s">
        <v>13</v>
      </c>
      <c r="K1010" t="s">
        <v>18</v>
      </c>
      <c r="L1010">
        <v>24</v>
      </c>
    </row>
    <row r="1011" spans="1:12" x14ac:dyDescent="0.3">
      <c r="A1011">
        <v>1151</v>
      </c>
      <c r="B1011" t="s">
        <v>15</v>
      </c>
      <c r="C1011" s="1">
        <v>45899</v>
      </c>
      <c r="D1011" s="1" t="str">
        <f xml:space="preserve"> TEXT(FilmaxData[[#This Row],[Show_Date]],"MMM")</f>
        <v>Aug</v>
      </c>
      <c r="E1011" s="1" t="str">
        <f xml:space="preserve"> TEXT(FilmaxData[[#This Row],[Show_Date]],"DDD")</f>
        <v>Sat</v>
      </c>
      <c r="F1011" t="s">
        <v>33</v>
      </c>
      <c r="G1011" t="s">
        <v>12</v>
      </c>
      <c r="H1011">
        <v>5</v>
      </c>
      <c r="I1011">
        <v>25</v>
      </c>
      <c r="J1011" t="s">
        <v>23</v>
      </c>
      <c r="K1011" t="s">
        <v>18</v>
      </c>
      <c r="L1011">
        <v>125</v>
      </c>
    </row>
    <row r="1012" spans="1:12" x14ac:dyDescent="0.3">
      <c r="A1012">
        <v>63</v>
      </c>
      <c r="B1012" t="s">
        <v>15</v>
      </c>
      <c r="C1012" s="1">
        <v>45882</v>
      </c>
      <c r="D1012" s="1" t="str">
        <f xml:space="preserve"> TEXT(FilmaxData[[#This Row],[Show_Date]],"MMM")</f>
        <v>Aug</v>
      </c>
      <c r="E1012" s="1" t="str">
        <f xml:space="preserve"> TEXT(FilmaxData[[#This Row],[Show_Date]],"DDD")</f>
        <v>Wed</v>
      </c>
      <c r="F1012" t="s">
        <v>11</v>
      </c>
      <c r="G1012" t="s">
        <v>22</v>
      </c>
      <c r="H1012">
        <v>1</v>
      </c>
      <c r="I1012">
        <v>20</v>
      </c>
      <c r="J1012" t="s">
        <v>21</v>
      </c>
      <c r="K1012" t="s">
        <v>18</v>
      </c>
      <c r="L1012">
        <v>20</v>
      </c>
    </row>
    <row r="1013" spans="1:12" x14ac:dyDescent="0.3">
      <c r="A1013">
        <v>1925</v>
      </c>
      <c r="B1013" t="s">
        <v>26</v>
      </c>
      <c r="C1013" s="1">
        <v>45919</v>
      </c>
      <c r="D1013" s="1" t="str">
        <f xml:space="preserve"> TEXT(FilmaxData[[#This Row],[Show_Date]],"MMM")</f>
        <v>Sep</v>
      </c>
      <c r="E1013" s="1" t="str">
        <f xml:space="preserve"> TEXT(FilmaxData[[#This Row],[Show_Date]],"DDD")</f>
        <v>Fri</v>
      </c>
      <c r="F1013" t="s">
        <v>20</v>
      </c>
      <c r="G1013" t="s">
        <v>29</v>
      </c>
      <c r="H1013">
        <v>2</v>
      </c>
      <c r="I1013">
        <v>30</v>
      </c>
      <c r="J1013" t="s">
        <v>13</v>
      </c>
      <c r="K1013" t="s">
        <v>18</v>
      </c>
      <c r="L1013">
        <v>60</v>
      </c>
    </row>
    <row r="1014" spans="1:12" x14ac:dyDescent="0.3">
      <c r="A1014">
        <v>1864</v>
      </c>
      <c r="B1014" t="s">
        <v>10</v>
      </c>
      <c r="C1014" s="1">
        <v>45930</v>
      </c>
      <c r="D1014" s="1" t="str">
        <f xml:space="preserve"> TEXT(FilmaxData[[#This Row],[Show_Date]],"MMM")</f>
        <v>Sep</v>
      </c>
      <c r="E1014" s="1" t="str">
        <f xml:space="preserve"> TEXT(FilmaxData[[#This Row],[Show_Date]],"DDD")</f>
        <v>Tue</v>
      </c>
      <c r="F1014" t="s">
        <v>16</v>
      </c>
      <c r="G1014" t="s">
        <v>17</v>
      </c>
      <c r="H1014">
        <v>4</v>
      </c>
      <c r="I1014">
        <v>12</v>
      </c>
      <c r="J1014" t="s">
        <v>23</v>
      </c>
      <c r="K1014" t="s">
        <v>18</v>
      </c>
      <c r="L1014">
        <v>48</v>
      </c>
    </row>
    <row r="1015" spans="1:12" x14ac:dyDescent="0.3">
      <c r="A1015">
        <v>479</v>
      </c>
      <c r="B1015" t="s">
        <v>24</v>
      </c>
      <c r="C1015" s="1">
        <v>45900</v>
      </c>
      <c r="D1015" s="1" t="str">
        <f xml:space="preserve"> TEXT(FilmaxData[[#This Row],[Show_Date]],"MMM")</f>
        <v>Aug</v>
      </c>
      <c r="E1015" s="1" t="str">
        <f xml:space="preserve"> TEXT(FilmaxData[[#This Row],[Show_Date]],"DDD")</f>
        <v>Sun</v>
      </c>
      <c r="F1015" t="s">
        <v>20</v>
      </c>
      <c r="G1015" t="s">
        <v>17</v>
      </c>
      <c r="H1015">
        <v>3</v>
      </c>
      <c r="I1015">
        <v>12</v>
      </c>
      <c r="J1015" t="s">
        <v>13</v>
      </c>
      <c r="K1015" t="s">
        <v>18</v>
      </c>
      <c r="L1015">
        <v>36</v>
      </c>
    </row>
    <row r="1016" spans="1:12" x14ac:dyDescent="0.3">
      <c r="A1016">
        <v>1301</v>
      </c>
      <c r="B1016" t="s">
        <v>28</v>
      </c>
      <c r="C1016" s="1">
        <v>45920</v>
      </c>
      <c r="D1016" s="1" t="str">
        <f xml:space="preserve"> TEXT(FilmaxData[[#This Row],[Show_Date]],"MMM")</f>
        <v>Sep</v>
      </c>
      <c r="E1016" s="1" t="str">
        <f xml:space="preserve"> TEXT(FilmaxData[[#This Row],[Show_Date]],"DDD")</f>
        <v>Sat</v>
      </c>
      <c r="F1016" t="s">
        <v>20</v>
      </c>
      <c r="G1016" t="s">
        <v>17</v>
      </c>
      <c r="H1016">
        <v>5</v>
      </c>
      <c r="I1016">
        <v>12</v>
      </c>
      <c r="J1016" t="s">
        <v>13</v>
      </c>
      <c r="K1016" t="s">
        <v>18</v>
      </c>
      <c r="L1016">
        <v>60</v>
      </c>
    </row>
    <row r="1017" spans="1:12" x14ac:dyDescent="0.3">
      <c r="A1017">
        <v>612</v>
      </c>
      <c r="B1017" t="s">
        <v>26</v>
      </c>
      <c r="C1017" s="1">
        <v>45844</v>
      </c>
      <c r="D1017" s="1" t="str">
        <f xml:space="preserve"> TEXT(FilmaxData[[#This Row],[Show_Date]],"MMM")</f>
        <v>Jul</v>
      </c>
      <c r="E1017" s="1" t="str">
        <f xml:space="preserve"> TEXT(FilmaxData[[#This Row],[Show_Date]],"DDD")</f>
        <v>Sun</v>
      </c>
      <c r="F1017" t="s">
        <v>16</v>
      </c>
      <c r="G1017" t="s">
        <v>17</v>
      </c>
      <c r="H1017">
        <v>2</v>
      </c>
      <c r="I1017">
        <v>12</v>
      </c>
      <c r="J1017" t="s">
        <v>23</v>
      </c>
      <c r="K1017" t="s">
        <v>18</v>
      </c>
      <c r="L1017">
        <v>24</v>
      </c>
    </row>
    <row r="1018" spans="1:12" x14ac:dyDescent="0.3">
      <c r="A1018">
        <v>329</v>
      </c>
      <c r="B1018" t="s">
        <v>19</v>
      </c>
      <c r="C1018" s="1">
        <v>45910</v>
      </c>
      <c r="D1018" s="1" t="str">
        <f xml:space="preserve"> TEXT(FilmaxData[[#This Row],[Show_Date]],"MMM")</f>
        <v>Sep</v>
      </c>
      <c r="E1018" s="1" t="str">
        <f xml:space="preserve"> TEXT(FilmaxData[[#This Row],[Show_Date]],"DDD")</f>
        <v>Wed</v>
      </c>
      <c r="F1018" t="s">
        <v>11</v>
      </c>
      <c r="G1018" t="s">
        <v>12</v>
      </c>
      <c r="H1018">
        <v>5</v>
      </c>
      <c r="I1018">
        <v>25</v>
      </c>
      <c r="J1018" t="s">
        <v>21</v>
      </c>
      <c r="K1018" t="s">
        <v>18</v>
      </c>
      <c r="L1018">
        <v>125</v>
      </c>
    </row>
    <row r="1019" spans="1:12" x14ac:dyDescent="0.3">
      <c r="A1019">
        <v>1479</v>
      </c>
      <c r="B1019" t="s">
        <v>10</v>
      </c>
      <c r="C1019" s="1">
        <v>45890</v>
      </c>
      <c r="D1019" s="1" t="str">
        <f xml:space="preserve"> TEXT(FilmaxData[[#This Row],[Show_Date]],"MMM")</f>
        <v>Aug</v>
      </c>
      <c r="E1019" s="1" t="str">
        <f xml:space="preserve"> TEXT(FilmaxData[[#This Row],[Show_Date]],"DDD")</f>
        <v>Thu</v>
      </c>
      <c r="F1019" t="s">
        <v>16</v>
      </c>
      <c r="G1019" t="s">
        <v>17</v>
      </c>
      <c r="H1019">
        <v>5</v>
      </c>
      <c r="I1019">
        <v>12</v>
      </c>
      <c r="J1019" t="s">
        <v>21</v>
      </c>
      <c r="K1019" t="s">
        <v>18</v>
      </c>
      <c r="L1019">
        <v>60</v>
      </c>
    </row>
    <row r="1020" spans="1:12" x14ac:dyDescent="0.3">
      <c r="A1020">
        <v>1733</v>
      </c>
      <c r="B1020" t="s">
        <v>28</v>
      </c>
      <c r="C1020" s="1">
        <v>45908</v>
      </c>
      <c r="D1020" s="1" t="str">
        <f xml:space="preserve"> TEXT(FilmaxData[[#This Row],[Show_Date]],"MMM")</f>
        <v>Sep</v>
      </c>
      <c r="E1020" s="1" t="str">
        <f xml:space="preserve"> TEXT(FilmaxData[[#This Row],[Show_Date]],"DDD")</f>
        <v>Mon</v>
      </c>
      <c r="F1020" t="s">
        <v>33</v>
      </c>
      <c r="G1020" t="s">
        <v>17</v>
      </c>
      <c r="H1020">
        <v>1</v>
      </c>
      <c r="I1020">
        <v>12</v>
      </c>
      <c r="J1020" t="s">
        <v>23</v>
      </c>
      <c r="K1020" t="s">
        <v>18</v>
      </c>
      <c r="L1020">
        <v>12</v>
      </c>
    </row>
    <row r="1021" spans="1:12" x14ac:dyDescent="0.3">
      <c r="A1021">
        <v>594</v>
      </c>
      <c r="B1021" t="s">
        <v>31</v>
      </c>
      <c r="C1021" s="1">
        <v>45915</v>
      </c>
      <c r="D1021" s="1" t="str">
        <f xml:space="preserve"> TEXT(FilmaxData[[#This Row],[Show_Date]],"MMM")</f>
        <v>Sep</v>
      </c>
      <c r="E1021" s="1" t="str">
        <f xml:space="preserve"> TEXT(FilmaxData[[#This Row],[Show_Date]],"DDD")</f>
        <v>Mon</v>
      </c>
      <c r="F1021" t="s">
        <v>16</v>
      </c>
      <c r="G1021" t="s">
        <v>12</v>
      </c>
      <c r="H1021">
        <v>1</v>
      </c>
      <c r="I1021">
        <v>25</v>
      </c>
      <c r="J1021" t="s">
        <v>23</v>
      </c>
      <c r="K1021" t="s">
        <v>18</v>
      </c>
      <c r="L1021">
        <v>25</v>
      </c>
    </row>
    <row r="1022" spans="1:12" x14ac:dyDescent="0.3">
      <c r="A1022">
        <v>1978</v>
      </c>
      <c r="B1022" t="s">
        <v>32</v>
      </c>
      <c r="C1022" s="1">
        <v>45848</v>
      </c>
      <c r="D1022" s="1" t="str">
        <f xml:space="preserve"> TEXT(FilmaxData[[#This Row],[Show_Date]],"MMM")</f>
        <v>Jul</v>
      </c>
      <c r="E1022" s="1" t="str">
        <f xml:space="preserve"> TEXT(FilmaxData[[#This Row],[Show_Date]],"DDD")</f>
        <v>Thu</v>
      </c>
      <c r="F1022" t="s">
        <v>16</v>
      </c>
      <c r="G1022" t="s">
        <v>12</v>
      </c>
      <c r="H1022">
        <v>3</v>
      </c>
      <c r="I1022">
        <v>25</v>
      </c>
      <c r="J1022" t="s">
        <v>23</v>
      </c>
      <c r="K1022" t="s">
        <v>18</v>
      </c>
      <c r="L1022">
        <v>75</v>
      </c>
    </row>
    <row r="1023" spans="1:12" x14ac:dyDescent="0.3">
      <c r="A1023">
        <v>668</v>
      </c>
      <c r="B1023" t="s">
        <v>31</v>
      </c>
      <c r="C1023" s="1">
        <v>45920</v>
      </c>
      <c r="D1023" s="1" t="str">
        <f xml:space="preserve"> TEXT(FilmaxData[[#This Row],[Show_Date]],"MMM")</f>
        <v>Sep</v>
      </c>
      <c r="E1023" s="1" t="str">
        <f xml:space="preserve"> TEXT(FilmaxData[[#This Row],[Show_Date]],"DDD")</f>
        <v>Sat</v>
      </c>
      <c r="F1023" t="s">
        <v>16</v>
      </c>
      <c r="G1023" t="s">
        <v>30</v>
      </c>
      <c r="H1023">
        <v>3</v>
      </c>
      <c r="I1023">
        <v>8</v>
      </c>
      <c r="J1023" t="s">
        <v>13</v>
      </c>
      <c r="K1023" t="s">
        <v>18</v>
      </c>
      <c r="L1023">
        <v>24</v>
      </c>
    </row>
    <row r="1024" spans="1:12" x14ac:dyDescent="0.3">
      <c r="A1024">
        <v>1822</v>
      </c>
      <c r="B1024" t="s">
        <v>28</v>
      </c>
      <c r="C1024" s="1">
        <v>45907</v>
      </c>
      <c r="D1024" s="1" t="str">
        <f xml:space="preserve"> TEXT(FilmaxData[[#This Row],[Show_Date]],"MMM")</f>
        <v>Sep</v>
      </c>
      <c r="E1024" s="1" t="str">
        <f xml:space="preserve"> TEXT(FilmaxData[[#This Row],[Show_Date]],"DDD")</f>
        <v>Sun</v>
      </c>
      <c r="F1024" t="s">
        <v>20</v>
      </c>
      <c r="G1024" t="s">
        <v>17</v>
      </c>
      <c r="H1024">
        <v>5</v>
      </c>
      <c r="I1024">
        <v>12</v>
      </c>
      <c r="J1024" t="s">
        <v>23</v>
      </c>
      <c r="K1024" t="s">
        <v>18</v>
      </c>
      <c r="L1024">
        <v>60</v>
      </c>
    </row>
    <row r="1025" spans="1:12" x14ac:dyDescent="0.3">
      <c r="A1025">
        <v>1610</v>
      </c>
      <c r="B1025" t="s">
        <v>32</v>
      </c>
      <c r="C1025" s="1">
        <v>45856</v>
      </c>
      <c r="D1025" s="1" t="str">
        <f xml:space="preserve"> TEXT(FilmaxData[[#This Row],[Show_Date]],"MMM")</f>
        <v>Jul</v>
      </c>
      <c r="E1025" s="1" t="str">
        <f xml:space="preserve"> TEXT(FilmaxData[[#This Row],[Show_Date]],"DDD")</f>
        <v>Fri</v>
      </c>
      <c r="F1025" t="s">
        <v>16</v>
      </c>
      <c r="G1025" t="s">
        <v>29</v>
      </c>
      <c r="H1025">
        <v>3</v>
      </c>
      <c r="I1025">
        <v>30</v>
      </c>
      <c r="J1025" t="s">
        <v>21</v>
      </c>
      <c r="K1025" t="s">
        <v>18</v>
      </c>
      <c r="L1025">
        <v>90</v>
      </c>
    </row>
    <row r="1026" spans="1:12" x14ac:dyDescent="0.3">
      <c r="A1026">
        <v>453</v>
      </c>
      <c r="B1026" t="s">
        <v>10</v>
      </c>
      <c r="C1026" s="1">
        <v>45883</v>
      </c>
      <c r="D1026" s="1" t="str">
        <f xml:space="preserve"> TEXT(FilmaxData[[#This Row],[Show_Date]],"MMM")</f>
        <v>Aug</v>
      </c>
      <c r="E1026" s="1" t="str">
        <f xml:space="preserve"> TEXT(FilmaxData[[#This Row],[Show_Date]],"DDD")</f>
        <v>Thu</v>
      </c>
      <c r="F1026" t="s">
        <v>20</v>
      </c>
      <c r="G1026" t="s">
        <v>12</v>
      </c>
      <c r="H1026">
        <v>4</v>
      </c>
      <c r="I1026">
        <v>25</v>
      </c>
      <c r="J1026" t="s">
        <v>21</v>
      </c>
      <c r="K1026" t="s">
        <v>18</v>
      </c>
      <c r="L1026">
        <v>100</v>
      </c>
    </row>
    <row r="1027" spans="1:12" x14ac:dyDescent="0.3">
      <c r="A1027">
        <v>1413</v>
      </c>
      <c r="B1027" t="s">
        <v>15</v>
      </c>
      <c r="C1027" s="1">
        <v>45921</v>
      </c>
      <c r="D1027" s="1" t="str">
        <f xml:space="preserve"> TEXT(FilmaxData[[#This Row],[Show_Date]],"MMM")</f>
        <v>Sep</v>
      </c>
      <c r="E1027" s="1" t="str">
        <f xml:space="preserve"> TEXT(FilmaxData[[#This Row],[Show_Date]],"DDD")</f>
        <v>Sun</v>
      </c>
      <c r="F1027" t="s">
        <v>20</v>
      </c>
      <c r="G1027" t="s">
        <v>17</v>
      </c>
      <c r="H1027">
        <v>3</v>
      </c>
      <c r="I1027">
        <v>12</v>
      </c>
      <c r="J1027" t="s">
        <v>23</v>
      </c>
      <c r="K1027" t="s">
        <v>18</v>
      </c>
      <c r="L1027">
        <v>36</v>
      </c>
    </row>
    <row r="1028" spans="1:12" x14ac:dyDescent="0.3">
      <c r="A1028">
        <v>1122</v>
      </c>
      <c r="B1028" t="s">
        <v>32</v>
      </c>
      <c r="C1028" s="1">
        <v>45903</v>
      </c>
      <c r="D1028" s="1" t="str">
        <f xml:space="preserve"> TEXT(FilmaxData[[#This Row],[Show_Date]],"MMM")</f>
        <v>Sep</v>
      </c>
      <c r="E1028" s="1" t="str">
        <f xml:space="preserve"> TEXT(FilmaxData[[#This Row],[Show_Date]],"DDD")</f>
        <v>Wed</v>
      </c>
      <c r="F1028" t="s">
        <v>33</v>
      </c>
      <c r="G1028" t="s">
        <v>17</v>
      </c>
      <c r="H1028">
        <v>2</v>
      </c>
      <c r="I1028">
        <v>12</v>
      </c>
      <c r="J1028" t="s">
        <v>23</v>
      </c>
      <c r="K1028" t="s">
        <v>18</v>
      </c>
      <c r="L1028">
        <v>24</v>
      </c>
    </row>
    <row r="1029" spans="1:12" x14ac:dyDescent="0.3">
      <c r="A1029">
        <v>1167</v>
      </c>
      <c r="B1029" t="s">
        <v>15</v>
      </c>
      <c r="C1029" s="1">
        <v>45871</v>
      </c>
      <c r="D1029" s="1" t="str">
        <f xml:space="preserve"> TEXT(FilmaxData[[#This Row],[Show_Date]],"MMM")</f>
        <v>Aug</v>
      </c>
      <c r="E1029" s="1" t="str">
        <f xml:space="preserve"> TEXT(FilmaxData[[#This Row],[Show_Date]],"DDD")</f>
        <v>Sat</v>
      </c>
      <c r="F1029" t="s">
        <v>20</v>
      </c>
      <c r="G1029" t="s">
        <v>29</v>
      </c>
      <c r="H1029">
        <v>3</v>
      </c>
      <c r="I1029">
        <v>30</v>
      </c>
      <c r="J1029" t="s">
        <v>21</v>
      </c>
      <c r="K1029" t="s">
        <v>18</v>
      </c>
      <c r="L1029">
        <v>90</v>
      </c>
    </row>
    <row r="1030" spans="1:12" x14ac:dyDescent="0.3">
      <c r="A1030">
        <v>242</v>
      </c>
      <c r="B1030" t="s">
        <v>28</v>
      </c>
      <c r="C1030" s="1">
        <v>45924</v>
      </c>
      <c r="D1030" s="1" t="str">
        <f xml:space="preserve"> TEXT(FilmaxData[[#This Row],[Show_Date]],"MMM")</f>
        <v>Sep</v>
      </c>
      <c r="E1030" s="1" t="str">
        <f xml:space="preserve"> TEXT(FilmaxData[[#This Row],[Show_Date]],"DDD")</f>
        <v>Wed</v>
      </c>
      <c r="F1030" t="s">
        <v>11</v>
      </c>
      <c r="G1030" t="s">
        <v>17</v>
      </c>
      <c r="H1030">
        <v>1</v>
      </c>
      <c r="I1030">
        <v>12</v>
      </c>
      <c r="J1030" t="s">
        <v>13</v>
      </c>
      <c r="K1030" t="s">
        <v>18</v>
      </c>
      <c r="L1030">
        <v>12</v>
      </c>
    </row>
    <row r="1031" spans="1:12" x14ac:dyDescent="0.3">
      <c r="A1031">
        <v>1808</v>
      </c>
      <c r="B1031" t="s">
        <v>15</v>
      </c>
      <c r="C1031" s="1">
        <v>45869</v>
      </c>
      <c r="D1031" s="1" t="str">
        <f xml:space="preserve"> TEXT(FilmaxData[[#This Row],[Show_Date]],"MMM")</f>
        <v>Jul</v>
      </c>
      <c r="E1031" s="1" t="str">
        <f xml:space="preserve"> TEXT(FilmaxData[[#This Row],[Show_Date]],"DDD")</f>
        <v>Thu</v>
      </c>
      <c r="F1031" t="s">
        <v>16</v>
      </c>
      <c r="G1031" t="s">
        <v>17</v>
      </c>
      <c r="H1031">
        <v>2</v>
      </c>
      <c r="I1031">
        <v>12</v>
      </c>
      <c r="J1031" t="s">
        <v>13</v>
      </c>
      <c r="K1031" t="s">
        <v>18</v>
      </c>
      <c r="L1031">
        <v>24</v>
      </c>
    </row>
    <row r="1032" spans="1:12" x14ac:dyDescent="0.3">
      <c r="A1032">
        <v>1283</v>
      </c>
      <c r="B1032" t="s">
        <v>24</v>
      </c>
      <c r="C1032" s="1">
        <v>45878</v>
      </c>
      <c r="D1032" s="1" t="str">
        <f xml:space="preserve"> TEXT(FilmaxData[[#This Row],[Show_Date]],"MMM")</f>
        <v>Aug</v>
      </c>
      <c r="E1032" s="1" t="str">
        <f xml:space="preserve"> TEXT(FilmaxData[[#This Row],[Show_Date]],"DDD")</f>
        <v>Sat</v>
      </c>
      <c r="F1032" t="s">
        <v>33</v>
      </c>
      <c r="G1032" t="s">
        <v>22</v>
      </c>
      <c r="H1032">
        <v>1</v>
      </c>
      <c r="I1032">
        <v>20</v>
      </c>
      <c r="J1032" t="s">
        <v>21</v>
      </c>
      <c r="K1032" t="s">
        <v>18</v>
      </c>
      <c r="L1032">
        <v>20</v>
      </c>
    </row>
    <row r="1033" spans="1:12" x14ac:dyDescent="0.3">
      <c r="A1033">
        <v>990</v>
      </c>
      <c r="B1033" t="s">
        <v>19</v>
      </c>
      <c r="C1033" s="1">
        <v>45905</v>
      </c>
      <c r="D1033" s="1" t="str">
        <f xml:space="preserve"> TEXT(FilmaxData[[#This Row],[Show_Date]],"MMM")</f>
        <v>Sep</v>
      </c>
      <c r="E1033" s="1" t="str">
        <f xml:space="preserve"> TEXT(FilmaxData[[#This Row],[Show_Date]],"DDD")</f>
        <v>Fri</v>
      </c>
      <c r="F1033" t="s">
        <v>16</v>
      </c>
      <c r="G1033" t="s">
        <v>22</v>
      </c>
      <c r="H1033">
        <v>4</v>
      </c>
      <c r="I1033">
        <v>20</v>
      </c>
      <c r="J1033" t="s">
        <v>23</v>
      </c>
      <c r="K1033" t="s">
        <v>18</v>
      </c>
      <c r="L1033">
        <v>80</v>
      </c>
    </row>
    <row r="1034" spans="1:12" x14ac:dyDescent="0.3">
      <c r="A1034">
        <v>336</v>
      </c>
      <c r="B1034" t="s">
        <v>19</v>
      </c>
      <c r="C1034" s="1">
        <v>45872</v>
      </c>
      <c r="D1034" s="1" t="str">
        <f xml:space="preserve"> TEXT(FilmaxData[[#This Row],[Show_Date]],"MMM")</f>
        <v>Aug</v>
      </c>
      <c r="E1034" s="1" t="str">
        <f xml:space="preserve"> TEXT(FilmaxData[[#This Row],[Show_Date]],"DDD")</f>
        <v>Sun</v>
      </c>
      <c r="F1034" t="s">
        <v>16</v>
      </c>
      <c r="G1034" t="s">
        <v>17</v>
      </c>
      <c r="H1034">
        <v>4</v>
      </c>
      <c r="I1034">
        <v>12</v>
      </c>
      <c r="J1034" t="s">
        <v>23</v>
      </c>
      <c r="K1034" t="s">
        <v>18</v>
      </c>
      <c r="L1034">
        <v>48</v>
      </c>
    </row>
    <row r="1035" spans="1:12" x14ac:dyDescent="0.3">
      <c r="A1035">
        <v>732</v>
      </c>
      <c r="B1035" t="s">
        <v>24</v>
      </c>
      <c r="C1035" s="1">
        <v>45905</v>
      </c>
      <c r="D1035" s="1" t="str">
        <f xml:space="preserve"> TEXT(FilmaxData[[#This Row],[Show_Date]],"MMM")</f>
        <v>Sep</v>
      </c>
      <c r="E1035" s="1" t="str">
        <f xml:space="preserve"> TEXT(FilmaxData[[#This Row],[Show_Date]],"DDD")</f>
        <v>Fri</v>
      </c>
      <c r="F1035" t="s">
        <v>20</v>
      </c>
      <c r="G1035" t="s">
        <v>17</v>
      </c>
      <c r="H1035">
        <v>1</v>
      </c>
      <c r="I1035">
        <v>12</v>
      </c>
      <c r="J1035" t="s">
        <v>13</v>
      </c>
      <c r="K1035" t="s">
        <v>18</v>
      </c>
      <c r="L1035">
        <v>12</v>
      </c>
    </row>
    <row r="1036" spans="1:12" x14ac:dyDescent="0.3">
      <c r="A1036">
        <v>1611</v>
      </c>
      <c r="B1036" t="s">
        <v>15</v>
      </c>
      <c r="C1036" s="1">
        <v>45857</v>
      </c>
      <c r="D1036" s="1" t="str">
        <f xml:space="preserve"> TEXT(FilmaxData[[#This Row],[Show_Date]],"MMM")</f>
        <v>Jul</v>
      </c>
      <c r="E1036" s="1" t="str">
        <f xml:space="preserve"> TEXT(FilmaxData[[#This Row],[Show_Date]],"DDD")</f>
        <v>Sat</v>
      </c>
      <c r="F1036" t="s">
        <v>11</v>
      </c>
      <c r="G1036" t="s">
        <v>12</v>
      </c>
      <c r="H1036">
        <v>5</v>
      </c>
      <c r="I1036">
        <v>25</v>
      </c>
      <c r="J1036" t="s">
        <v>21</v>
      </c>
      <c r="K1036" t="s">
        <v>18</v>
      </c>
      <c r="L1036">
        <v>125</v>
      </c>
    </row>
    <row r="1037" spans="1:12" x14ac:dyDescent="0.3">
      <c r="A1037">
        <v>971</v>
      </c>
      <c r="B1037" t="s">
        <v>19</v>
      </c>
      <c r="C1037" s="1">
        <v>45865</v>
      </c>
      <c r="D1037" s="1" t="str">
        <f xml:space="preserve"> TEXT(FilmaxData[[#This Row],[Show_Date]],"MMM")</f>
        <v>Jul</v>
      </c>
      <c r="E1037" s="1" t="str">
        <f xml:space="preserve"> TEXT(FilmaxData[[#This Row],[Show_Date]],"DDD")</f>
        <v>Sun</v>
      </c>
      <c r="F1037" t="s">
        <v>16</v>
      </c>
      <c r="G1037" t="s">
        <v>17</v>
      </c>
      <c r="H1037">
        <v>1</v>
      </c>
      <c r="I1037">
        <v>12</v>
      </c>
      <c r="J1037" t="s">
        <v>21</v>
      </c>
      <c r="K1037" t="s">
        <v>18</v>
      </c>
      <c r="L1037">
        <v>12</v>
      </c>
    </row>
    <row r="1038" spans="1:12" x14ac:dyDescent="0.3">
      <c r="A1038">
        <v>645</v>
      </c>
      <c r="B1038" t="s">
        <v>19</v>
      </c>
      <c r="C1038" s="1">
        <v>45927</v>
      </c>
      <c r="D1038" s="1" t="str">
        <f xml:space="preserve"> TEXT(FilmaxData[[#This Row],[Show_Date]],"MMM")</f>
        <v>Sep</v>
      </c>
      <c r="E1038" s="1" t="str">
        <f xml:space="preserve"> TEXT(FilmaxData[[#This Row],[Show_Date]],"DDD")</f>
        <v>Sat</v>
      </c>
      <c r="F1038" t="s">
        <v>33</v>
      </c>
      <c r="G1038" t="s">
        <v>17</v>
      </c>
      <c r="H1038">
        <v>3</v>
      </c>
      <c r="I1038">
        <v>12</v>
      </c>
      <c r="J1038" t="s">
        <v>23</v>
      </c>
      <c r="K1038" t="s">
        <v>18</v>
      </c>
      <c r="L1038">
        <v>36</v>
      </c>
    </row>
    <row r="1039" spans="1:12" x14ac:dyDescent="0.3">
      <c r="A1039">
        <v>1856</v>
      </c>
      <c r="B1039" t="s">
        <v>26</v>
      </c>
      <c r="C1039" s="1">
        <v>45886</v>
      </c>
      <c r="D1039" s="1" t="str">
        <f xml:space="preserve"> TEXT(FilmaxData[[#This Row],[Show_Date]],"MMM")</f>
        <v>Aug</v>
      </c>
      <c r="E1039" s="1" t="str">
        <f xml:space="preserve"> TEXT(FilmaxData[[#This Row],[Show_Date]],"DDD")</f>
        <v>Sun</v>
      </c>
      <c r="F1039" t="s">
        <v>33</v>
      </c>
      <c r="G1039" t="s">
        <v>17</v>
      </c>
      <c r="H1039">
        <v>3</v>
      </c>
      <c r="I1039">
        <v>12</v>
      </c>
      <c r="J1039" t="s">
        <v>23</v>
      </c>
      <c r="K1039" t="s">
        <v>18</v>
      </c>
      <c r="L1039">
        <v>36</v>
      </c>
    </row>
    <row r="1040" spans="1:12" x14ac:dyDescent="0.3">
      <c r="A1040">
        <v>1984</v>
      </c>
      <c r="B1040" t="s">
        <v>32</v>
      </c>
      <c r="C1040" s="1">
        <v>45841</v>
      </c>
      <c r="D1040" s="1" t="str">
        <f xml:space="preserve"> TEXT(FilmaxData[[#This Row],[Show_Date]],"MMM")</f>
        <v>Jul</v>
      </c>
      <c r="E1040" s="1" t="str">
        <f xml:space="preserve"> TEXT(FilmaxData[[#This Row],[Show_Date]],"DDD")</f>
        <v>Thu</v>
      </c>
      <c r="F1040" t="s">
        <v>20</v>
      </c>
      <c r="G1040" t="s">
        <v>17</v>
      </c>
      <c r="H1040">
        <v>3</v>
      </c>
      <c r="I1040">
        <v>12</v>
      </c>
      <c r="J1040" t="s">
        <v>21</v>
      </c>
      <c r="K1040" t="s">
        <v>18</v>
      </c>
      <c r="L1040">
        <v>36</v>
      </c>
    </row>
    <row r="1041" spans="1:12" x14ac:dyDescent="0.3">
      <c r="A1041">
        <v>1393</v>
      </c>
      <c r="B1041" t="s">
        <v>19</v>
      </c>
      <c r="C1041" s="1">
        <v>45841</v>
      </c>
      <c r="D1041" s="1" t="str">
        <f xml:space="preserve"> TEXT(FilmaxData[[#This Row],[Show_Date]],"MMM")</f>
        <v>Jul</v>
      </c>
      <c r="E1041" s="1" t="str">
        <f xml:space="preserve"> TEXT(FilmaxData[[#This Row],[Show_Date]],"DDD")</f>
        <v>Thu</v>
      </c>
      <c r="F1041" t="s">
        <v>20</v>
      </c>
      <c r="G1041" t="s">
        <v>22</v>
      </c>
      <c r="H1041">
        <v>3</v>
      </c>
      <c r="I1041">
        <v>20</v>
      </c>
      <c r="J1041" t="s">
        <v>13</v>
      </c>
      <c r="K1041" t="s">
        <v>18</v>
      </c>
      <c r="L1041">
        <v>60</v>
      </c>
    </row>
    <row r="1042" spans="1:12" x14ac:dyDescent="0.3">
      <c r="A1042">
        <v>1293</v>
      </c>
      <c r="B1042" t="s">
        <v>31</v>
      </c>
      <c r="C1042" s="1">
        <v>45850</v>
      </c>
      <c r="D1042" s="1" t="str">
        <f xml:space="preserve"> TEXT(FilmaxData[[#This Row],[Show_Date]],"MMM")</f>
        <v>Jul</v>
      </c>
      <c r="E1042" s="1" t="str">
        <f xml:space="preserve"> TEXT(FilmaxData[[#This Row],[Show_Date]],"DDD")</f>
        <v>Sat</v>
      </c>
      <c r="F1042" t="s">
        <v>33</v>
      </c>
      <c r="G1042" t="s">
        <v>17</v>
      </c>
      <c r="H1042">
        <v>2</v>
      </c>
      <c r="I1042">
        <v>12</v>
      </c>
      <c r="J1042" t="s">
        <v>13</v>
      </c>
      <c r="K1042" t="s">
        <v>18</v>
      </c>
      <c r="L1042">
        <v>24</v>
      </c>
    </row>
    <row r="1043" spans="1:12" x14ac:dyDescent="0.3">
      <c r="A1043">
        <v>1899</v>
      </c>
      <c r="B1043" t="s">
        <v>19</v>
      </c>
      <c r="C1043" s="1">
        <v>45912</v>
      </c>
      <c r="D1043" s="1" t="str">
        <f xml:space="preserve"> TEXT(FilmaxData[[#This Row],[Show_Date]],"MMM")</f>
        <v>Sep</v>
      </c>
      <c r="E1043" s="1" t="str">
        <f xml:space="preserve"> TEXT(FilmaxData[[#This Row],[Show_Date]],"DDD")</f>
        <v>Fri</v>
      </c>
      <c r="F1043" t="s">
        <v>11</v>
      </c>
      <c r="G1043" t="s">
        <v>12</v>
      </c>
      <c r="H1043">
        <v>4</v>
      </c>
      <c r="I1043">
        <v>25</v>
      </c>
      <c r="J1043" t="s">
        <v>21</v>
      </c>
      <c r="K1043" t="s">
        <v>18</v>
      </c>
      <c r="L1043">
        <v>100</v>
      </c>
    </row>
    <row r="1044" spans="1:12" x14ac:dyDescent="0.3">
      <c r="A1044">
        <v>52</v>
      </c>
      <c r="B1044" t="s">
        <v>10</v>
      </c>
      <c r="C1044" s="1">
        <v>45858</v>
      </c>
      <c r="D1044" s="1" t="str">
        <f xml:space="preserve"> TEXT(FilmaxData[[#This Row],[Show_Date]],"MMM")</f>
        <v>Jul</v>
      </c>
      <c r="E1044" s="1" t="str">
        <f xml:space="preserve"> TEXT(FilmaxData[[#This Row],[Show_Date]],"DDD")</f>
        <v>Sun</v>
      </c>
      <c r="F1044" t="s">
        <v>11</v>
      </c>
      <c r="G1044" t="s">
        <v>17</v>
      </c>
      <c r="H1044">
        <v>5</v>
      </c>
      <c r="I1044">
        <v>12</v>
      </c>
      <c r="J1044" t="s">
        <v>23</v>
      </c>
      <c r="K1044" t="s">
        <v>18</v>
      </c>
      <c r="L1044">
        <v>60</v>
      </c>
    </row>
    <row r="1045" spans="1:12" x14ac:dyDescent="0.3">
      <c r="A1045">
        <v>1156</v>
      </c>
      <c r="B1045" t="s">
        <v>24</v>
      </c>
      <c r="C1045" s="1">
        <v>45860</v>
      </c>
      <c r="D1045" s="1" t="str">
        <f xml:space="preserve"> TEXT(FilmaxData[[#This Row],[Show_Date]],"MMM")</f>
        <v>Jul</v>
      </c>
      <c r="E1045" s="1" t="str">
        <f xml:space="preserve"> TEXT(FilmaxData[[#This Row],[Show_Date]],"DDD")</f>
        <v>Tue</v>
      </c>
      <c r="F1045" t="s">
        <v>11</v>
      </c>
      <c r="G1045" t="s">
        <v>12</v>
      </c>
      <c r="H1045">
        <v>1</v>
      </c>
      <c r="I1045">
        <v>25</v>
      </c>
      <c r="J1045" t="s">
        <v>13</v>
      </c>
      <c r="K1045" t="s">
        <v>18</v>
      </c>
      <c r="L1045">
        <v>25</v>
      </c>
    </row>
    <row r="1046" spans="1:12" x14ac:dyDescent="0.3">
      <c r="A1046">
        <v>617</v>
      </c>
      <c r="B1046" t="s">
        <v>24</v>
      </c>
      <c r="C1046" s="1">
        <v>45896</v>
      </c>
      <c r="D1046" s="1" t="str">
        <f xml:space="preserve"> TEXT(FilmaxData[[#This Row],[Show_Date]],"MMM")</f>
        <v>Aug</v>
      </c>
      <c r="E1046" s="1" t="str">
        <f xml:space="preserve"> TEXT(FilmaxData[[#This Row],[Show_Date]],"DDD")</f>
        <v>Wed</v>
      </c>
      <c r="F1046" t="s">
        <v>20</v>
      </c>
      <c r="G1046" t="s">
        <v>17</v>
      </c>
      <c r="H1046">
        <v>5</v>
      </c>
      <c r="I1046">
        <v>12</v>
      </c>
      <c r="J1046" t="s">
        <v>21</v>
      </c>
      <c r="K1046" t="s">
        <v>18</v>
      </c>
      <c r="L1046">
        <v>60</v>
      </c>
    </row>
    <row r="1047" spans="1:12" x14ac:dyDescent="0.3">
      <c r="A1047">
        <v>1597</v>
      </c>
      <c r="B1047" t="s">
        <v>31</v>
      </c>
      <c r="C1047" s="1">
        <v>45841</v>
      </c>
      <c r="D1047" s="1" t="str">
        <f xml:space="preserve"> TEXT(FilmaxData[[#This Row],[Show_Date]],"MMM")</f>
        <v>Jul</v>
      </c>
      <c r="E1047" s="1" t="str">
        <f xml:space="preserve"> TEXT(FilmaxData[[#This Row],[Show_Date]],"DDD")</f>
        <v>Thu</v>
      </c>
      <c r="F1047" t="s">
        <v>16</v>
      </c>
      <c r="G1047" t="s">
        <v>17</v>
      </c>
      <c r="H1047">
        <v>2</v>
      </c>
      <c r="I1047">
        <v>12</v>
      </c>
      <c r="J1047" t="s">
        <v>13</v>
      </c>
      <c r="K1047" t="s">
        <v>18</v>
      </c>
      <c r="L1047">
        <v>24</v>
      </c>
    </row>
    <row r="1048" spans="1:12" x14ac:dyDescent="0.3">
      <c r="A1048">
        <v>27</v>
      </c>
      <c r="B1048" t="s">
        <v>10</v>
      </c>
      <c r="C1048" s="1">
        <v>45904</v>
      </c>
      <c r="D1048" s="1" t="str">
        <f xml:space="preserve"> TEXT(FilmaxData[[#This Row],[Show_Date]],"MMM")</f>
        <v>Sep</v>
      </c>
      <c r="E1048" s="1" t="str">
        <f xml:space="preserve"> TEXT(FilmaxData[[#This Row],[Show_Date]],"DDD")</f>
        <v>Thu</v>
      </c>
      <c r="F1048" t="s">
        <v>11</v>
      </c>
      <c r="G1048" t="s">
        <v>30</v>
      </c>
      <c r="H1048">
        <v>4</v>
      </c>
      <c r="I1048">
        <v>8</v>
      </c>
      <c r="J1048" t="s">
        <v>13</v>
      </c>
      <c r="K1048" t="s">
        <v>18</v>
      </c>
      <c r="L1048">
        <v>32</v>
      </c>
    </row>
    <row r="1049" spans="1:12" x14ac:dyDescent="0.3">
      <c r="A1049">
        <v>1347</v>
      </c>
      <c r="B1049" t="s">
        <v>32</v>
      </c>
      <c r="C1049" s="1">
        <v>45920</v>
      </c>
      <c r="D1049" s="1" t="str">
        <f xml:space="preserve"> TEXT(FilmaxData[[#This Row],[Show_Date]],"MMM")</f>
        <v>Sep</v>
      </c>
      <c r="E1049" s="1" t="str">
        <f xml:space="preserve"> TEXT(FilmaxData[[#This Row],[Show_Date]],"DDD")</f>
        <v>Sat</v>
      </c>
      <c r="F1049" t="s">
        <v>20</v>
      </c>
      <c r="G1049" t="s">
        <v>17</v>
      </c>
      <c r="H1049">
        <v>1</v>
      </c>
      <c r="I1049">
        <v>12</v>
      </c>
      <c r="J1049" t="s">
        <v>23</v>
      </c>
      <c r="K1049" t="s">
        <v>18</v>
      </c>
      <c r="L1049">
        <v>12</v>
      </c>
    </row>
    <row r="1050" spans="1:12" x14ac:dyDescent="0.3">
      <c r="A1050">
        <v>1181</v>
      </c>
      <c r="B1050" t="s">
        <v>10</v>
      </c>
      <c r="C1050" s="1">
        <v>45890</v>
      </c>
      <c r="D1050" s="1" t="str">
        <f xml:space="preserve"> TEXT(FilmaxData[[#This Row],[Show_Date]],"MMM")</f>
        <v>Aug</v>
      </c>
      <c r="E1050" s="1" t="str">
        <f xml:space="preserve"> TEXT(FilmaxData[[#This Row],[Show_Date]],"DDD")</f>
        <v>Thu</v>
      </c>
      <c r="F1050" t="s">
        <v>33</v>
      </c>
      <c r="G1050" t="s">
        <v>17</v>
      </c>
      <c r="H1050">
        <v>4</v>
      </c>
      <c r="I1050">
        <v>12</v>
      </c>
      <c r="J1050" t="s">
        <v>13</v>
      </c>
      <c r="K1050" t="s">
        <v>18</v>
      </c>
      <c r="L1050">
        <v>48</v>
      </c>
    </row>
    <row r="1051" spans="1:12" x14ac:dyDescent="0.3">
      <c r="A1051">
        <v>1004</v>
      </c>
      <c r="B1051" t="s">
        <v>24</v>
      </c>
      <c r="C1051" s="1">
        <v>45843</v>
      </c>
      <c r="D1051" s="1" t="str">
        <f xml:space="preserve"> TEXT(FilmaxData[[#This Row],[Show_Date]],"MMM")</f>
        <v>Jul</v>
      </c>
      <c r="E1051" s="1" t="str">
        <f xml:space="preserve"> TEXT(FilmaxData[[#This Row],[Show_Date]],"DDD")</f>
        <v>Sat</v>
      </c>
      <c r="F1051" t="s">
        <v>16</v>
      </c>
      <c r="G1051" t="s">
        <v>12</v>
      </c>
      <c r="H1051">
        <v>5</v>
      </c>
      <c r="I1051">
        <v>25</v>
      </c>
      <c r="J1051" t="s">
        <v>21</v>
      </c>
      <c r="K1051" t="s">
        <v>18</v>
      </c>
      <c r="L1051">
        <v>125</v>
      </c>
    </row>
    <row r="1052" spans="1:12" x14ac:dyDescent="0.3">
      <c r="A1052">
        <v>1476</v>
      </c>
      <c r="B1052" t="s">
        <v>19</v>
      </c>
      <c r="C1052" s="1">
        <v>45879</v>
      </c>
      <c r="D1052" s="1" t="str">
        <f xml:space="preserve"> TEXT(FilmaxData[[#This Row],[Show_Date]],"MMM")</f>
        <v>Aug</v>
      </c>
      <c r="E1052" s="1" t="str">
        <f xml:space="preserve"> TEXT(FilmaxData[[#This Row],[Show_Date]],"DDD")</f>
        <v>Sun</v>
      </c>
      <c r="F1052" t="s">
        <v>11</v>
      </c>
      <c r="G1052" t="s">
        <v>22</v>
      </c>
      <c r="H1052">
        <v>4</v>
      </c>
      <c r="I1052">
        <v>20</v>
      </c>
      <c r="J1052" t="s">
        <v>23</v>
      </c>
      <c r="K1052" t="s">
        <v>18</v>
      </c>
      <c r="L1052">
        <v>80</v>
      </c>
    </row>
    <row r="1053" spans="1:12" x14ac:dyDescent="0.3">
      <c r="A1053">
        <v>1038</v>
      </c>
      <c r="B1053" t="s">
        <v>28</v>
      </c>
      <c r="C1053" s="1">
        <v>45920</v>
      </c>
      <c r="D1053" s="1" t="str">
        <f xml:space="preserve"> TEXT(FilmaxData[[#This Row],[Show_Date]],"MMM")</f>
        <v>Sep</v>
      </c>
      <c r="E1053" s="1" t="str">
        <f xml:space="preserve"> TEXT(FilmaxData[[#This Row],[Show_Date]],"DDD")</f>
        <v>Sat</v>
      </c>
      <c r="F1053" t="s">
        <v>16</v>
      </c>
      <c r="G1053" t="s">
        <v>29</v>
      </c>
      <c r="H1053">
        <v>2</v>
      </c>
      <c r="I1053">
        <v>30</v>
      </c>
      <c r="J1053" t="s">
        <v>21</v>
      </c>
      <c r="K1053" t="s">
        <v>18</v>
      </c>
      <c r="L1053">
        <v>60</v>
      </c>
    </row>
    <row r="1054" spans="1:12" x14ac:dyDescent="0.3">
      <c r="A1054">
        <v>1468</v>
      </c>
      <c r="B1054" t="s">
        <v>10</v>
      </c>
      <c r="C1054" s="1">
        <v>45894</v>
      </c>
      <c r="D1054" s="1" t="str">
        <f xml:space="preserve"> TEXT(FilmaxData[[#This Row],[Show_Date]],"MMM")</f>
        <v>Aug</v>
      </c>
      <c r="E1054" s="1" t="str">
        <f xml:space="preserve"> TEXT(FilmaxData[[#This Row],[Show_Date]],"DDD")</f>
        <v>Mon</v>
      </c>
      <c r="F1054" t="s">
        <v>20</v>
      </c>
      <c r="G1054" t="s">
        <v>30</v>
      </c>
      <c r="H1054">
        <v>4</v>
      </c>
      <c r="I1054">
        <v>8</v>
      </c>
      <c r="J1054" t="s">
        <v>21</v>
      </c>
      <c r="K1054" t="s">
        <v>18</v>
      </c>
      <c r="L1054">
        <v>32</v>
      </c>
    </row>
    <row r="1055" spans="1:12" x14ac:dyDescent="0.3">
      <c r="A1055">
        <v>1981</v>
      </c>
      <c r="B1055" t="s">
        <v>15</v>
      </c>
      <c r="C1055" s="1">
        <v>45857</v>
      </c>
      <c r="D1055" s="1" t="str">
        <f xml:space="preserve"> TEXT(FilmaxData[[#This Row],[Show_Date]],"MMM")</f>
        <v>Jul</v>
      </c>
      <c r="E1055" s="1" t="str">
        <f xml:space="preserve"> TEXT(FilmaxData[[#This Row],[Show_Date]],"DDD")</f>
        <v>Sat</v>
      </c>
      <c r="F1055" t="s">
        <v>20</v>
      </c>
      <c r="G1055" t="s">
        <v>22</v>
      </c>
      <c r="H1055">
        <v>1</v>
      </c>
      <c r="I1055">
        <v>20</v>
      </c>
      <c r="J1055" t="s">
        <v>21</v>
      </c>
      <c r="K1055" t="s">
        <v>18</v>
      </c>
      <c r="L1055">
        <v>20</v>
      </c>
    </row>
    <row r="1056" spans="1:12" x14ac:dyDescent="0.3">
      <c r="A1056">
        <v>363</v>
      </c>
      <c r="B1056" t="s">
        <v>24</v>
      </c>
      <c r="C1056" s="1">
        <v>45842</v>
      </c>
      <c r="D1056" s="1" t="str">
        <f xml:space="preserve"> TEXT(FilmaxData[[#This Row],[Show_Date]],"MMM")</f>
        <v>Jul</v>
      </c>
      <c r="E1056" s="1" t="str">
        <f xml:space="preserve"> TEXT(FilmaxData[[#This Row],[Show_Date]],"DDD")</f>
        <v>Fri</v>
      </c>
      <c r="F1056" t="s">
        <v>11</v>
      </c>
      <c r="G1056" t="s">
        <v>17</v>
      </c>
      <c r="H1056">
        <v>1</v>
      </c>
      <c r="I1056">
        <v>12</v>
      </c>
      <c r="J1056" t="s">
        <v>21</v>
      </c>
      <c r="K1056" t="s">
        <v>18</v>
      </c>
      <c r="L1056">
        <v>12</v>
      </c>
    </row>
    <row r="1057" spans="1:12" x14ac:dyDescent="0.3">
      <c r="A1057">
        <v>919</v>
      </c>
      <c r="B1057" t="s">
        <v>31</v>
      </c>
      <c r="C1057" s="1">
        <v>45899</v>
      </c>
      <c r="D1057" s="1" t="str">
        <f xml:space="preserve"> TEXT(FilmaxData[[#This Row],[Show_Date]],"MMM")</f>
        <v>Aug</v>
      </c>
      <c r="E1057" s="1" t="str">
        <f xml:space="preserve"> TEXT(FilmaxData[[#This Row],[Show_Date]],"DDD")</f>
        <v>Sat</v>
      </c>
      <c r="F1057" t="s">
        <v>16</v>
      </c>
      <c r="G1057" t="s">
        <v>17</v>
      </c>
      <c r="H1057">
        <v>3</v>
      </c>
      <c r="I1057">
        <v>12</v>
      </c>
      <c r="J1057" t="s">
        <v>21</v>
      </c>
      <c r="K1057" t="s">
        <v>18</v>
      </c>
      <c r="L1057">
        <v>36</v>
      </c>
    </row>
    <row r="1058" spans="1:12" x14ac:dyDescent="0.3">
      <c r="A1058">
        <v>1177</v>
      </c>
      <c r="B1058" t="s">
        <v>28</v>
      </c>
      <c r="C1058" s="1">
        <v>45913</v>
      </c>
      <c r="D1058" s="1" t="str">
        <f xml:space="preserve"> TEXT(FilmaxData[[#This Row],[Show_Date]],"MMM")</f>
        <v>Sep</v>
      </c>
      <c r="E1058" s="1" t="str">
        <f xml:space="preserve"> TEXT(FilmaxData[[#This Row],[Show_Date]],"DDD")</f>
        <v>Sat</v>
      </c>
      <c r="F1058" t="s">
        <v>20</v>
      </c>
      <c r="G1058" t="s">
        <v>30</v>
      </c>
      <c r="H1058">
        <v>3</v>
      </c>
      <c r="I1058">
        <v>8</v>
      </c>
      <c r="J1058" t="s">
        <v>23</v>
      </c>
      <c r="K1058" t="s">
        <v>18</v>
      </c>
      <c r="L1058">
        <v>24</v>
      </c>
    </row>
    <row r="1059" spans="1:12" x14ac:dyDescent="0.3">
      <c r="A1059">
        <v>976</v>
      </c>
      <c r="B1059" t="s">
        <v>26</v>
      </c>
      <c r="C1059" s="1">
        <v>45906</v>
      </c>
      <c r="D1059" s="1" t="str">
        <f xml:space="preserve"> TEXT(FilmaxData[[#This Row],[Show_Date]],"MMM")</f>
        <v>Sep</v>
      </c>
      <c r="E1059" s="1" t="str">
        <f xml:space="preserve"> TEXT(FilmaxData[[#This Row],[Show_Date]],"DDD")</f>
        <v>Sat</v>
      </c>
      <c r="F1059" t="s">
        <v>11</v>
      </c>
      <c r="G1059" t="s">
        <v>17</v>
      </c>
      <c r="H1059">
        <v>4</v>
      </c>
      <c r="I1059">
        <v>12</v>
      </c>
      <c r="J1059" t="s">
        <v>13</v>
      </c>
      <c r="K1059" t="s">
        <v>18</v>
      </c>
      <c r="L1059">
        <v>48</v>
      </c>
    </row>
    <row r="1060" spans="1:12" x14ac:dyDescent="0.3">
      <c r="A1060">
        <v>1906</v>
      </c>
      <c r="B1060" t="s">
        <v>26</v>
      </c>
      <c r="C1060" s="1">
        <v>45893</v>
      </c>
      <c r="D1060" s="1" t="str">
        <f xml:space="preserve"> TEXT(FilmaxData[[#This Row],[Show_Date]],"MMM")</f>
        <v>Aug</v>
      </c>
      <c r="E1060" s="1" t="str">
        <f xml:space="preserve"> TEXT(FilmaxData[[#This Row],[Show_Date]],"DDD")</f>
        <v>Sun</v>
      </c>
      <c r="F1060" t="s">
        <v>16</v>
      </c>
      <c r="G1060" t="s">
        <v>17</v>
      </c>
      <c r="H1060">
        <v>4</v>
      </c>
      <c r="I1060">
        <v>12</v>
      </c>
      <c r="J1060" t="s">
        <v>13</v>
      </c>
      <c r="K1060" t="s">
        <v>18</v>
      </c>
      <c r="L1060">
        <v>48</v>
      </c>
    </row>
    <row r="1061" spans="1:12" x14ac:dyDescent="0.3">
      <c r="A1061">
        <v>1031</v>
      </c>
      <c r="B1061" t="s">
        <v>28</v>
      </c>
      <c r="C1061" s="1">
        <v>45921</v>
      </c>
      <c r="D1061" s="1" t="str">
        <f xml:space="preserve"> TEXT(FilmaxData[[#This Row],[Show_Date]],"MMM")</f>
        <v>Sep</v>
      </c>
      <c r="E1061" s="1" t="str">
        <f xml:space="preserve"> TEXT(FilmaxData[[#This Row],[Show_Date]],"DDD")</f>
        <v>Sun</v>
      </c>
      <c r="F1061" t="s">
        <v>11</v>
      </c>
      <c r="G1061" t="s">
        <v>17</v>
      </c>
      <c r="H1061">
        <v>4</v>
      </c>
      <c r="I1061">
        <v>12</v>
      </c>
      <c r="J1061" t="s">
        <v>21</v>
      </c>
      <c r="K1061" t="s">
        <v>18</v>
      </c>
      <c r="L1061">
        <v>48</v>
      </c>
    </row>
    <row r="1062" spans="1:12" x14ac:dyDescent="0.3">
      <c r="A1062">
        <v>1655</v>
      </c>
      <c r="B1062" t="s">
        <v>26</v>
      </c>
      <c r="C1062" s="1">
        <v>45878</v>
      </c>
      <c r="D1062" s="1" t="str">
        <f xml:space="preserve"> TEXT(FilmaxData[[#This Row],[Show_Date]],"MMM")</f>
        <v>Aug</v>
      </c>
      <c r="E1062" s="1" t="str">
        <f xml:space="preserve"> TEXT(FilmaxData[[#This Row],[Show_Date]],"DDD")</f>
        <v>Sat</v>
      </c>
      <c r="F1062" t="s">
        <v>20</v>
      </c>
      <c r="G1062" t="s">
        <v>17</v>
      </c>
      <c r="H1062">
        <v>1</v>
      </c>
      <c r="I1062">
        <v>12</v>
      </c>
      <c r="J1062" t="s">
        <v>13</v>
      </c>
      <c r="K1062" t="s">
        <v>18</v>
      </c>
      <c r="L1062">
        <v>12</v>
      </c>
    </row>
    <row r="1063" spans="1:12" x14ac:dyDescent="0.3">
      <c r="A1063">
        <v>1607</v>
      </c>
      <c r="B1063" t="s">
        <v>26</v>
      </c>
      <c r="C1063" s="1">
        <v>45849</v>
      </c>
      <c r="D1063" s="1" t="str">
        <f xml:space="preserve"> TEXT(FilmaxData[[#This Row],[Show_Date]],"MMM")</f>
        <v>Jul</v>
      </c>
      <c r="E1063" s="1" t="str">
        <f xml:space="preserve"> TEXT(FilmaxData[[#This Row],[Show_Date]],"DDD")</f>
        <v>Fri</v>
      </c>
      <c r="F1063" t="s">
        <v>20</v>
      </c>
      <c r="G1063" t="s">
        <v>22</v>
      </c>
      <c r="H1063">
        <v>2</v>
      </c>
      <c r="I1063">
        <v>20</v>
      </c>
      <c r="J1063" t="s">
        <v>21</v>
      </c>
      <c r="K1063" t="s">
        <v>18</v>
      </c>
      <c r="L1063">
        <v>40</v>
      </c>
    </row>
    <row r="1064" spans="1:12" x14ac:dyDescent="0.3">
      <c r="A1064">
        <v>1949</v>
      </c>
      <c r="B1064" t="s">
        <v>31</v>
      </c>
      <c r="C1064" s="1">
        <v>45891</v>
      </c>
      <c r="D1064" s="1" t="str">
        <f xml:space="preserve"> TEXT(FilmaxData[[#This Row],[Show_Date]],"MMM")</f>
        <v>Aug</v>
      </c>
      <c r="E1064" s="1" t="str">
        <f xml:space="preserve"> TEXT(FilmaxData[[#This Row],[Show_Date]],"DDD")</f>
        <v>Fri</v>
      </c>
      <c r="F1064" t="s">
        <v>33</v>
      </c>
      <c r="G1064" t="s">
        <v>17</v>
      </c>
      <c r="H1064">
        <v>4</v>
      </c>
      <c r="I1064">
        <v>12</v>
      </c>
      <c r="J1064" t="s">
        <v>13</v>
      </c>
      <c r="K1064" t="s">
        <v>18</v>
      </c>
      <c r="L1064">
        <v>48</v>
      </c>
    </row>
    <row r="1065" spans="1:12" x14ac:dyDescent="0.3">
      <c r="A1065">
        <v>1374</v>
      </c>
      <c r="B1065" t="s">
        <v>26</v>
      </c>
      <c r="C1065" s="1">
        <v>45865</v>
      </c>
      <c r="D1065" s="1" t="str">
        <f xml:space="preserve"> TEXT(FilmaxData[[#This Row],[Show_Date]],"MMM")</f>
        <v>Jul</v>
      </c>
      <c r="E1065" s="1" t="str">
        <f xml:space="preserve"> TEXT(FilmaxData[[#This Row],[Show_Date]],"DDD")</f>
        <v>Sun</v>
      </c>
      <c r="F1065" t="s">
        <v>11</v>
      </c>
      <c r="G1065" t="s">
        <v>30</v>
      </c>
      <c r="H1065">
        <v>2</v>
      </c>
      <c r="I1065">
        <v>8</v>
      </c>
      <c r="J1065" t="s">
        <v>13</v>
      </c>
      <c r="K1065" t="s">
        <v>18</v>
      </c>
      <c r="L1065">
        <v>16</v>
      </c>
    </row>
    <row r="1066" spans="1:12" x14ac:dyDescent="0.3">
      <c r="A1066">
        <v>865</v>
      </c>
      <c r="B1066" t="s">
        <v>31</v>
      </c>
      <c r="C1066" s="1">
        <v>45881</v>
      </c>
      <c r="D1066" s="1" t="str">
        <f xml:space="preserve"> TEXT(FilmaxData[[#This Row],[Show_Date]],"MMM")</f>
        <v>Aug</v>
      </c>
      <c r="E1066" s="1" t="str">
        <f xml:space="preserve"> TEXT(FilmaxData[[#This Row],[Show_Date]],"DDD")</f>
        <v>Tue</v>
      </c>
      <c r="F1066" t="s">
        <v>20</v>
      </c>
      <c r="G1066" t="s">
        <v>17</v>
      </c>
      <c r="H1066">
        <v>5</v>
      </c>
      <c r="I1066">
        <v>12</v>
      </c>
      <c r="J1066" t="s">
        <v>23</v>
      </c>
      <c r="K1066" t="s">
        <v>18</v>
      </c>
      <c r="L1066">
        <v>60</v>
      </c>
    </row>
    <row r="1067" spans="1:12" x14ac:dyDescent="0.3">
      <c r="A1067">
        <v>76</v>
      </c>
      <c r="B1067" t="s">
        <v>26</v>
      </c>
      <c r="C1067" s="1">
        <v>45894</v>
      </c>
      <c r="D1067" s="1" t="str">
        <f xml:space="preserve"> TEXT(FilmaxData[[#This Row],[Show_Date]],"MMM")</f>
        <v>Aug</v>
      </c>
      <c r="E1067" s="1" t="str">
        <f xml:space="preserve"> TEXT(FilmaxData[[#This Row],[Show_Date]],"DDD")</f>
        <v>Mon</v>
      </c>
      <c r="F1067" t="s">
        <v>11</v>
      </c>
      <c r="G1067" t="s">
        <v>22</v>
      </c>
      <c r="H1067">
        <v>4</v>
      </c>
      <c r="I1067">
        <v>20</v>
      </c>
      <c r="J1067" t="s">
        <v>13</v>
      </c>
      <c r="K1067" t="s">
        <v>18</v>
      </c>
      <c r="L1067">
        <v>80</v>
      </c>
    </row>
    <row r="1068" spans="1:12" x14ac:dyDescent="0.3">
      <c r="A1068">
        <v>1948</v>
      </c>
      <c r="B1068" t="s">
        <v>26</v>
      </c>
      <c r="C1068" s="1">
        <v>45916</v>
      </c>
      <c r="D1068" s="1" t="str">
        <f xml:space="preserve"> TEXT(FilmaxData[[#This Row],[Show_Date]],"MMM")</f>
        <v>Sep</v>
      </c>
      <c r="E1068" s="1" t="str">
        <f xml:space="preserve"> TEXT(FilmaxData[[#This Row],[Show_Date]],"DDD")</f>
        <v>Tue</v>
      </c>
      <c r="F1068" t="s">
        <v>11</v>
      </c>
      <c r="G1068" t="s">
        <v>12</v>
      </c>
      <c r="H1068">
        <v>5</v>
      </c>
      <c r="I1068">
        <v>25</v>
      </c>
      <c r="J1068" t="s">
        <v>23</v>
      </c>
      <c r="K1068" t="s">
        <v>18</v>
      </c>
      <c r="L1068">
        <v>125</v>
      </c>
    </row>
    <row r="1069" spans="1:12" x14ac:dyDescent="0.3">
      <c r="A1069">
        <v>596</v>
      </c>
      <c r="B1069" t="s">
        <v>31</v>
      </c>
      <c r="C1069" s="1">
        <v>45907</v>
      </c>
      <c r="D1069" s="1" t="str">
        <f xml:space="preserve"> TEXT(FilmaxData[[#This Row],[Show_Date]],"MMM")</f>
        <v>Sep</v>
      </c>
      <c r="E1069" s="1" t="str">
        <f xml:space="preserve"> TEXT(FilmaxData[[#This Row],[Show_Date]],"DDD")</f>
        <v>Sun</v>
      </c>
      <c r="F1069" t="s">
        <v>16</v>
      </c>
      <c r="G1069" t="s">
        <v>30</v>
      </c>
      <c r="H1069">
        <v>3</v>
      </c>
      <c r="I1069">
        <v>8</v>
      </c>
      <c r="J1069" t="s">
        <v>13</v>
      </c>
      <c r="K1069" t="s">
        <v>18</v>
      </c>
      <c r="L1069">
        <v>24</v>
      </c>
    </row>
    <row r="1070" spans="1:12" x14ac:dyDescent="0.3">
      <c r="A1070">
        <v>1352</v>
      </c>
      <c r="B1070" t="s">
        <v>19</v>
      </c>
      <c r="C1070" s="1">
        <v>45873</v>
      </c>
      <c r="D1070" s="1" t="str">
        <f xml:space="preserve"> TEXT(FilmaxData[[#This Row],[Show_Date]],"MMM")</f>
        <v>Aug</v>
      </c>
      <c r="E1070" s="1" t="str">
        <f xml:space="preserve"> TEXT(FilmaxData[[#This Row],[Show_Date]],"DDD")</f>
        <v>Mon</v>
      </c>
      <c r="F1070" t="s">
        <v>20</v>
      </c>
      <c r="G1070" t="s">
        <v>17</v>
      </c>
      <c r="H1070">
        <v>2</v>
      </c>
      <c r="I1070">
        <v>12</v>
      </c>
      <c r="J1070" t="s">
        <v>21</v>
      </c>
      <c r="K1070" t="s">
        <v>18</v>
      </c>
      <c r="L1070">
        <v>24</v>
      </c>
    </row>
    <row r="1071" spans="1:12" x14ac:dyDescent="0.3">
      <c r="A1071">
        <v>317</v>
      </c>
      <c r="B1071" t="s">
        <v>32</v>
      </c>
      <c r="C1071" s="1">
        <v>45875</v>
      </c>
      <c r="D1071" s="1" t="str">
        <f xml:space="preserve"> TEXT(FilmaxData[[#This Row],[Show_Date]],"MMM")</f>
        <v>Aug</v>
      </c>
      <c r="E1071" s="1" t="str">
        <f xml:space="preserve"> TEXT(FilmaxData[[#This Row],[Show_Date]],"DDD")</f>
        <v>Wed</v>
      </c>
      <c r="F1071" t="s">
        <v>20</v>
      </c>
      <c r="G1071" t="s">
        <v>17</v>
      </c>
      <c r="H1071">
        <v>1</v>
      </c>
      <c r="I1071">
        <v>12</v>
      </c>
      <c r="J1071" t="s">
        <v>23</v>
      </c>
      <c r="K1071" t="s">
        <v>18</v>
      </c>
      <c r="L1071">
        <v>12</v>
      </c>
    </row>
    <row r="1072" spans="1:12" x14ac:dyDescent="0.3">
      <c r="A1072">
        <v>1994</v>
      </c>
      <c r="B1072" t="s">
        <v>24</v>
      </c>
      <c r="C1072" s="1">
        <v>45878</v>
      </c>
      <c r="D1072" s="1" t="str">
        <f xml:space="preserve"> TEXT(FilmaxData[[#This Row],[Show_Date]],"MMM")</f>
        <v>Aug</v>
      </c>
      <c r="E1072" s="1" t="str">
        <f xml:space="preserve"> TEXT(FilmaxData[[#This Row],[Show_Date]],"DDD")</f>
        <v>Sat</v>
      </c>
      <c r="F1072" t="s">
        <v>33</v>
      </c>
      <c r="G1072" t="s">
        <v>17</v>
      </c>
      <c r="H1072">
        <v>2</v>
      </c>
      <c r="I1072">
        <v>12</v>
      </c>
      <c r="J1072" t="s">
        <v>13</v>
      </c>
      <c r="K1072" t="s">
        <v>18</v>
      </c>
      <c r="L1072">
        <v>24</v>
      </c>
    </row>
    <row r="1073" spans="1:12" x14ac:dyDescent="0.3">
      <c r="A1073">
        <v>431</v>
      </c>
      <c r="B1073" t="s">
        <v>24</v>
      </c>
      <c r="C1073" s="1">
        <v>45871</v>
      </c>
      <c r="D1073" s="1" t="str">
        <f xml:space="preserve"> TEXT(FilmaxData[[#This Row],[Show_Date]],"MMM")</f>
        <v>Aug</v>
      </c>
      <c r="E1073" s="1" t="str">
        <f xml:space="preserve"> TEXT(FilmaxData[[#This Row],[Show_Date]],"DDD")</f>
        <v>Sat</v>
      </c>
      <c r="F1073" t="s">
        <v>16</v>
      </c>
      <c r="G1073" t="s">
        <v>12</v>
      </c>
      <c r="H1073">
        <v>4</v>
      </c>
      <c r="I1073">
        <v>25</v>
      </c>
      <c r="J1073" t="s">
        <v>21</v>
      </c>
      <c r="K1073" t="s">
        <v>18</v>
      </c>
      <c r="L1073">
        <v>100</v>
      </c>
    </row>
    <row r="1074" spans="1:12" x14ac:dyDescent="0.3">
      <c r="A1074">
        <v>1263</v>
      </c>
      <c r="B1074" t="s">
        <v>28</v>
      </c>
      <c r="C1074" s="1">
        <v>45843</v>
      </c>
      <c r="D1074" s="1" t="str">
        <f xml:space="preserve"> TEXT(FilmaxData[[#This Row],[Show_Date]],"MMM")</f>
        <v>Jul</v>
      </c>
      <c r="E1074" s="1" t="str">
        <f xml:space="preserve"> TEXT(FilmaxData[[#This Row],[Show_Date]],"DDD")</f>
        <v>Sat</v>
      </c>
      <c r="F1074" t="s">
        <v>33</v>
      </c>
      <c r="G1074" t="s">
        <v>17</v>
      </c>
      <c r="H1074">
        <v>1</v>
      </c>
      <c r="I1074">
        <v>12</v>
      </c>
      <c r="J1074" t="s">
        <v>21</v>
      </c>
      <c r="K1074" t="s">
        <v>18</v>
      </c>
      <c r="L1074">
        <v>12</v>
      </c>
    </row>
    <row r="1075" spans="1:12" x14ac:dyDescent="0.3">
      <c r="A1075">
        <v>1430</v>
      </c>
      <c r="B1075" t="s">
        <v>28</v>
      </c>
      <c r="C1075" s="1">
        <v>45865</v>
      </c>
      <c r="D1075" s="1" t="str">
        <f xml:space="preserve"> TEXT(FilmaxData[[#This Row],[Show_Date]],"MMM")</f>
        <v>Jul</v>
      </c>
      <c r="E1075" s="1" t="str">
        <f xml:space="preserve"> TEXT(FilmaxData[[#This Row],[Show_Date]],"DDD")</f>
        <v>Sun</v>
      </c>
      <c r="F1075" t="s">
        <v>20</v>
      </c>
      <c r="G1075" t="s">
        <v>12</v>
      </c>
      <c r="H1075">
        <v>4</v>
      </c>
      <c r="I1075">
        <v>25</v>
      </c>
      <c r="J1075" t="s">
        <v>21</v>
      </c>
      <c r="K1075" t="s">
        <v>18</v>
      </c>
      <c r="L1075">
        <v>100</v>
      </c>
    </row>
    <row r="1076" spans="1:12" x14ac:dyDescent="0.3">
      <c r="A1076">
        <v>425</v>
      </c>
      <c r="B1076" t="s">
        <v>19</v>
      </c>
      <c r="C1076" s="1">
        <v>45842</v>
      </c>
      <c r="D1076" s="1" t="str">
        <f xml:space="preserve"> TEXT(FilmaxData[[#This Row],[Show_Date]],"MMM")</f>
        <v>Jul</v>
      </c>
      <c r="E1076" s="1" t="str">
        <f xml:space="preserve"> TEXT(FilmaxData[[#This Row],[Show_Date]],"DDD")</f>
        <v>Fri</v>
      </c>
      <c r="F1076" t="s">
        <v>11</v>
      </c>
      <c r="G1076" t="s">
        <v>17</v>
      </c>
      <c r="H1076">
        <v>5</v>
      </c>
      <c r="I1076">
        <v>12</v>
      </c>
      <c r="J1076" t="s">
        <v>23</v>
      </c>
      <c r="K1076" t="s">
        <v>18</v>
      </c>
      <c r="L1076">
        <v>60</v>
      </c>
    </row>
    <row r="1077" spans="1:12" x14ac:dyDescent="0.3">
      <c r="A1077">
        <v>555</v>
      </c>
      <c r="B1077" t="s">
        <v>24</v>
      </c>
      <c r="C1077" s="1">
        <v>45891</v>
      </c>
      <c r="D1077" s="1" t="str">
        <f xml:space="preserve"> TEXT(FilmaxData[[#This Row],[Show_Date]],"MMM")</f>
        <v>Aug</v>
      </c>
      <c r="E1077" s="1" t="str">
        <f xml:space="preserve"> TEXT(FilmaxData[[#This Row],[Show_Date]],"DDD")</f>
        <v>Fri</v>
      </c>
      <c r="F1077" t="s">
        <v>33</v>
      </c>
      <c r="G1077" t="s">
        <v>17</v>
      </c>
      <c r="H1077">
        <v>3</v>
      </c>
      <c r="I1077">
        <v>12</v>
      </c>
      <c r="J1077" t="s">
        <v>13</v>
      </c>
      <c r="K1077" t="s">
        <v>18</v>
      </c>
      <c r="L1077">
        <v>36</v>
      </c>
    </row>
    <row r="1078" spans="1:12" x14ac:dyDescent="0.3">
      <c r="A1078">
        <v>945</v>
      </c>
      <c r="B1078" t="s">
        <v>15</v>
      </c>
      <c r="C1078" s="1">
        <v>45900</v>
      </c>
      <c r="D1078" s="1" t="str">
        <f xml:space="preserve"> TEXT(FilmaxData[[#This Row],[Show_Date]],"MMM")</f>
        <v>Aug</v>
      </c>
      <c r="E1078" s="1" t="str">
        <f xml:space="preserve"> TEXT(FilmaxData[[#This Row],[Show_Date]],"DDD")</f>
        <v>Sun</v>
      </c>
      <c r="F1078" t="s">
        <v>16</v>
      </c>
      <c r="G1078" t="s">
        <v>30</v>
      </c>
      <c r="H1078">
        <v>4</v>
      </c>
      <c r="I1078">
        <v>8</v>
      </c>
      <c r="J1078" t="s">
        <v>21</v>
      </c>
      <c r="K1078" t="s">
        <v>18</v>
      </c>
      <c r="L1078">
        <v>32</v>
      </c>
    </row>
    <row r="1079" spans="1:12" x14ac:dyDescent="0.3">
      <c r="A1079">
        <v>655</v>
      </c>
      <c r="B1079" t="s">
        <v>10</v>
      </c>
      <c r="C1079" s="1">
        <v>45844</v>
      </c>
      <c r="D1079" s="1" t="str">
        <f xml:space="preserve"> TEXT(FilmaxData[[#This Row],[Show_Date]],"MMM")</f>
        <v>Jul</v>
      </c>
      <c r="E1079" s="1" t="str">
        <f xml:space="preserve"> TEXT(FilmaxData[[#This Row],[Show_Date]],"DDD")</f>
        <v>Sun</v>
      </c>
      <c r="F1079" t="s">
        <v>11</v>
      </c>
      <c r="G1079" t="s">
        <v>30</v>
      </c>
      <c r="H1079">
        <v>4</v>
      </c>
      <c r="I1079">
        <v>8</v>
      </c>
      <c r="J1079" t="s">
        <v>13</v>
      </c>
      <c r="K1079" t="s">
        <v>18</v>
      </c>
      <c r="L1079">
        <v>32</v>
      </c>
    </row>
    <row r="1080" spans="1:12" x14ac:dyDescent="0.3">
      <c r="A1080">
        <v>1732</v>
      </c>
      <c r="B1080" t="s">
        <v>32</v>
      </c>
      <c r="C1080" s="1">
        <v>45856</v>
      </c>
      <c r="D1080" s="1" t="str">
        <f xml:space="preserve"> TEXT(FilmaxData[[#This Row],[Show_Date]],"MMM")</f>
        <v>Jul</v>
      </c>
      <c r="E1080" s="1" t="str">
        <f xml:space="preserve"> TEXT(FilmaxData[[#This Row],[Show_Date]],"DDD")</f>
        <v>Fri</v>
      </c>
      <c r="F1080" t="s">
        <v>16</v>
      </c>
      <c r="G1080" t="s">
        <v>29</v>
      </c>
      <c r="H1080">
        <v>4</v>
      </c>
      <c r="I1080">
        <v>30</v>
      </c>
      <c r="J1080" t="s">
        <v>21</v>
      </c>
      <c r="K1080" t="s">
        <v>18</v>
      </c>
      <c r="L1080">
        <v>120</v>
      </c>
    </row>
    <row r="1081" spans="1:12" x14ac:dyDescent="0.3">
      <c r="A1081">
        <v>1456</v>
      </c>
      <c r="B1081" t="s">
        <v>15</v>
      </c>
      <c r="C1081" s="1">
        <v>45888</v>
      </c>
      <c r="D1081" s="1" t="str">
        <f xml:space="preserve"> TEXT(FilmaxData[[#This Row],[Show_Date]],"MMM")</f>
        <v>Aug</v>
      </c>
      <c r="E1081" s="1" t="str">
        <f xml:space="preserve"> TEXT(FilmaxData[[#This Row],[Show_Date]],"DDD")</f>
        <v>Tue</v>
      </c>
      <c r="F1081" t="s">
        <v>16</v>
      </c>
      <c r="G1081" t="s">
        <v>17</v>
      </c>
      <c r="H1081">
        <v>5</v>
      </c>
      <c r="I1081">
        <v>12</v>
      </c>
      <c r="J1081" t="s">
        <v>23</v>
      </c>
      <c r="K1081" t="s">
        <v>18</v>
      </c>
      <c r="L1081">
        <v>60</v>
      </c>
    </row>
    <row r="1082" spans="1:12" x14ac:dyDescent="0.3">
      <c r="A1082">
        <v>1762</v>
      </c>
      <c r="B1082" t="s">
        <v>28</v>
      </c>
      <c r="C1082" s="1">
        <v>45907</v>
      </c>
      <c r="D1082" s="1" t="str">
        <f xml:space="preserve"> TEXT(FilmaxData[[#This Row],[Show_Date]],"MMM")</f>
        <v>Sep</v>
      </c>
      <c r="E1082" s="1" t="str">
        <f xml:space="preserve"> TEXT(FilmaxData[[#This Row],[Show_Date]],"DDD")</f>
        <v>Sun</v>
      </c>
      <c r="F1082" t="s">
        <v>20</v>
      </c>
      <c r="G1082" t="s">
        <v>30</v>
      </c>
      <c r="H1082">
        <v>5</v>
      </c>
      <c r="I1082">
        <v>8</v>
      </c>
      <c r="J1082" t="s">
        <v>23</v>
      </c>
      <c r="K1082" t="s">
        <v>18</v>
      </c>
      <c r="L1082">
        <v>40</v>
      </c>
    </row>
    <row r="1083" spans="1:12" x14ac:dyDescent="0.3">
      <c r="A1083">
        <v>1684</v>
      </c>
      <c r="B1083" t="s">
        <v>24</v>
      </c>
      <c r="C1083" s="1">
        <v>45902</v>
      </c>
      <c r="D1083" s="1" t="str">
        <f xml:space="preserve"> TEXT(FilmaxData[[#This Row],[Show_Date]],"MMM")</f>
        <v>Sep</v>
      </c>
      <c r="E1083" s="1" t="str">
        <f xml:space="preserve"> TEXT(FilmaxData[[#This Row],[Show_Date]],"DDD")</f>
        <v>Tue</v>
      </c>
      <c r="F1083" t="s">
        <v>20</v>
      </c>
      <c r="G1083" t="s">
        <v>17</v>
      </c>
      <c r="H1083">
        <v>2</v>
      </c>
      <c r="I1083">
        <v>12</v>
      </c>
      <c r="J1083" t="s">
        <v>13</v>
      </c>
      <c r="K1083" t="s">
        <v>18</v>
      </c>
      <c r="L1083">
        <v>24</v>
      </c>
    </row>
    <row r="1084" spans="1:12" x14ac:dyDescent="0.3">
      <c r="A1084">
        <v>1162</v>
      </c>
      <c r="B1084" t="s">
        <v>15</v>
      </c>
      <c r="C1084" s="1">
        <v>45856</v>
      </c>
      <c r="D1084" s="1" t="str">
        <f xml:space="preserve"> TEXT(FilmaxData[[#This Row],[Show_Date]],"MMM")</f>
        <v>Jul</v>
      </c>
      <c r="E1084" s="1" t="str">
        <f xml:space="preserve"> TEXT(FilmaxData[[#This Row],[Show_Date]],"DDD")</f>
        <v>Fri</v>
      </c>
      <c r="F1084" t="s">
        <v>33</v>
      </c>
      <c r="G1084" t="s">
        <v>17</v>
      </c>
      <c r="H1084">
        <v>5</v>
      </c>
      <c r="I1084">
        <v>12</v>
      </c>
      <c r="J1084" t="s">
        <v>21</v>
      </c>
      <c r="K1084" t="s">
        <v>18</v>
      </c>
      <c r="L1084">
        <v>60</v>
      </c>
    </row>
    <row r="1085" spans="1:12" x14ac:dyDescent="0.3">
      <c r="A1085">
        <v>1725</v>
      </c>
      <c r="B1085" t="s">
        <v>26</v>
      </c>
      <c r="C1085" s="1">
        <v>45927</v>
      </c>
      <c r="D1085" s="1" t="str">
        <f xml:space="preserve"> TEXT(FilmaxData[[#This Row],[Show_Date]],"MMM")</f>
        <v>Sep</v>
      </c>
      <c r="E1085" s="1" t="str">
        <f xml:space="preserve"> TEXT(FilmaxData[[#This Row],[Show_Date]],"DDD")</f>
        <v>Sat</v>
      </c>
      <c r="F1085" t="s">
        <v>11</v>
      </c>
      <c r="G1085" t="s">
        <v>17</v>
      </c>
      <c r="H1085">
        <v>4</v>
      </c>
      <c r="I1085">
        <v>12</v>
      </c>
      <c r="J1085" t="s">
        <v>23</v>
      </c>
      <c r="K1085" t="s">
        <v>18</v>
      </c>
      <c r="L1085">
        <v>48</v>
      </c>
    </row>
    <row r="1086" spans="1:12" x14ac:dyDescent="0.3">
      <c r="A1086">
        <v>1383</v>
      </c>
      <c r="B1086" t="s">
        <v>32</v>
      </c>
      <c r="C1086" s="1">
        <v>45853</v>
      </c>
      <c r="D1086" s="1" t="str">
        <f xml:space="preserve"> TEXT(FilmaxData[[#This Row],[Show_Date]],"MMM")</f>
        <v>Jul</v>
      </c>
      <c r="E1086" s="1" t="str">
        <f xml:space="preserve"> TEXT(FilmaxData[[#This Row],[Show_Date]],"DDD")</f>
        <v>Tue</v>
      </c>
      <c r="F1086" t="s">
        <v>11</v>
      </c>
      <c r="G1086" t="s">
        <v>17</v>
      </c>
      <c r="H1086">
        <v>3</v>
      </c>
      <c r="I1086">
        <v>12</v>
      </c>
      <c r="J1086" t="s">
        <v>23</v>
      </c>
      <c r="K1086" t="s">
        <v>18</v>
      </c>
      <c r="L1086">
        <v>36</v>
      </c>
    </row>
    <row r="1087" spans="1:12" x14ac:dyDescent="0.3">
      <c r="A1087">
        <v>549</v>
      </c>
      <c r="B1087" t="s">
        <v>26</v>
      </c>
      <c r="C1087" s="1">
        <v>45917</v>
      </c>
      <c r="D1087" s="1" t="str">
        <f xml:space="preserve"> TEXT(FilmaxData[[#This Row],[Show_Date]],"MMM")</f>
        <v>Sep</v>
      </c>
      <c r="E1087" s="1" t="str">
        <f xml:space="preserve"> TEXT(FilmaxData[[#This Row],[Show_Date]],"DDD")</f>
        <v>Wed</v>
      </c>
      <c r="F1087" t="s">
        <v>20</v>
      </c>
      <c r="G1087" t="s">
        <v>17</v>
      </c>
      <c r="H1087">
        <v>4</v>
      </c>
      <c r="I1087">
        <v>12</v>
      </c>
      <c r="J1087" t="s">
        <v>23</v>
      </c>
      <c r="K1087" t="s">
        <v>18</v>
      </c>
      <c r="L1087">
        <v>48</v>
      </c>
    </row>
    <row r="1088" spans="1:12" x14ac:dyDescent="0.3">
      <c r="A1088">
        <v>119</v>
      </c>
      <c r="B1088" t="s">
        <v>19</v>
      </c>
      <c r="C1088" s="1">
        <v>45845</v>
      </c>
      <c r="D1088" s="1" t="str">
        <f xml:space="preserve"> TEXT(FilmaxData[[#This Row],[Show_Date]],"MMM")</f>
        <v>Jul</v>
      </c>
      <c r="E1088" s="1" t="str">
        <f xml:space="preserve"> TEXT(FilmaxData[[#This Row],[Show_Date]],"DDD")</f>
        <v>Mon</v>
      </c>
      <c r="F1088" t="s">
        <v>33</v>
      </c>
      <c r="G1088" t="s">
        <v>17</v>
      </c>
      <c r="H1088">
        <v>3</v>
      </c>
      <c r="I1088">
        <v>12</v>
      </c>
      <c r="J1088" t="s">
        <v>21</v>
      </c>
      <c r="K1088" t="s">
        <v>18</v>
      </c>
      <c r="L1088">
        <v>36</v>
      </c>
    </row>
    <row r="1089" spans="1:12" x14ac:dyDescent="0.3">
      <c r="A1089">
        <v>1916</v>
      </c>
      <c r="B1089" t="s">
        <v>26</v>
      </c>
      <c r="C1089" s="1">
        <v>45913</v>
      </c>
      <c r="D1089" s="1" t="str">
        <f xml:space="preserve"> TEXT(FilmaxData[[#This Row],[Show_Date]],"MMM")</f>
        <v>Sep</v>
      </c>
      <c r="E1089" s="1" t="str">
        <f xml:space="preserve"> TEXT(FilmaxData[[#This Row],[Show_Date]],"DDD")</f>
        <v>Sat</v>
      </c>
      <c r="F1089" t="s">
        <v>20</v>
      </c>
      <c r="G1089" t="s">
        <v>17</v>
      </c>
      <c r="H1089">
        <v>5</v>
      </c>
      <c r="I1089">
        <v>12</v>
      </c>
      <c r="J1089" t="s">
        <v>13</v>
      </c>
      <c r="K1089" t="s">
        <v>18</v>
      </c>
      <c r="L1089">
        <v>60</v>
      </c>
    </row>
    <row r="1090" spans="1:12" x14ac:dyDescent="0.3">
      <c r="A1090">
        <v>844</v>
      </c>
      <c r="B1090" t="s">
        <v>28</v>
      </c>
      <c r="C1090" s="1">
        <v>45879</v>
      </c>
      <c r="D1090" s="1" t="str">
        <f xml:space="preserve"> TEXT(FilmaxData[[#This Row],[Show_Date]],"MMM")</f>
        <v>Aug</v>
      </c>
      <c r="E1090" s="1" t="str">
        <f xml:space="preserve"> TEXT(FilmaxData[[#This Row],[Show_Date]],"DDD")</f>
        <v>Sun</v>
      </c>
      <c r="F1090" t="s">
        <v>11</v>
      </c>
      <c r="G1090" t="s">
        <v>29</v>
      </c>
      <c r="H1090">
        <v>2</v>
      </c>
      <c r="I1090">
        <v>30</v>
      </c>
      <c r="J1090" t="s">
        <v>21</v>
      </c>
      <c r="K1090" t="s">
        <v>18</v>
      </c>
      <c r="L1090">
        <v>60</v>
      </c>
    </row>
    <row r="1091" spans="1:12" x14ac:dyDescent="0.3">
      <c r="A1091">
        <v>1814</v>
      </c>
      <c r="B1091" t="s">
        <v>15</v>
      </c>
      <c r="C1091" s="1">
        <v>45896</v>
      </c>
      <c r="D1091" s="1" t="str">
        <f xml:space="preserve"> TEXT(FilmaxData[[#This Row],[Show_Date]],"MMM")</f>
        <v>Aug</v>
      </c>
      <c r="E1091" s="1" t="str">
        <f xml:space="preserve"> TEXT(FilmaxData[[#This Row],[Show_Date]],"DDD")</f>
        <v>Wed</v>
      </c>
      <c r="F1091" t="s">
        <v>33</v>
      </c>
      <c r="G1091" t="s">
        <v>12</v>
      </c>
      <c r="H1091">
        <v>1</v>
      </c>
      <c r="I1091">
        <v>25</v>
      </c>
      <c r="J1091" t="s">
        <v>21</v>
      </c>
      <c r="K1091" t="s">
        <v>18</v>
      </c>
      <c r="L1091">
        <v>25</v>
      </c>
    </row>
    <row r="1092" spans="1:12" x14ac:dyDescent="0.3">
      <c r="A1092">
        <v>461</v>
      </c>
      <c r="B1092" t="s">
        <v>26</v>
      </c>
      <c r="C1092" s="1">
        <v>45913</v>
      </c>
      <c r="D1092" s="1" t="str">
        <f xml:space="preserve"> TEXT(FilmaxData[[#This Row],[Show_Date]],"MMM")</f>
        <v>Sep</v>
      </c>
      <c r="E1092" s="1" t="str">
        <f xml:space="preserve"> TEXT(FilmaxData[[#This Row],[Show_Date]],"DDD")</f>
        <v>Sat</v>
      </c>
      <c r="F1092" t="s">
        <v>16</v>
      </c>
      <c r="G1092" t="s">
        <v>29</v>
      </c>
      <c r="H1092">
        <v>5</v>
      </c>
      <c r="I1092">
        <v>30</v>
      </c>
      <c r="J1092" t="s">
        <v>21</v>
      </c>
      <c r="K1092" t="s">
        <v>18</v>
      </c>
      <c r="L1092">
        <v>150</v>
      </c>
    </row>
    <row r="1093" spans="1:12" x14ac:dyDescent="0.3">
      <c r="A1093">
        <v>325</v>
      </c>
      <c r="B1093" t="s">
        <v>10</v>
      </c>
      <c r="C1093" s="1">
        <v>45926</v>
      </c>
      <c r="D1093" s="1" t="str">
        <f xml:space="preserve"> TEXT(FilmaxData[[#This Row],[Show_Date]],"MMM")</f>
        <v>Sep</v>
      </c>
      <c r="E1093" s="1" t="str">
        <f xml:space="preserve"> TEXT(FilmaxData[[#This Row],[Show_Date]],"DDD")</f>
        <v>Fri</v>
      </c>
      <c r="F1093" t="s">
        <v>11</v>
      </c>
      <c r="G1093" t="s">
        <v>22</v>
      </c>
      <c r="H1093">
        <v>4</v>
      </c>
      <c r="I1093">
        <v>20</v>
      </c>
      <c r="J1093" t="s">
        <v>13</v>
      </c>
      <c r="K1093" t="s">
        <v>18</v>
      </c>
      <c r="L1093">
        <v>80</v>
      </c>
    </row>
    <row r="1094" spans="1:12" x14ac:dyDescent="0.3">
      <c r="A1094">
        <v>1407</v>
      </c>
      <c r="B1094" t="s">
        <v>26</v>
      </c>
      <c r="C1094" s="1">
        <v>45889</v>
      </c>
      <c r="D1094" s="1" t="str">
        <f xml:space="preserve"> TEXT(FilmaxData[[#This Row],[Show_Date]],"MMM")</f>
        <v>Aug</v>
      </c>
      <c r="E1094" s="1" t="str">
        <f xml:space="preserve"> TEXT(FilmaxData[[#This Row],[Show_Date]],"DDD")</f>
        <v>Wed</v>
      </c>
      <c r="F1094" t="s">
        <v>20</v>
      </c>
      <c r="G1094" t="s">
        <v>22</v>
      </c>
      <c r="H1094">
        <v>2</v>
      </c>
      <c r="I1094">
        <v>20</v>
      </c>
      <c r="J1094" t="s">
        <v>21</v>
      </c>
      <c r="K1094" t="s">
        <v>18</v>
      </c>
      <c r="L1094">
        <v>40</v>
      </c>
    </row>
    <row r="1095" spans="1:12" x14ac:dyDescent="0.3">
      <c r="A1095">
        <v>850</v>
      </c>
      <c r="B1095" t="s">
        <v>10</v>
      </c>
      <c r="C1095" s="1">
        <v>45881</v>
      </c>
      <c r="D1095" s="1" t="str">
        <f xml:space="preserve"> TEXT(FilmaxData[[#This Row],[Show_Date]],"MMM")</f>
        <v>Aug</v>
      </c>
      <c r="E1095" s="1" t="str">
        <f xml:space="preserve"> TEXT(FilmaxData[[#This Row],[Show_Date]],"DDD")</f>
        <v>Tue</v>
      </c>
      <c r="F1095" t="s">
        <v>20</v>
      </c>
      <c r="G1095" t="s">
        <v>17</v>
      </c>
      <c r="H1095">
        <v>3</v>
      </c>
      <c r="I1095">
        <v>12</v>
      </c>
      <c r="J1095" t="s">
        <v>13</v>
      </c>
      <c r="K1095" t="s">
        <v>18</v>
      </c>
      <c r="L1095">
        <v>36</v>
      </c>
    </row>
    <row r="1096" spans="1:12" x14ac:dyDescent="0.3">
      <c r="A1096">
        <v>1322</v>
      </c>
      <c r="B1096" t="s">
        <v>32</v>
      </c>
      <c r="C1096" s="1">
        <v>45843</v>
      </c>
      <c r="D1096" s="1" t="str">
        <f xml:space="preserve"> TEXT(FilmaxData[[#This Row],[Show_Date]],"MMM")</f>
        <v>Jul</v>
      </c>
      <c r="E1096" s="1" t="str">
        <f xml:space="preserve"> TEXT(FilmaxData[[#This Row],[Show_Date]],"DDD")</f>
        <v>Sat</v>
      </c>
      <c r="F1096" t="s">
        <v>20</v>
      </c>
      <c r="G1096" t="s">
        <v>17</v>
      </c>
      <c r="H1096">
        <v>5</v>
      </c>
      <c r="I1096">
        <v>12</v>
      </c>
      <c r="J1096" t="s">
        <v>21</v>
      </c>
      <c r="K1096" t="s">
        <v>18</v>
      </c>
      <c r="L1096">
        <v>60</v>
      </c>
    </row>
    <row r="1097" spans="1:12" x14ac:dyDescent="0.3">
      <c r="A1097">
        <v>1227</v>
      </c>
      <c r="B1097" t="s">
        <v>28</v>
      </c>
      <c r="C1097" s="1">
        <v>45901</v>
      </c>
      <c r="D1097" s="1" t="str">
        <f xml:space="preserve"> TEXT(FilmaxData[[#This Row],[Show_Date]],"MMM")</f>
        <v>Sep</v>
      </c>
      <c r="E1097" s="1" t="str">
        <f xml:space="preserve"> TEXT(FilmaxData[[#This Row],[Show_Date]],"DDD")</f>
        <v>Mon</v>
      </c>
      <c r="F1097" t="s">
        <v>33</v>
      </c>
      <c r="G1097" t="s">
        <v>17</v>
      </c>
      <c r="H1097">
        <v>4</v>
      </c>
      <c r="I1097">
        <v>12</v>
      </c>
      <c r="J1097" t="s">
        <v>13</v>
      </c>
      <c r="K1097" t="s">
        <v>18</v>
      </c>
      <c r="L1097">
        <v>48</v>
      </c>
    </row>
    <row r="1098" spans="1:12" x14ac:dyDescent="0.3">
      <c r="A1098">
        <v>69</v>
      </c>
      <c r="B1098" t="s">
        <v>31</v>
      </c>
      <c r="C1098" s="1">
        <v>45883</v>
      </c>
      <c r="D1098" s="1" t="str">
        <f xml:space="preserve"> TEXT(FilmaxData[[#This Row],[Show_Date]],"MMM")</f>
        <v>Aug</v>
      </c>
      <c r="E1098" s="1" t="str">
        <f xml:space="preserve"> TEXT(FilmaxData[[#This Row],[Show_Date]],"DDD")</f>
        <v>Thu</v>
      </c>
      <c r="F1098" t="s">
        <v>20</v>
      </c>
      <c r="G1098" t="s">
        <v>17</v>
      </c>
      <c r="H1098">
        <v>4</v>
      </c>
      <c r="I1098">
        <v>12</v>
      </c>
      <c r="J1098" t="s">
        <v>21</v>
      </c>
      <c r="K1098" t="s">
        <v>18</v>
      </c>
      <c r="L1098">
        <v>48</v>
      </c>
    </row>
    <row r="1099" spans="1:12" x14ac:dyDescent="0.3">
      <c r="A1099">
        <v>1622</v>
      </c>
      <c r="B1099" t="s">
        <v>26</v>
      </c>
      <c r="C1099" s="1">
        <v>45867</v>
      </c>
      <c r="D1099" s="1" t="str">
        <f xml:space="preserve"> TEXT(FilmaxData[[#This Row],[Show_Date]],"MMM")</f>
        <v>Jul</v>
      </c>
      <c r="E1099" s="1" t="str">
        <f xml:space="preserve"> TEXT(FilmaxData[[#This Row],[Show_Date]],"DDD")</f>
        <v>Tue</v>
      </c>
      <c r="F1099" t="s">
        <v>20</v>
      </c>
      <c r="G1099" t="s">
        <v>17</v>
      </c>
      <c r="H1099">
        <v>1</v>
      </c>
      <c r="I1099">
        <v>12</v>
      </c>
      <c r="J1099" t="s">
        <v>13</v>
      </c>
      <c r="K1099" t="s">
        <v>18</v>
      </c>
      <c r="L1099">
        <v>12</v>
      </c>
    </row>
    <row r="1100" spans="1:12" x14ac:dyDescent="0.3">
      <c r="A1100">
        <v>952</v>
      </c>
      <c r="B1100" t="s">
        <v>31</v>
      </c>
      <c r="C1100" s="1">
        <v>45891</v>
      </c>
      <c r="D1100" s="1" t="str">
        <f xml:space="preserve"> TEXT(FilmaxData[[#This Row],[Show_Date]],"MMM")</f>
        <v>Aug</v>
      </c>
      <c r="E1100" s="1" t="str">
        <f xml:space="preserve"> TEXT(FilmaxData[[#This Row],[Show_Date]],"DDD")</f>
        <v>Fri</v>
      </c>
      <c r="F1100" t="s">
        <v>11</v>
      </c>
      <c r="G1100" t="s">
        <v>30</v>
      </c>
      <c r="H1100">
        <v>1</v>
      </c>
      <c r="I1100">
        <v>8</v>
      </c>
      <c r="J1100" t="s">
        <v>23</v>
      </c>
      <c r="K1100" t="s">
        <v>18</v>
      </c>
      <c r="L1100">
        <v>8</v>
      </c>
    </row>
    <row r="1101" spans="1:12" x14ac:dyDescent="0.3">
      <c r="A1101">
        <v>1262</v>
      </c>
      <c r="B1101" t="s">
        <v>32</v>
      </c>
      <c r="C1101" s="1">
        <v>45886</v>
      </c>
      <c r="D1101" s="1" t="str">
        <f xml:space="preserve"> TEXT(FilmaxData[[#This Row],[Show_Date]],"MMM")</f>
        <v>Aug</v>
      </c>
      <c r="E1101" s="1" t="str">
        <f xml:space="preserve"> TEXT(FilmaxData[[#This Row],[Show_Date]],"DDD")</f>
        <v>Sun</v>
      </c>
      <c r="F1101" t="s">
        <v>16</v>
      </c>
      <c r="G1101" t="s">
        <v>12</v>
      </c>
      <c r="H1101">
        <v>5</v>
      </c>
      <c r="I1101">
        <v>25</v>
      </c>
      <c r="J1101" t="s">
        <v>23</v>
      </c>
      <c r="K1101" t="s">
        <v>18</v>
      </c>
      <c r="L1101">
        <v>125</v>
      </c>
    </row>
    <row r="1102" spans="1:12" x14ac:dyDescent="0.3">
      <c r="A1102">
        <v>1536</v>
      </c>
      <c r="B1102" t="s">
        <v>26</v>
      </c>
      <c r="C1102" s="1">
        <v>45844</v>
      </c>
      <c r="D1102" s="1" t="str">
        <f xml:space="preserve"> TEXT(FilmaxData[[#This Row],[Show_Date]],"MMM")</f>
        <v>Jul</v>
      </c>
      <c r="E1102" s="1" t="str">
        <f xml:space="preserve"> TEXT(FilmaxData[[#This Row],[Show_Date]],"DDD")</f>
        <v>Sun</v>
      </c>
      <c r="F1102" t="s">
        <v>11</v>
      </c>
      <c r="G1102" t="s">
        <v>17</v>
      </c>
      <c r="H1102">
        <v>3</v>
      </c>
      <c r="I1102">
        <v>12</v>
      </c>
      <c r="J1102" t="s">
        <v>23</v>
      </c>
      <c r="K1102" t="s">
        <v>18</v>
      </c>
      <c r="L1102">
        <v>36</v>
      </c>
    </row>
    <row r="1103" spans="1:12" x14ac:dyDescent="0.3">
      <c r="A1103">
        <v>1323</v>
      </c>
      <c r="B1103" t="s">
        <v>15</v>
      </c>
      <c r="C1103" s="1">
        <v>45870</v>
      </c>
      <c r="D1103" s="1" t="str">
        <f xml:space="preserve"> TEXT(FilmaxData[[#This Row],[Show_Date]],"MMM")</f>
        <v>Aug</v>
      </c>
      <c r="E1103" s="1" t="str">
        <f xml:space="preserve"> TEXT(FilmaxData[[#This Row],[Show_Date]],"DDD")</f>
        <v>Fri</v>
      </c>
      <c r="F1103" t="s">
        <v>11</v>
      </c>
      <c r="G1103" t="s">
        <v>30</v>
      </c>
      <c r="H1103">
        <v>5</v>
      </c>
      <c r="I1103">
        <v>8</v>
      </c>
      <c r="J1103" t="s">
        <v>23</v>
      </c>
      <c r="K1103" t="s">
        <v>18</v>
      </c>
      <c r="L1103">
        <v>40</v>
      </c>
    </row>
    <row r="1104" spans="1:12" x14ac:dyDescent="0.3">
      <c r="A1104">
        <v>408</v>
      </c>
      <c r="B1104" t="s">
        <v>19</v>
      </c>
      <c r="C1104" s="1">
        <v>45858</v>
      </c>
      <c r="D1104" s="1" t="str">
        <f xml:space="preserve"> TEXT(FilmaxData[[#This Row],[Show_Date]],"MMM")</f>
        <v>Jul</v>
      </c>
      <c r="E1104" s="1" t="str">
        <f xml:space="preserve"> TEXT(FilmaxData[[#This Row],[Show_Date]],"DDD")</f>
        <v>Sun</v>
      </c>
      <c r="F1104" t="s">
        <v>11</v>
      </c>
      <c r="G1104" t="s">
        <v>17</v>
      </c>
      <c r="H1104">
        <v>5</v>
      </c>
      <c r="I1104">
        <v>12</v>
      </c>
      <c r="J1104" t="s">
        <v>13</v>
      </c>
      <c r="K1104" t="s">
        <v>18</v>
      </c>
      <c r="L1104">
        <v>60</v>
      </c>
    </row>
    <row r="1105" spans="1:12" x14ac:dyDescent="0.3">
      <c r="A1105">
        <v>1580</v>
      </c>
      <c r="B1105" t="s">
        <v>32</v>
      </c>
      <c r="C1105" s="1">
        <v>45899</v>
      </c>
      <c r="D1105" s="1" t="str">
        <f xml:space="preserve"> TEXT(FilmaxData[[#This Row],[Show_Date]],"MMM")</f>
        <v>Aug</v>
      </c>
      <c r="E1105" s="1" t="str">
        <f xml:space="preserve"> TEXT(FilmaxData[[#This Row],[Show_Date]],"DDD")</f>
        <v>Sat</v>
      </c>
      <c r="F1105" t="s">
        <v>33</v>
      </c>
      <c r="G1105" t="s">
        <v>17</v>
      </c>
      <c r="H1105">
        <v>5</v>
      </c>
      <c r="I1105">
        <v>12</v>
      </c>
      <c r="J1105" t="s">
        <v>23</v>
      </c>
      <c r="K1105" t="s">
        <v>18</v>
      </c>
      <c r="L1105">
        <v>60</v>
      </c>
    </row>
    <row r="1106" spans="1:12" x14ac:dyDescent="0.3">
      <c r="A1106">
        <v>925</v>
      </c>
      <c r="B1106" t="s">
        <v>24</v>
      </c>
      <c r="C1106" s="1">
        <v>45916</v>
      </c>
      <c r="D1106" s="1" t="str">
        <f xml:space="preserve"> TEXT(FilmaxData[[#This Row],[Show_Date]],"MMM")</f>
        <v>Sep</v>
      </c>
      <c r="E1106" s="1" t="str">
        <f xml:space="preserve"> TEXT(FilmaxData[[#This Row],[Show_Date]],"DDD")</f>
        <v>Tue</v>
      </c>
      <c r="F1106" t="s">
        <v>20</v>
      </c>
      <c r="G1106" t="s">
        <v>17</v>
      </c>
      <c r="H1106">
        <v>4</v>
      </c>
      <c r="I1106">
        <v>12</v>
      </c>
      <c r="J1106" t="s">
        <v>13</v>
      </c>
      <c r="K1106" t="s">
        <v>18</v>
      </c>
      <c r="L1106">
        <v>48</v>
      </c>
    </row>
    <row r="1107" spans="1:12" x14ac:dyDescent="0.3">
      <c r="A1107">
        <v>1578</v>
      </c>
      <c r="B1107" t="s">
        <v>26</v>
      </c>
      <c r="C1107" s="1">
        <v>45887</v>
      </c>
      <c r="D1107" s="1" t="str">
        <f xml:space="preserve"> TEXT(FilmaxData[[#This Row],[Show_Date]],"MMM")</f>
        <v>Aug</v>
      </c>
      <c r="E1107" s="1" t="str">
        <f xml:space="preserve"> TEXT(FilmaxData[[#This Row],[Show_Date]],"DDD")</f>
        <v>Mon</v>
      </c>
      <c r="F1107" t="s">
        <v>11</v>
      </c>
      <c r="G1107" t="s">
        <v>17</v>
      </c>
      <c r="H1107">
        <v>1</v>
      </c>
      <c r="I1107">
        <v>12</v>
      </c>
      <c r="J1107" t="s">
        <v>13</v>
      </c>
      <c r="K1107" t="s">
        <v>18</v>
      </c>
      <c r="L1107">
        <v>12</v>
      </c>
    </row>
    <row r="1108" spans="1:12" x14ac:dyDescent="0.3">
      <c r="A1108">
        <v>733</v>
      </c>
      <c r="B1108" t="s">
        <v>24</v>
      </c>
      <c r="C1108" s="1">
        <v>45845</v>
      </c>
      <c r="D1108" s="1" t="str">
        <f xml:space="preserve"> TEXT(FilmaxData[[#This Row],[Show_Date]],"MMM")</f>
        <v>Jul</v>
      </c>
      <c r="E1108" s="1" t="str">
        <f xml:space="preserve"> TEXT(FilmaxData[[#This Row],[Show_Date]],"DDD")</f>
        <v>Mon</v>
      </c>
      <c r="F1108" t="s">
        <v>16</v>
      </c>
      <c r="G1108" t="s">
        <v>17</v>
      </c>
      <c r="H1108">
        <v>4</v>
      </c>
      <c r="I1108">
        <v>12</v>
      </c>
      <c r="J1108" t="s">
        <v>21</v>
      </c>
      <c r="K1108" t="s">
        <v>18</v>
      </c>
      <c r="L1108">
        <v>48</v>
      </c>
    </row>
    <row r="1109" spans="1:12" x14ac:dyDescent="0.3">
      <c r="A1109">
        <v>246</v>
      </c>
      <c r="B1109" t="s">
        <v>10</v>
      </c>
      <c r="C1109" s="1">
        <v>45873</v>
      </c>
      <c r="D1109" s="1" t="str">
        <f xml:space="preserve"> TEXT(FilmaxData[[#This Row],[Show_Date]],"MMM")</f>
        <v>Aug</v>
      </c>
      <c r="E1109" s="1" t="str">
        <f xml:space="preserve"> TEXT(FilmaxData[[#This Row],[Show_Date]],"DDD")</f>
        <v>Mon</v>
      </c>
      <c r="F1109" t="s">
        <v>20</v>
      </c>
      <c r="G1109" t="s">
        <v>12</v>
      </c>
      <c r="H1109">
        <v>3</v>
      </c>
      <c r="I1109">
        <v>25</v>
      </c>
      <c r="J1109" t="s">
        <v>23</v>
      </c>
      <c r="K1109" t="s">
        <v>18</v>
      </c>
      <c r="L1109">
        <v>75</v>
      </c>
    </row>
    <row r="1110" spans="1:12" x14ac:dyDescent="0.3">
      <c r="A1110">
        <v>1973</v>
      </c>
      <c r="B1110" t="s">
        <v>32</v>
      </c>
      <c r="C1110" s="1">
        <v>45926</v>
      </c>
      <c r="D1110" s="1" t="str">
        <f xml:space="preserve"> TEXT(FilmaxData[[#This Row],[Show_Date]],"MMM")</f>
        <v>Sep</v>
      </c>
      <c r="E1110" s="1" t="str">
        <f xml:space="preserve"> TEXT(FilmaxData[[#This Row],[Show_Date]],"DDD")</f>
        <v>Fri</v>
      </c>
      <c r="F1110" t="s">
        <v>11</v>
      </c>
      <c r="G1110" t="s">
        <v>17</v>
      </c>
      <c r="H1110">
        <v>3</v>
      </c>
      <c r="I1110">
        <v>12</v>
      </c>
      <c r="J1110" t="s">
        <v>23</v>
      </c>
      <c r="K1110" t="s">
        <v>18</v>
      </c>
      <c r="L1110">
        <v>36</v>
      </c>
    </row>
    <row r="1111" spans="1:12" x14ac:dyDescent="0.3">
      <c r="A1111">
        <v>1641</v>
      </c>
      <c r="B1111" t="s">
        <v>31</v>
      </c>
      <c r="C1111" s="1">
        <v>45924</v>
      </c>
      <c r="D1111" s="1" t="str">
        <f xml:space="preserve"> TEXT(FilmaxData[[#This Row],[Show_Date]],"MMM")</f>
        <v>Sep</v>
      </c>
      <c r="E1111" s="1" t="str">
        <f xml:space="preserve"> TEXT(FilmaxData[[#This Row],[Show_Date]],"DDD")</f>
        <v>Wed</v>
      </c>
      <c r="F1111" t="s">
        <v>20</v>
      </c>
      <c r="G1111" t="s">
        <v>17</v>
      </c>
      <c r="H1111">
        <v>2</v>
      </c>
      <c r="I1111">
        <v>12</v>
      </c>
      <c r="J1111" t="s">
        <v>13</v>
      </c>
      <c r="K1111" t="s">
        <v>18</v>
      </c>
      <c r="L1111">
        <v>24</v>
      </c>
    </row>
    <row r="1112" spans="1:12" x14ac:dyDescent="0.3">
      <c r="A1112">
        <v>1592</v>
      </c>
      <c r="B1112" t="s">
        <v>32</v>
      </c>
      <c r="C1112" s="1">
        <v>45855</v>
      </c>
      <c r="D1112" s="1" t="str">
        <f xml:space="preserve"> TEXT(FilmaxData[[#This Row],[Show_Date]],"MMM")</f>
        <v>Jul</v>
      </c>
      <c r="E1112" s="1" t="str">
        <f xml:space="preserve"> TEXT(FilmaxData[[#This Row],[Show_Date]],"DDD")</f>
        <v>Thu</v>
      </c>
      <c r="F1112" t="s">
        <v>11</v>
      </c>
      <c r="G1112" t="s">
        <v>17</v>
      </c>
      <c r="H1112">
        <v>1</v>
      </c>
      <c r="I1112">
        <v>12</v>
      </c>
      <c r="J1112" t="s">
        <v>13</v>
      </c>
      <c r="K1112" t="s">
        <v>18</v>
      </c>
      <c r="L1112">
        <v>12</v>
      </c>
    </row>
    <row r="1113" spans="1:12" x14ac:dyDescent="0.3">
      <c r="A1113">
        <v>1870</v>
      </c>
      <c r="B1113" t="s">
        <v>26</v>
      </c>
      <c r="C1113" s="1">
        <v>45878</v>
      </c>
      <c r="D1113" s="1" t="str">
        <f xml:space="preserve"> TEXT(FilmaxData[[#This Row],[Show_Date]],"MMM")</f>
        <v>Aug</v>
      </c>
      <c r="E1113" s="1" t="str">
        <f xml:space="preserve"> TEXT(FilmaxData[[#This Row],[Show_Date]],"DDD")</f>
        <v>Sat</v>
      </c>
      <c r="F1113" t="s">
        <v>20</v>
      </c>
      <c r="G1113" t="s">
        <v>17</v>
      </c>
      <c r="H1113">
        <v>5</v>
      </c>
      <c r="I1113">
        <v>12</v>
      </c>
      <c r="J1113" t="s">
        <v>21</v>
      </c>
      <c r="K1113" t="s">
        <v>18</v>
      </c>
      <c r="L1113">
        <v>60</v>
      </c>
    </row>
    <row r="1114" spans="1:12" x14ac:dyDescent="0.3">
      <c r="A1114">
        <v>391</v>
      </c>
      <c r="B1114" t="s">
        <v>32</v>
      </c>
      <c r="C1114" s="1">
        <v>45914</v>
      </c>
      <c r="D1114" s="1" t="str">
        <f xml:space="preserve"> TEXT(FilmaxData[[#This Row],[Show_Date]],"MMM")</f>
        <v>Sep</v>
      </c>
      <c r="E1114" s="1" t="str">
        <f xml:space="preserve"> TEXT(FilmaxData[[#This Row],[Show_Date]],"DDD")</f>
        <v>Sun</v>
      </c>
      <c r="F1114" t="s">
        <v>20</v>
      </c>
      <c r="G1114" t="s">
        <v>17</v>
      </c>
      <c r="H1114">
        <v>2</v>
      </c>
      <c r="I1114">
        <v>12</v>
      </c>
      <c r="J1114" t="s">
        <v>23</v>
      </c>
      <c r="K1114" t="s">
        <v>18</v>
      </c>
      <c r="L1114">
        <v>24</v>
      </c>
    </row>
    <row r="1115" spans="1:12" x14ac:dyDescent="0.3">
      <c r="A1115">
        <v>1942</v>
      </c>
      <c r="B1115" t="s">
        <v>19</v>
      </c>
      <c r="C1115" s="1">
        <v>45920</v>
      </c>
      <c r="D1115" s="1" t="str">
        <f xml:space="preserve"> TEXT(FilmaxData[[#This Row],[Show_Date]],"MMM")</f>
        <v>Sep</v>
      </c>
      <c r="E1115" s="1" t="str">
        <f xml:space="preserve"> TEXT(FilmaxData[[#This Row],[Show_Date]],"DDD")</f>
        <v>Sat</v>
      </c>
      <c r="F1115" t="s">
        <v>20</v>
      </c>
      <c r="G1115" t="s">
        <v>22</v>
      </c>
      <c r="H1115">
        <v>5</v>
      </c>
      <c r="I1115">
        <v>20</v>
      </c>
      <c r="J1115" t="s">
        <v>21</v>
      </c>
      <c r="K1115" t="s">
        <v>18</v>
      </c>
      <c r="L1115">
        <v>100</v>
      </c>
    </row>
    <row r="1116" spans="1:12" x14ac:dyDescent="0.3">
      <c r="A1116">
        <v>1668</v>
      </c>
      <c r="B1116" t="s">
        <v>24</v>
      </c>
      <c r="C1116" s="1">
        <v>45914</v>
      </c>
      <c r="D1116" s="1" t="str">
        <f xml:space="preserve"> TEXT(FilmaxData[[#This Row],[Show_Date]],"MMM")</f>
        <v>Sep</v>
      </c>
      <c r="E1116" s="1" t="str">
        <f xml:space="preserve"> TEXT(FilmaxData[[#This Row],[Show_Date]],"DDD")</f>
        <v>Sun</v>
      </c>
      <c r="F1116" t="s">
        <v>16</v>
      </c>
      <c r="G1116" t="s">
        <v>17</v>
      </c>
      <c r="H1116">
        <v>4</v>
      </c>
      <c r="I1116">
        <v>12</v>
      </c>
      <c r="J1116" t="s">
        <v>13</v>
      </c>
      <c r="K1116" t="s">
        <v>18</v>
      </c>
      <c r="L1116">
        <v>48</v>
      </c>
    </row>
    <row r="1117" spans="1:12" x14ac:dyDescent="0.3">
      <c r="A1117">
        <v>68</v>
      </c>
      <c r="B1117" t="s">
        <v>24</v>
      </c>
      <c r="C1117" s="1">
        <v>45848</v>
      </c>
      <c r="D1117" s="1" t="str">
        <f xml:space="preserve"> TEXT(FilmaxData[[#This Row],[Show_Date]],"MMM")</f>
        <v>Jul</v>
      </c>
      <c r="E1117" s="1" t="str">
        <f xml:space="preserve"> TEXT(FilmaxData[[#This Row],[Show_Date]],"DDD")</f>
        <v>Thu</v>
      </c>
      <c r="F1117" t="s">
        <v>33</v>
      </c>
      <c r="G1117" t="s">
        <v>17</v>
      </c>
      <c r="H1117">
        <v>5</v>
      </c>
      <c r="I1117">
        <v>12</v>
      </c>
      <c r="J1117" t="s">
        <v>23</v>
      </c>
      <c r="K1117" t="s">
        <v>18</v>
      </c>
      <c r="L1117">
        <v>60</v>
      </c>
    </row>
    <row r="1118" spans="1:12" x14ac:dyDescent="0.3">
      <c r="A1118">
        <v>674</v>
      </c>
      <c r="B1118" t="s">
        <v>10</v>
      </c>
      <c r="C1118" s="1">
        <v>45912</v>
      </c>
      <c r="D1118" s="1" t="str">
        <f xml:space="preserve"> TEXT(FilmaxData[[#This Row],[Show_Date]],"MMM")</f>
        <v>Sep</v>
      </c>
      <c r="E1118" s="1" t="str">
        <f xml:space="preserve"> TEXT(FilmaxData[[#This Row],[Show_Date]],"DDD")</f>
        <v>Fri</v>
      </c>
      <c r="F1118" t="s">
        <v>11</v>
      </c>
      <c r="G1118" t="s">
        <v>17</v>
      </c>
      <c r="H1118">
        <v>2</v>
      </c>
      <c r="I1118">
        <v>12</v>
      </c>
      <c r="J1118" t="s">
        <v>21</v>
      </c>
      <c r="K1118" t="s">
        <v>18</v>
      </c>
      <c r="L1118">
        <v>24</v>
      </c>
    </row>
    <row r="1119" spans="1:12" x14ac:dyDescent="0.3">
      <c r="A1119">
        <v>1195</v>
      </c>
      <c r="B1119" t="s">
        <v>26</v>
      </c>
      <c r="C1119" s="1">
        <v>45869</v>
      </c>
      <c r="D1119" s="1" t="str">
        <f xml:space="preserve"> TEXT(FilmaxData[[#This Row],[Show_Date]],"MMM")</f>
        <v>Jul</v>
      </c>
      <c r="E1119" s="1" t="str">
        <f xml:space="preserve"> TEXT(FilmaxData[[#This Row],[Show_Date]],"DDD")</f>
        <v>Thu</v>
      </c>
      <c r="F1119" t="s">
        <v>20</v>
      </c>
      <c r="G1119" t="s">
        <v>17</v>
      </c>
      <c r="H1119">
        <v>1</v>
      </c>
      <c r="I1119">
        <v>12</v>
      </c>
      <c r="J1119" t="s">
        <v>13</v>
      </c>
      <c r="K1119" t="s">
        <v>18</v>
      </c>
      <c r="L1119">
        <v>12</v>
      </c>
    </row>
    <row r="1120" spans="1:12" x14ac:dyDescent="0.3">
      <c r="A1120">
        <v>1154</v>
      </c>
      <c r="B1120" t="s">
        <v>26</v>
      </c>
      <c r="C1120" s="1">
        <v>45881</v>
      </c>
      <c r="D1120" s="1" t="str">
        <f xml:space="preserve"> TEXT(FilmaxData[[#This Row],[Show_Date]],"MMM")</f>
        <v>Aug</v>
      </c>
      <c r="E1120" s="1" t="str">
        <f xml:space="preserve"> TEXT(FilmaxData[[#This Row],[Show_Date]],"DDD")</f>
        <v>Tue</v>
      </c>
      <c r="F1120" t="s">
        <v>33</v>
      </c>
      <c r="G1120" t="s">
        <v>17</v>
      </c>
      <c r="H1120">
        <v>4</v>
      </c>
      <c r="I1120">
        <v>12</v>
      </c>
      <c r="J1120" t="s">
        <v>21</v>
      </c>
      <c r="K1120" t="s">
        <v>18</v>
      </c>
      <c r="L1120">
        <v>48</v>
      </c>
    </row>
    <row r="1121" spans="1:12" x14ac:dyDescent="0.3">
      <c r="A1121">
        <v>1344</v>
      </c>
      <c r="B1121" t="s">
        <v>24</v>
      </c>
      <c r="C1121" s="1">
        <v>45876</v>
      </c>
      <c r="D1121" s="1" t="str">
        <f xml:space="preserve"> TEXT(FilmaxData[[#This Row],[Show_Date]],"MMM")</f>
        <v>Aug</v>
      </c>
      <c r="E1121" s="1" t="str">
        <f xml:space="preserve"> TEXT(FilmaxData[[#This Row],[Show_Date]],"DDD")</f>
        <v>Thu</v>
      </c>
      <c r="F1121" t="s">
        <v>20</v>
      </c>
      <c r="G1121" t="s">
        <v>17</v>
      </c>
      <c r="H1121">
        <v>3</v>
      </c>
      <c r="I1121">
        <v>12</v>
      </c>
      <c r="J1121" t="s">
        <v>13</v>
      </c>
      <c r="K1121" t="s">
        <v>18</v>
      </c>
      <c r="L1121">
        <v>36</v>
      </c>
    </row>
    <row r="1122" spans="1:12" x14ac:dyDescent="0.3">
      <c r="A1122">
        <v>477</v>
      </c>
      <c r="B1122" t="s">
        <v>24</v>
      </c>
      <c r="C1122" s="1">
        <v>45864</v>
      </c>
      <c r="D1122" s="1" t="str">
        <f xml:space="preserve"> TEXT(FilmaxData[[#This Row],[Show_Date]],"MMM")</f>
        <v>Jul</v>
      </c>
      <c r="E1122" s="1" t="str">
        <f xml:space="preserve"> TEXT(FilmaxData[[#This Row],[Show_Date]],"DDD")</f>
        <v>Sat</v>
      </c>
      <c r="F1122" t="s">
        <v>16</v>
      </c>
      <c r="G1122" t="s">
        <v>17</v>
      </c>
      <c r="H1122">
        <v>5</v>
      </c>
      <c r="I1122">
        <v>12</v>
      </c>
      <c r="J1122" t="s">
        <v>21</v>
      </c>
      <c r="K1122" t="s">
        <v>18</v>
      </c>
      <c r="L1122">
        <v>60</v>
      </c>
    </row>
    <row r="1123" spans="1:12" x14ac:dyDescent="0.3">
      <c r="A1123">
        <v>1956</v>
      </c>
      <c r="B1123" t="s">
        <v>24</v>
      </c>
      <c r="C1123" s="1">
        <v>45865</v>
      </c>
      <c r="D1123" s="1" t="str">
        <f xml:space="preserve"> TEXT(FilmaxData[[#This Row],[Show_Date]],"MMM")</f>
        <v>Jul</v>
      </c>
      <c r="E1123" s="1" t="str">
        <f xml:space="preserve"> TEXT(FilmaxData[[#This Row],[Show_Date]],"DDD")</f>
        <v>Sun</v>
      </c>
      <c r="F1123" t="s">
        <v>20</v>
      </c>
      <c r="G1123" t="s">
        <v>22</v>
      </c>
      <c r="H1123">
        <v>5</v>
      </c>
      <c r="I1123">
        <v>20</v>
      </c>
      <c r="J1123" t="s">
        <v>21</v>
      </c>
      <c r="K1123" t="s">
        <v>18</v>
      </c>
      <c r="L1123">
        <v>100</v>
      </c>
    </row>
    <row r="1124" spans="1:12" x14ac:dyDescent="0.3">
      <c r="A1124">
        <v>977</v>
      </c>
      <c r="B1124" t="s">
        <v>19</v>
      </c>
      <c r="C1124" s="1">
        <v>45884</v>
      </c>
      <c r="D1124" s="1" t="str">
        <f xml:space="preserve"> TEXT(FilmaxData[[#This Row],[Show_Date]],"MMM")</f>
        <v>Aug</v>
      </c>
      <c r="E1124" s="1" t="str">
        <f xml:space="preserve"> TEXT(FilmaxData[[#This Row],[Show_Date]],"DDD")</f>
        <v>Fri</v>
      </c>
      <c r="F1124" t="s">
        <v>16</v>
      </c>
      <c r="G1124" t="s">
        <v>22</v>
      </c>
      <c r="H1124">
        <v>5</v>
      </c>
      <c r="I1124">
        <v>20</v>
      </c>
      <c r="J1124" t="s">
        <v>21</v>
      </c>
      <c r="K1124" t="s">
        <v>18</v>
      </c>
      <c r="L1124">
        <v>100</v>
      </c>
    </row>
    <row r="1125" spans="1:12" x14ac:dyDescent="0.3">
      <c r="A1125">
        <v>1000</v>
      </c>
      <c r="B1125" t="s">
        <v>32</v>
      </c>
      <c r="C1125" s="1">
        <v>45900</v>
      </c>
      <c r="D1125" s="1" t="str">
        <f xml:space="preserve"> TEXT(FilmaxData[[#This Row],[Show_Date]],"MMM")</f>
        <v>Aug</v>
      </c>
      <c r="E1125" s="1" t="str">
        <f xml:space="preserve"> TEXT(FilmaxData[[#This Row],[Show_Date]],"DDD")</f>
        <v>Sun</v>
      </c>
      <c r="F1125" t="s">
        <v>16</v>
      </c>
      <c r="G1125" t="s">
        <v>22</v>
      </c>
      <c r="H1125">
        <v>1</v>
      </c>
      <c r="I1125">
        <v>20</v>
      </c>
      <c r="J1125" t="s">
        <v>23</v>
      </c>
      <c r="K1125" t="s">
        <v>18</v>
      </c>
      <c r="L1125">
        <v>20</v>
      </c>
    </row>
    <row r="1126" spans="1:12" x14ac:dyDescent="0.3">
      <c r="A1126">
        <v>372</v>
      </c>
      <c r="B1126" t="s">
        <v>19</v>
      </c>
      <c r="C1126" s="1">
        <v>45850</v>
      </c>
      <c r="D1126" s="1" t="str">
        <f xml:space="preserve"> TEXT(FilmaxData[[#This Row],[Show_Date]],"MMM")</f>
        <v>Jul</v>
      </c>
      <c r="E1126" s="1" t="str">
        <f xml:space="preserve"> TEXT(FilmaxData[[#This Row],[Show_Date]],"DDD")</f>
        <v>Sat</v>
      </c>
      <c r="F1126" t="s">
        <v>16</v>
      </c>
      <c r="G1126" t="s">
        <v>22</v>
      </c>
      <c r="H1126">
        <v>4</v>
      </c>
      <c r="I1126">
        <v>20</v>
      </c>
      <c r="J1126" t="s">
        <v>21</v>
      </c>
      <c r="K1126" t="s">
        <v>18</v>
      </c>
      <c r="L1126">
        <v>80</v>
      </c>
    </row>
    <row r="1127" spans="1:12" x14ac:dyDescent="0.3">
      <c r="A1127">
        <v>378</v>
      </c>
      <c r="B1127" t="s">
        <v>24</v>
      </c>
      <c r="C1127" s="1">
        <v>45870</v>
      </c>
      <c r="D1127" s="1" t="str">
        <f xml:space="preserve"> TEXT(FilmaxData[[#This Row],[Show_Date]],"MMM")</f>
        <v>Aug</v>
      </c>
      <c r="E1127" s="1" t="str">
        <f xml:space="preserve"> TEXT(FilmaxData[[#This Row],[Show_Date]],"DDD")</f>
        <v>Fri</v>
      </c>
      <c r="F1127" t="s">
        <v>16</v>
      </c>
      <c r="G1127" t="s">
        <v>30</v>
      </c>
      <c r="H1127">
        <v>4</v>
      </c>
      <c r="I1127">
        <v>8</v>
      </c>
      <c r="J1127" t="s">
        <v>21</v>
      </c>
      <c r="K1127" t="s">
        <v>18</v>
      </c>
      <c r="L1127">
        <v>32</v>
      </c>
    </row>
    <row r="1128" spans="1:12" x14ac:dyDescent="0.3">
      <c r="A1128">
        <v>489</v>
      </c>
      <c r="B1128" t="s">
        <v>24</v>
      </c>
      <c r="C1128" s="1">
        <v>45910</v>
      </c>
      <c r="D1128" s="1" t="str">
        <f xml:space="preserve"> TEXT(FilmaxData[[#This Row],[Show_Date]],"MMM")</f>
        <v>Sep</v>
      </c>
      <c r="E1128" s="1" t="str">
        <f xml:space="preserve"> TEXT(FilmaxData[[#This Row],[Show_Date]],"DDD")</f>
        <v>Wed</v>
      </c>
      <c r="F1128" t="s">
        <v>16</v>
      </c>
      <c r="G1128" t="s">
        <v>12</v>
      </c>
      <c r="H1128">
        <v>3</v>
      </c>
      <c r="I1128">
        <v>25</v>
      </c>
      <c r="J1128" t="s">
        <v>23</v>
      </c>
      <c r="K1128" t="s">
        <v>18</v>
      </c>
      <c r="L1128">
        <v>75</v>
      </c>
    </row>
    <row r="1129" spans="1:12" x14ac:dyDescent="0.3">
      <c r="A1129">
        <v>1510</v>
      </c>
      <c r="B1129" t="s">
        <v>31</v>
      </c>
      <c r="C1129" s="1">
        <v>45906</v>
      </c>
      <c r="D1129" s="1" t="str">
        <f xml:space="preserve"> TEXT(FilmaxData[[#This Row],[Show_Date]],"MMM")</f>
        <v>Sep</v>
      </c>
      <c r="E1129" s="1" t="str">
        <f xml:space="preserve"> TEXT(FilmaxData[[#This Row],[Show_Date]],"DDD")</f>
        <v>Sat</v>
      </c>
      <c r="F1129" t="s">
        <v>33</v>
      </c>
      <c r="G1129" t="s">
        <v>17</v>
      </c>
      <c r="H1129">
        <v>5</v>
      </c>
      <c r="I1129">
        <v>12</v>
      </c>
      <c r="J1129" t="s">
        <v>13</v>
      </c>
      <c r="K1129" t="s">
        <v>18</v>
      </c>
      <c r="L1129">
        <v>60</v>
      </c>
    </row>
    <row r="1130" spans="1:12" x14ac:dyDescent="0.3">
      <c r="A1130">
        <v>1248</v>
      </c>
      <c r="B1130" t="s">
        <v>10</v>
      </c>
      <c r="C1130" s="1">
        <v>45928</v>
      </c>
      <c r="D1130" s="1" t="str">
        <f xml:space="preserve"> TEXT(FilmaxData[[#This Row],[Show_Date]],"MMM")</f>
        <v>Sep</v>
      </c>
      <c r="E1130" s="1" t="str">
        <f xml:space="preserve"> TEXT(FilmaxData[[#This Row],[Show_Date]],"DDD")</f>
        <v>Sun</v>
      </c>
      <c r="F1130" t="s">
        <v>33</v>
      </c>
      <c r="G1130" t="s">
        <v>17</v>
      </c>
      <c r="H1130">
        <v>3</v>
      </c>
      <c r="I1130">
        <v>12</v>
      </c>
      <c r="J1130" t="s">
        <v>23</v>
      </c>
      <c r="K1130" t="s">
        <v>18</v>
      </c>
      <c r="L1130">
        <v>36</v>
      </c>
    </row>
    <row r="1131" spans="1:12" x14ac:dyDescent="0.3">
      <c r="A1131">
        <v>1437</v>
      </c>
      <c r="B1131" t="s">
        <v>10</v>
      </c>
      <c r="C1131" s="1">
        <v>45855</v>
      </c>
      <c r="D1131" s="1" t="str">
        <f xml:space="preserve"> TEXT(FilmaxData[[#This Row],[Show_Date]],"MMM")</f>
        <v>Jul</v>
      </c>
      <c r="E1131" s="1" t="str">
        <f xml:space="preserve"> TEXT(FilmaxData[[#This Row],[Show_Date]],"DDD")</f>
        <v>Thu</v>
      </c>
      <c r="F1131" t="s">
        <v>33</v>
      </c>
      <c r="G1131" t="s">
        <v>17</v>
      </c>
      <c r="H1131">
        <v>4</v>
      </c>
      <c r="I1131">
        <v>12</v>
      </c>
      <c r="J1131" t="s">
        <v>21</v>
      </c>
      <c r="K1131" t="s">
        <v>18</v>
      </c>
      <c r="L1131">
        <v>48</v>
      </c>
    </row>
    <row r="1132" spans="1:12" x14ac:dyDescent="0.3">
      <c r="A1132">
        <v>525</v>
      </c>
      <c r="B1132" t="s">
        <v>26</v>
      </c>
      <c r="C1132" s="1">
        <v>45901</v>
      </c>
      <c r="D1132" s="1" t="str">
        <f xml:space="preserve"> TEXT(FilmaxData[[#This Row],[Show_Date]],"MMM")</f>
        <v>Sep</v>
      </c>
      <c r="E1132" s="1" t="str">
        <f xml:space="preserve"> TEXT(FilmaxData[[#This Row],[Show_Date]],"DDD")</f>
        <v>Mon</v>
      </c>
      <c r="F1132" t="s">
        <v>11</v>
      </c>
      <c r="G1132" t="s">
        <v>22</v>
      </c>
      <c r="H1132">
        <v>1</v>
      </c>
      <c r="I1132">
        <v>20</v>
      </c>
      <c r="J1132" t="s">
        <v>13</v>
      </c>
      <c r="K1132" t="s">
        <v>18</v>
      </c>
      <c r="L1132">
        <v>20</v>
      </c>
    </row>
    <row r="1133" spans="1:12" x14ac:dyDescent="0.3">
      <c r="A1133">
        <v>1376</v>
      </c>
      <c r="B1133" t="s">
        <v>15</v>
      </c>
      <c r="C1133" s="1">
        <v>45878</v>
      </c>
      <c r="D1133" s="1" t="str">
        <f xml:space="preserve"> TEXT(FilmaxData[[#This Row],[Show_Date]],"MMM")</f>
        <v>Aug</v>
      </c>
      <c r="E1133" s="1" t="str">
        <f xml:space="preserve"> TEXT(FilmaxData[[#This Row],[Show_Date]],"DDD")</f>
        <v>Sat</v>
      </c>
      <c r="F1133" t="s">
        <v>33</v>
      </c>
      <c r="G1133" t="s">
        <v>30</v>
      </c>
      <c r="H1133">
        <v>2</v>
      </c>
      <c r="I1133">
        <v>8</v>
      </c>
      <c r="J1133" t="s">
        <v>13</v>
      </c>
      <c r="K1133" t="s">
        <v>18</v>
      </c>
      <c r="L1133">
        <v>16</v>
      </c>
    </row>
    <row r="1134" spans="1:12" x14ac:dyDescent="0.3">
      <c r="A1134">
        <v>1039</v>
      </c>
      <c r="B1134" t="s">
        <v>24</v>
      </c>
      <c r="C1134" s="1">
        <v>45906</v>
      </c>
      <c r="D1134" s="1" t="str">
        <f xml:space="preserve"> TEXT(FilmaxData[[#This Row],[Show_Date]],"MMM")</f>
        <v>Sep</v>
      </c>
      <c r="E1134" s="1" t="str">
        <f xml:space="preserve"> TEXT(FilmaxData[[#This Row],[Show_Date]],"DDD")</f>
        <v>Sat</v>
      </c>
      <c r="F1134" t="s">
        <v>11</v>
      </c>
      <c r="G1134" t="s">
        <v>17</v>
      </c>
      <c r="H1134">
        <v>5</v>
      </c>
      <c r="I1134">
        <v>12</v>
      </c>
      <c r="J1134" t="s">
        <v>23</v>
      </c>
      <c r="K1134" t="s">
        <v>18</v>
      </c>
      <c r="L1134">
        <v>60</v>
      </c>
    </row>
    <row r="1135" spans="1:12" x14ac:dyDescent="0.3">
      <c r="A1135">
        <v>24</v>
      </c>
      <c r="B1135" t="s">
        <v>19</v>
      </c>
      <c r="C1135" s="1">
        <v>45927</v>
      </c>
      <c r="D1135" s="1" t="str">
        <f xml:space="preserve"> TEXT(FilmaxData[[#This Row],[Show_Date]],"MMM")</f>
        <v>Sep</v>
      </c>
      <c r="E1135" s="1" t="str">
        <f xml:space="preserve"> TEXT(FilmaxData[[#This Row],[Show_Date]],"DDD")</f>
        <v>Sat</v>
      </c>
      <c r="F1135" t="s">
        <v>33</v>
      </c>
      <c r="G1135" t="s">
        <v>17</v>
      </c>
      <c r="H1135">
        <v>1</v>
      </c>
      <c r="I1135">
        <v>12</v>
      </c>
      <c r="J1135" t="s">
        <v>23</v>
      </c>
      <c r="K1135" t="s">
        <v>18</v>
      </c>
      <c r="L1135">
        <v>12</v>
      </c>
    </row>
    <row r="1136" spans="1:12" x14ac:dyDescent="0.3">
      <c r="A1136">
        <v>1631</v>
      </c>
      <c r="B1136" t="s">
        <v>28</v>
      </c>
      <c r="C1136" s="1">
        <v>45857</v>
      </c>
      <c r="D1136" s="1" t="str">
        <f xml:space="preserve"> TEXT(FilmaxData[[#This Row],[Show_Date]],"MMM")</f>
        <v>Jul</v>
      </c>
      <c r="E1136" s="1" t="str">
        <f xml:space="preserve"> TEXT(FilmaxData[[#This Row],[Show_Date]],"DDD")</f>
        <v>Sat</v>
      </c>
      <c r="F1136" t="s">
        <v>16</v>
      </c>
      <c r="G1136" t="s">
        <v>30</v>
      </c>
      <c r="H1136">
        <v>1</v>
      </c>
      <c r="I1136">
        <v>8</v>
      </c>
      <c r="J1136" t="s">
        <v>23</v>
      </c>
      <c r="K1136" t="s">
        <v>18</v>
      </c>
      <c r="L1136">
        <v>8</v>
      </c>
    </row>
    <row r="1137" spans="1:12" x14ac:dyDescent="0.3">
      <c r="A1137">
        <v>77</v>
      </c>
      <c r="B1137" t="s">
        <v>31</v>
      </c>
      <c r="C1137" s="1">
        <v>45848</v>
      </c>
      <c r="D1137" s="1" t="str">
        <f xml:space="preserve"> TEXT(FilmaxData[[#This Row],[Show_Date]],"MMM")</f>
        <v>Jul</v>
      </c>
      <c r="E1137" s="1" t="str">
        <f xml:space="preserve"> TEXT(FilmaxData[[#This Row],[Show_Date]],"DDD")</f>
        <v>Thu</v>
      </c>
      <c r="F1137" t="s">
        <v>16</v>
      </c>
      <c r="G1137" t="s">
        <v>17</v>
      </c>
      <c r="H1137">
        <v>1</v>
      </c>
      <c r="I1137">
        <v>12</v>
      </c>
      <c r="J1137" t="s">
        <v>21</v>
      </c>
      <c r="K1137" t="s">
        <v>18</v>
      </c>
      <c r="L1137">
        <v>12</v>
      </c>
    </row>
    <row r="1138" spans="1:12" x14ac:dyDescent="0.3">
      <c r="A1138">
        <v>813</v>
      </c>
      <c r="B1138" t="s">
        <v>24</v>
      </c>
      <c r="C1138" s="1">
        <v>45847</v>
      </c>
      <c r="D1138" s="1" t="str">
        <f xml:space="preserve"> TEXT(FilmaxData[[#This Row],[Show_Date]],"MMM")</f>
        <v>Jul</v>
      </c>
      <c r="E1138" s="1" t="str">
        <f xml:space="preserve"> TEXT(FilmaxData[[#This Row],[Show_Date]],"DDD")</f>
        <v>Wed</v>
      </c>
      <c r="F1138" t="s">
        <v>33</v>
      </c>
      <c r="G1138" t="s">
        <v>30</v>
      </c>
      <c r="H1138">
        <v>3</v>
      </c>
      <c r="I1138">
        <v>8</v>
      </c>
      <c r="J1138" t="s">
        <v>21</v>
      </c>
      <c r="K1138" t="s">
        <v>18</v>
      </c>
      <c r="L1138">
        <v>24</v>
      </c>
    </row>
    <row r="1139" spans="1:12" x14ac:dyDescent="0.3">
      <c r="A1139">
        <v>470</v>
      </c>
      <c r="B1139" t="s">
        <v>31</v>
      </c>
      <c r="C1139" s="1">
        <v>45921</v>
      </c>
      <c r="D1139" s="1" t="str">
        <f xml:space="preserve"> TEXT(FilmaxData[[#This Row],[Show_Date]],"MMM")</f>
        <v>Sep</v>
      </c>
      <c r="E1139" s="1" t="str">
        <f xml:space="preserve"> TEXT(FilmaxData[[#This Row],[Show_Date]],"DDD")</f>
        <v>Sun</v>
      </c>
      <c r="F1139" t="s">
        <v>16</v>
      </c>
      <c r="G1139" t="s">
        <v>12</v>
      </c>
      <c r="H1139">
        <v>3</v>
      </c>
      <c r="I1139">
        <v>25</v>
      </c>
      <c r="J1139" t="s">
        <v>21</v>
      </c>
      <c r="K1139" t="s">
        <v>18</v>
      </c>
      <c r="L1139">
        <v>75</v>
      </c>
    </row>
    <row r="1140" spans="1:12" x14ac:dyDescent="0.3">
      <c r="A1140">
        <v>541</v>
      </c>
      <c r="B1140" t="s">
        <v>28</v>
      </c>
      <c r="C1140" s="1">
        <v>45864</v>
      </c>
      <c r="D1140" s="1" t="str">
        <f xml:space="preserve"> TEXT(FilmaxData[[#This Row],[Show_Date]],"MMM")</f>
        <v>Jul</v>
      </c>
      <c r="E1140" s="1" t="str">
        <f xml:space="preserve"> TEXT(FilmaxData[[#This Row],[Show_Date]],"DDD")</f>
        <v>Sat</v>
      </c>
      <c r="F1140" t="s">
        <v>33</v>
      </c>
      <c r="G1140" t="s">
        <v>30</v>
      </c>
      <c r="H1140">
        <v>1</v>
      </c>
      <c r="I1140">
        <v>8</v>
      </c>
      <c r="J1140" t="s">
        <v>13</v>
      </c>
      <c r="K1140" t="s">
        <v>18</v>
      </c>
      <c r="L1140">
        <v>8</v>
      </c>
    </row>
    <row r="1141" spans="1:12" x14ac:dyDescent="0.3">
      <c r="A1141">
        <v>1993</v>
      </c>
      <c r="B1141" t="s">
        <v>32</v>
      </c>
      <c r="C1141" s="1">
        <v>45852</v>
      </c>
      <c r="D1141" s="1" t="str">
        <f xml:space="preserve"> TEXT(FilmaxData[[#This Row],[Show_Date]],"MMM")</f>
        <v>Jul</v>
      </c>
      <c r="E1141" s="1" t="str">
        <f xml:space="preserve"> TEXT(FilmaxData[[#This Row],[Show_Date]],"DDD")</f>
        <v>Mon</v>
      </c>
      <c r="F1141" t="s">
        <v>16</v>
      </c>
      <c r="G1141" t="s">
        <v>30</v>
      </c>
      <c r="H1141">
        <v>2</v>
      </c>
      <c r="I1141">
        <v>8</v>
      </c>
      <c r="J1141" t="s">
        <v>23</v>
      </c>
      <c r="K1141" t="s">
        <v>18</v>
      </c>
      <c r="L1141">
        <v>16</v>
      </c>
    </row>
    <row r="1142" spans="1:12" x14ac:dyDescent="0.3">
      <c r="A1142">
        <v>999</v>
      </c>
      <c r="B1142" t="s">
        <v>19</v>
      </c>
      <c r="C1142" s="1">
        <v>45881</v>
      </c>
      <c r="D1142" s="1" t="str">
        <f xml:space="preserve"> TEXT(FilmaxData[[#This Row],[Show_Date]],"MMM")</f>
        <v>Aug</v>
      </c>
      <c r="E1142" s="1" t="str">
        <f xml:space="preserve"> TEXT(FilmaxData[[#This Row],[Show_Date]],"DDD")</f>
        <v>Tue</v>
      </c>
      <c r="F1142" t="s">
        <v>20</v>
      </c>
      <c r="G1142" t="s">
        <v>17</v>
      </c>
      <c r="H1142">
        <v>5</v>
      </c>
      <c r="I1142">
        <v>12</v>
      </c>
      <c r="J1142" t="s">
        <v>21</v>
      </c>
      <c r="K1142" t="s">
        <v>18</v>
      </c>
      <c r="L1142">
        <v>60</v>
      </c>
    </row>
    <row r="1143" spans="1:12" x14ac:dyDescent="0.3">
      <c r="A1143">
        <v>1643</v>
      </c>
      <c r="B1143" t="s">
        <v>15</v>
      </c>
      <c r="C1143" s="1">
        <v>45893</v>
      </c>
      <c r="D1143" s="1" t="str">
        <f xml:space="preserve"> TEXT(FilmaxData[[#This Row],[Show_Date]],"MMM")</f>
        <v>Aug</v>
      </c>
      <c r="E1143" s="1" t="str">
        <f xml:space="preserve"> TEXT(FilmaxData[[#This Row],[Show_Date]],"DDD")</f>
        <v>Sun</v>
      </c>
      <c r="F1143" t="s">
        <v>33</v>
      </c>
      <c r="G1143" t="s">
        <v>17</v>
      </c>
      <c r="H1143">
        <v>5</v>
      </c>
      <c r="I1143">
        <v>12</v>
      </c>
      <c r="J1143" t="s">
        <v>13</v>
      </c>
      <c r="K1143" t="s">
        <v>18</v>
      </c>
      <c r="L1143">
        <v>60</v>
      </c>
    </row>
    <row r="1144" spans="1:12" x14ac:dyDescent="0.3">
      <c r="A1144">
        <v>1315</v>
      </c>
      <c r="B1144" t="s">
        <v>10</v>
      </c>
      <c r="C1144" s="1">
        <v>45885</v>
      </c>
      <c r="D1144" s="1" t="str">
        <f xml:space="preserve"> TEXT(FilmaxData[[#This Row],[Show_Date]],"MMM")</f>
        <v>Aug</v>
      </c>
      <c r="E1144" s="1" t="str">
        <f xml:space="preserve"> TEXT(FilmaxData[[#This Row],[Show_Date]],"DDD")</f>
        <v>Sat</v>
      </c>
      <c r="F1144" t="s">
        <v>11</v>
      </c>
      <c r="G1144" t="s">
        <v>17</v>
      </c>
      <c r="H1144">
        <v>4</v>
      </c>
      <c r="I1144">
        <v>12</v>
      </c>
      <c r="J1144" t="s">
        <v>21</v>
      </c>
      <c r="K1144" t="s">
        <v>18</v>
      </c>
      <c r="L1144">
        <v>48</v>
      </c>
    </row>
    <row r="1145" spans="1:12" x14ac:dyDescent="0.3">
      <c r="A1145">
        <v>955</v>
      </c>
      <c r="B1145" t="s">
        <v>32</v>
      </c>
      <c r="C1145" s="1">
        <v>45841</v>
      </c>
      <c r="D1145" s="1" t="str">
        <f xml:space="preserve"> TEXT(FilmaxData[[#This Row],[Show_Date]],"MMM")</f>
        <v>Jul</v>
      </c>
      <c r="E1145" s="1" t="str">
        <f xml:space="preserve"> TEXT(FilmaxData[[#This Row],[Show_Date]],"DDD")</f>
        <v>Thu</v>
      </c>
      <c r="F1145" t="s">
        <v>20</v>
      </c>
      <c r="G1145" t="s">
        <v>29</v>
      </c>
      <c r="H1145">
        <v>3</v>
      </c>
      <c r="I1145">
        <v>30</v>
      </c>
      <c r="J1145" t="s">
        <v>21</v>
      </c>
      <c r="K1145" t="s">
        <v>18</v>
      </c>
      <c r="L1145">
        <v>90</v>
      </c>
    </row>
    <row r="1146" spans="1:12" x14ac:dyDescent="0.3">
      <c r="A1146">
        <v>232</v>
      </c>
      <c r="B1146" t="s">
        <v>31</v>
      </c>
      <c r="C1146" s="1">
        <v>45843</v>
      </c>
      <c r="D1146" s="1" t="str">
        <f xml:space="preserve"> TEXT(FilmaxData[[#This Row],[Show_Date]],"MMM")</f>
        <v>Jul</v>
      </c>
      <c r="E1146" s="1" t="str">
        <f xml:space="preserve"> TEXT(FilmaxData[[#This Row],[Show_Date]],"DDD")</f>
        <v>Sat</v>
      </c>
      <c r="F1146" t="s">
        <v>33</v>
      </c>
      <c r="G1146" t="s">
        <v>17</v>
      </c>
      <c r="H1146">
        <v>3</v>
      </c>
      <c r="I1146">
        <v>12</v>
      </c>
      <c r="J1146" t="s">
        <v>23</v>
      </c>
      <c r="K1146" t="s">
        <v>18</v>
      </c>
      <c r="L1146">
        <v>36</v>
      </c>
    </row>
    <row r="1147" spans="1:12" x14ac:dyDescent="0.3">
      <c r="A1147">
        <v>1754</v>
      </c>
      <c r="B1147" t="s">
        <v>28</v>
      </c>
      <c r="C1147" s="1">
        <v>45921</v>
      </c>
      <c r="D1147" s="1" t="str">
        <f xml:space="preserve"> TEXT(FilmaxData[[#This Row],[Show_Date]],"MMM")</f>
        <v>Sep</v>
      </c>
      <c r="E1147" s="1" t="str">
        <f xml:space="preserve"> TEXT(FilmaxData[[#This Row],[Show_Date]],"DDD")</f>
        <v>Sun</v>
      </c>
      <c r="F1147" t="s">
        <v>33</v>
      </c>
      <c r="G1147" t="s">
        <v>30</v>
      </c>
      <c r="H1147">
        <v>4</v>
      </c>
      <c r="I1147">
        <v>8</v>
      </c>
      <c r="J1147" t="s">
        <v>13</v>
      </c>
      <c r="K1147" t="s">
        <v>18</v>
      </c>
      <c r="L1147">
        <v>32</v>
      </c>
    </row>
    <row r="1148" spans="1:12" x14ac:dyDescent="0.3">
      <c r="A1148">
        <v>1564</v>
      </c>
      <c r="B1148" t="s">
        <v>26</v>
      </c>
      <c r="C1148" s="1">
        <v>45920</v>
      </c>
      <c r="D1148" s="1" t="str">
        <f xml:space="preserve"> TEXT(FilmaxData[[#This Row],[Show_Date]],"MMM")</f>
        <v>Sep</v>
      </c>
      <c r="E1148" s="1" t="str">
        <f xml:space="preserve"> TEXT(FilmaxData[[#This Row],[Show_Date]],"DDD")</f>
        <v>Sat</v>
      </c>
      <c r="F1148" t="s">
        <v>16</v>
      </c>
      <c r="G1148" t="s">
        <v>17</v>
      </c>
      <c r="H1148">
        <v>1</v>
      </c>
      <c r="I1148">
        <v>12</v>
      </c>
      <c r="J1148" t="s">
        <v>21</v>
      </c>
      <c r="K1148" t="s">
        <v>18</v>
      </c>
      <c r="L1148">
        <v>12</v>
      </c>
    </row>
    <row r="1149" spans="1:12" x14ac:dyDescent="0.3">
      <c r="A1149">
        <v>1042</v>
      </c>
      <c r="B1149" t="s">
        <v>26</v>
      </c>
      <c r="C1149" s="1">
        <v>45892</v>
      </c>
      <c r="D1149" s="1" t="str">
        <f xml:space="preserve"> TEXT(FilmaxData[[#This Row],[Show_Date]],"MMM")</f>
        <v>Aug</v>
      </c>
      <c r="E1149" s="1" t="str">
        <f xml:space="preserve"> TEXT(FilmaxData[[#This Row],[Show_Date]],"DDD")</f>
        <v>Sat</v>
      </c>
      <c r="F1149" t="s">
        <v>16</v>
      </c>
      <c r="G1149" t="s">
        <v>29</v>
      </c>
      <c r="H1149">
        <v>5</v>
      </c>
      <c r="I1149">
        <v>30</v>
      </c>
      <c r="J1149" t="s">
        <v>23</v>
      </c>
      <c r="K1149" t="s">
        <v>18</v>
      </c>
      <c r="L1149">
        <v>150</v>
      </c>
    </row>
    <row r="1150" spans="1:12" x14ac:dyDescent="0.3">
      <c r="A1150">
        <v>1217</v>
      </c>
      <c r="B1150" t="s">
        <v>10</v>
      </c>
      <c r="C1150" s="1">
        <v>45902</v>
      </c>
      <c r="D1150" s="1" t="str">
        <f xml:space="preserve"> TEXT(FilmaxData[[#This Row],[Show_Date]],"MMM")</f>
        <v>Sep</v>
      </c>
      <c r="E1150" s="1" t="str">
        <f xml:space="preserve"> TEXT(FilmaxData[[#This Row],[Show_Date]],"DDD")</f>
        <v>Tue</v>
      </c>
      <c r="F1150" t="s">
        <v>11</v>
      </c>
      <c r="G1150" t="s">
        <v>17</v>
      </c>
      <c r="H1150">
        <v>5</v>
      </c>
      <c r="I1150">
        <v>12</v>
      </c>
      <c r="J1150" t="s">
        <v>21</v>
      </c>
      <c r="K1150" t="s">
        <v>18</v>
      </c>
      <c r="L1150">
        <v>60</v>
      </c>
    </row>
    <row r="1151" spans="1:12" x14ac:dyDescent="0.3">
      <c r="A1151">
        <v>993</v>
      </c>
      <c r="B1151" t="s">
        <v>26</v>
      </c>
      <c r="C1151" s="1">
        <v>45872</v>
      </c>
      <c r="D1151" s="1" t="str">
        <f xml:space="preserve"> TEXT(FilmaxData[[#This Row],[Show_Date]],"MMM")</f>
        <v>Aug</v>
      </c>
      <c r="E1151" s="1" t="str">
        <f xml:space="preserve"> TEXT(FilmaxData[[#This Row],[Show_Date]],"DDD")</f>
        <v>Sun</v>
      </c>
      <c r="F1151" t="s">
        <v>20</v>
      </c>
      <c r="G1151" t="s">
        <v>12</v>
      </c>
      <c r="H1151">
        <v>2</v>
      </c>
      <c r="I1151">
        <v>25</v>
      </c>
      <c r="J1151" t="s">
        <v>21</v>
      </c>
      <c r="K1151" t="s">
        <v>18</v>
      </c>
      <c r="L1151">
        <v>50</v>
      </c>
    </row>
    <row r="1152" spans="1:12" x14ac:dyDescent="0.3">
      <c r="A1152">
        <v>1403</v>
      </c>
      <c r="B1152" t="s">
        <v>24</v>
      </c>
      <c r="C1152" s="1">
        <v>45898</v>
      </c>
      <c r="D1152" s="1" t="str">
        <f xml:space="preserve"> TEXT(FilmaxData[[#This Row],[Show_Date]],"MMM")</f>
        <v>Aug</v>
      </c>
      <c r="E1152" s="1" t="str">
        <f xml:space="preserve"> TEXT(FilmaxData[[#This Row],[Show_Date]],"DDD")</f>
        <v>Fri</v>
      </c>
      <c r="F1152" t="s">
        <v>16</v>
      </c>
      <c r="G1152" t="s">
        <v>29</v>
      </c>
      <c r="H1152">
        <v>1</v>
      </c>
      <c r="I1152">
        <v>30</v>
      </c>
      <c r="J1152" t="s">
        <v>21</v>
      </c>
      <c r="K1152" t="s">
        <v>18</v>
      </c>
      <c r="L1152">
        <v>30</v>
      </c>
    </row>
    <row r="1153" spans="1:12" x14ac:dyDescent="0.3">
      <c r="A1153">
        <v>115</v>
      </c>
      <c r="B1153" t="s">
        <v>28</v>
      </c>
      <c r="C1153" s="1">
        <v>45843</v>
      </c>
      <c r="D1153" s="1" t="str">
        <f xml:space="preserve"> TEXT(FilmaxData[[#This Row],[Show_Date]],"MMM")</f>
        <v>Jul</v>
      </c>
      <c r="E1153" s="1" t="str">
        <f xml:space="preserve"> TEXT(FilmaxData[[#This Row],[Show_Date]],"DDD")</f>
        <v>Sat</v>
      </c>
      <c r="F1153" t="s">
        <v>33</v>
      </c>
      <c r="G1153" t="s">
        <v>30</v>
      </c>
      <c r="H1153">
        <v>1</v>
      </c>
      <c r="I1153">
        <v>8</v>
      </c>
      <c r="J1153" t="s">
        <v>23</v>
      </c>
      <c r="K1153" t="s">
        <v>18</v>
      </c>
      <c r="L1153">
        <v>8</v>
      </c>
    </row>
    <row r="1154" spans="1:12" x14ac:dyDescent="0.3">
      <c r="A1154">
        <v>848</v>
      </c>
      <c r="B1154" t="s">
        <v>26</v>
      </c>
      <c r="C1154" s="1">
        <v>45928</v>
      </c>
      <c r="D1154" s="1" t="str">
        <f xml:space="preserve"> TEXT(FilmaxData[[#This Row],[Show_Date]],"MMM")</f>
        <v>Sep</v>
      </c>
      <c r="E1154" s="1" t="str">
        <f xml:space="preserve"> TEXT(FilmaxData[[#This Row],[Show_Date]],"DDD")</f>
        <v>Sun</v>
      </c>
      <c r="F1154" t="s">
        <v>16</v>
      </c>
      <c r="G1154" t="s">
        <v>17</v>
      </c>
      <c r="H1154">
        <v>2</v>
      </c>
      <c r="I1154">
        <v>12</v>
      </c>
      <c r="J1154" t="s">
        <v>13</v>
      </c>
      <c r="K1154" t="s">
        <v>18</v>
      </c>
      <c r="L1154">
        <v>24</v>
      </c>
    </row>
    <row r="1155" spans="1:12" x14ac:dyDescent="0.3">
      <c r="A1155">
        <v>155</v>
      </c>
      <c r="B1155" t="s">
        <v>15</v>
      </c>
      <c r="C1155" s="1">
        <v>45886</v>
      </c>
      <c r="D1155" s="1" t="str">
        <f xml:space="preserve"> TEXT(FilmaxData[[#This Row],[Show_Date]],"MMM")</f>
        <v>Aug</v>
      </c>
      <c r="E1155" s="1" t="str">
        <f xml:space="preserve"> TEXT(FilmaxData[[#This Row],[Show_Date]],"DDD")</f>
        <v>Sun</v>
      </c>
      <c r="F1155" t="s">
        <v>16</v>
      </c>
      <c r="G1155" t="s">
        <v>17</v>
      </c>
      <c r="H1155">
        <v>2</v>
      </c>
      <c r="I1155">
        <v>12</v>
      </c>
      <c r="J1155" t="s">
        <v>13</v>
      </c>
      <c r="K1155" t="s">
        <v>18</v>
      </c>
      <c r="L1155">
        <v>24</v>
      </c>
    </row>
    <row r="1156" spans="1:12" x14ac:dyDescent="0.3">
      <c r="A1156">
        <v>231</v>
      </c>
      <c r="B1156" t="s">
        <v>10</v>
      </c>
      <c r="C1156" s="1">
        <v>45911</v>
      </c>
      <c r="D1156" s="1" t="str">
        <f xml:space="preserve"> TEXT(FilmaxData[[#This Row],[Show_Date]],"MMM")</f>
        <v>Sep</v>
      </c>
      <c r="E1156" s="1" t="str">
        <f xml:space="preserve"> TEXT(FilmaxData[[#This Row],[Show_Date]],"DDD")</f>
        <v>Thu</v>
      </c>
      <c r="F1156" t="s">
        <v>20</v>
      </c>
      <c r="G1156" t="s">
        <v>30</v>
      </c>
      <c r="H1156">
        <v>1</v>
      </c>
      <c r="I1156">
        <v>8</v>
      </c>
      <c r="J1156" t="s">
        <v>23</v>
      </c>
      <c r="K1156" t="s">
        <v>18</v>
      </c>
      <c r="L1156">
        <v>8</v>
      </c>
    </row>
    <row r="1157" spans="1:12" x14ac:dyDescent="0.3">
      <c r="A1157">
        <v>309</v>
      </c>
      <c r="B1157" t="s">
        <v>19</v>
      </c>
      <c r="C1157" s="1">
        <v>45849</v>
      </c>
      <c r="D1157" s="1" t="str">
        <f xml:space="preserve"> TEXT(FilmaxData[[#This Row],[Show_Date]],"MMM")</f>
        <v>Jul</v>
      </c>
      <c r="E1157" s="1" t="str">
        <f xml:space="preserve"> TEXT(FilmaxData[[#This Row],[Show_Date]],"DDD")</f>
        <v>Fri</v>
      </c>
      <c r="F1157" t="s">
        <v>11</v>
      </c>
      <c r="G1157" t="s">
        <v>17</v>
      </c>
      <c r="H1157">
        <v>2</v>
      </c>
      <c r="I1157">
        <v>12</v>
      </c>
      <c r="J1157" t="s">
        <v>23</v>
      </c>
      <c r="K1157" t="s">
        <v>18</v>
      </c>
      <c r="L1157">
        <v>24</v>
      </c>
    </row>
    <row r="1158" spans="1:12" x14ac:dyDescent="0.3">
      <c r="A1158">
        <v>245</v>
      </c>
      <c r="B1158" t="s">
        <v>28</v>
      </c>
      <c r="C1158" s="1">
        <v>45866</v>
      </c>
      <c r="D1158" s="1" t="str">
        <f xml:space="preserve"> TEXT(FilmaxData[[#This Row],[Show_Date]],"MMM")</f>
        <v>Jul</v>
      </c>
      <c r="E1158" s="1" t="str">
        <f xml:space="preserve"> TEXT(FilmaxData[[#This Row],[Show_Date]],"DDD")</f>
        <v>Mon</v>
      </c>
      <c r="F1158" t="s">
        <v>16</v>
      </c>
      <c r="G1158" t="s">
        <v>22</v>
      </c>
      <c r="H1158">
        <v>3</v>
      </c>
      <c r="I1158">
        <v>20</v>
      </c>
      <c r="J1158" t="s">
        <v>13</v>
      </c>
      <c r="K1158" t="s">
        <v>27</v>
      </c>
      <c r="L1158">
        <v>60</v>
      </c>
    </row>
    <row r="1159" spans="1:12" x14ac:dyDescent="0.3">
      <c r="A1159">
        <v>699</v>
      </c>
      <c r="B1159" t="s">
        <v>26</v>
      </c>
      <c r="C1159" s="1">
        <v>45841</v>
      </c>
      <c r="D1159" s="1" t="str">
        <f xml:space="preserve"> TEXT(FilmaxData[[#This Row],[Show_Date]],"MMM")</f>
        <v>Jul</v>
      </c>
      <c r="E1159" s="1" t="str">
        <f xml:space="preserve"> TEXT(FilmaxData[[#This Row],[Show_Date]],"DDD")</f>
        <v>Thu</v>
      </c>
      <c r="F1159" t="s">
        <v>16</v>
      </c>
      <c r="G1159" t="s">
        <v>30</v>
      </c>
      <c r="H1159">
        <v>4</v>
      </c>
      <c r="I1159">
        <v>8</v>
      </c>
      <c r="J1159" t="s">
        <v>23</v>
      </c>
      <c r="K1159" t="s">
        <v>25</v>
      </c>
      <c r="L1159">
        <v>32</v>
      </c>
    </row>
    <row r="1160" spans="1:12" x14ac:dyDescent="0.3">
      <c r="A1160">
        <v>1913</v>
      </c>
      <c r="B1160" t="s">
        <v>26</v>
      </c>
      <c r="C1160" s="1">
        <v>45901</v>
      </c>
      <c r="D1160" s="1" t="str">
        <f xml:space="preserve"> TEXT(FilmaxData[[#This Row],[Show_Date]],"MMM")</f>
        <v>Sep</v>
      </c>
      <c r="E1160" s="1" t="str">
        <f xml:space="preserve"> TEXT(FilmaxData[[#This Row],[Show_Date]],"DDD")</f>
        <v>Mon</v>
      </c>
      <c r="F1160" t="s">
        <v>33</v>
      </c>
      <c r="G1160" t="s">
        <v>17</v>
      </c>
      <c r="H1160">
        <v>4</v>
      </c>
      <c r="I1160">
        <v>12</v>
      </c>
      <c r="J1160" t="s">
        <v>21</v>
      </c>
      <c r="K1160" t="s">
        <v>18</v>
      </c>
      <c r="L1160">
        <v>48</v>
      </c>
    </row>
    <row r="1161" spans="1:12" x14ac:dyDescent="0.3">
      <c r="A1161">
        <v>552</v>
      </c>
      <c r="B1161" t="s">
        <v>31</v>
      </c>
      <c r="C1161" s="1">
        <v>45886</v>
      </c>
      <c r="D1161" s="1" t="str">
        <f xml:space="preserve"> TEXT(FilmaxData[[#This Row],[Show_Date]],"MMM")</f>
        <v>Aug</v>
      </c>
      <c r="E1161" s="1" t="str">
        <f xml:space="preserve"> TEXT(FilmaxData[[#This Row],[Show_Date]],"DDD")</f>
        <v>Sun</v>
      </c>
      <c r="F1161" t="s">
        <v>33</v>
      </c>
      <c r="G1161" t="s">
        <v>17</v>
      </c>
      <c r="H1161">
        <v>1</v>
      </c>
      <c r="I1161">
        <v>12</v>
      </c>
      <c r="J1161" t="s">
        <v>13</v>
      </c>
      <c r="K1161" t="s">
        <v>27</v>
      </c>
      <c r="L1161">
        <v>12</v>
      </c>
    </row>
    <row r="1162" spans="1:12" x14ac:dyDescent="0.3">
      <c r="A1162">
        <v>215</v>
      </c>
      <c r="B1162" t="s">
        <v>32</v>
      </c>
      <c r="C1162" s="1">
        <v>45919</v>
      </c>
      <c r="D1162" s="1" t="str">
        <f xml:space="preserve"> TEXT(FilmaxData[[#This Row],[Show_Date]],"MMM")</f>
        <v>Sep</v>
      </c>
      <c r="E1162" s="1" t="str">
        <f xml:space="preserve"> TEXT(FilmaxData[[#This Row],[Show_Date]],"DDD")</f>
        <v>Fri</v>
      </c>
      <c r="F1162" t="s">
        <v>20</v>
      </c>
      <c r="G1162" t="s">
        <v>30</v>
      </c>
      <c r="H1162">
        <v>3</v>
      </c>
      <c r="I1162">
        <v>8</v>
      </c>
      <c r="J1162" t="s">
        <v>21</v>
      </c>
      <c r="K1162" t="s">
        <v>18</v>
      </c>
      <c r="L1162">
        <v>24</v>
      </c>
    </row>
    <row r="1163" spans="1:12" x14ac:dyDescent="0.3">
      <c r="A1163">
        <v>1210</v>
      </c>
      <c r="B1163" t="s">
        <v>15</v>
      </c>
      <c r="C1163" s="1">
        <v>45902</v>
      </c>
      <c r="D1163" s="1" t="str">
        <f xml:space="preserve"> TEXT(FilmaxData[[#This Row],[Show_Date]],"MMM")</f>
        <v>Sep</v>
      </c>
      <c r="E1163" s="1" t="str">
        <f xml:space="preserve"> TEXT(FilmaxData[[#This Row],[Show_Date]],"DDD")</f>
        <v>Tue</v>
      </c>
      <c r="F1163" t="s">
        <v>33</v>
      </c>
      <c r="G1163" t="s">
        <v>12</v>
      </c>
      <c r="H1163">
        <v>2</v>
      </c>
      <c r="I1163">
        <v>25</v>
      </c>
      <c r="J1163" t="s">
        <v>13</v>
      </c>
      <c r="K1163" t="s">
        <v>27</v>
      </c>
      <c r="L1163">
        <v>50</v>
      </c>
    </row>
    <row r="1164" spans="1:12" x14ac:dyDescent="0.3">
      <c r="A1164">
        <v>656</v>
      </c>
      <c r="B1164" t="s">
        <v>15</v>
      </c>
      <c r="C1164" s="1">
        <v>45927</v>
      </c>
      <c r="D1164" s="1" t="str">
        <f xml:space="preserve"> TEXT(FilmaxData[[#This Row],[Show_Date]],"MMM")</f>
        <v>Sep</v>
      </c>
      <c r="E1164" s="1" t="str">
        <f xml:space="preserve"> TEXT(FilmaxData[[#This Row],[Show_Date]],"DDD")</f>
        <v>Sat</v>
      </c>
      <c r="F1164" t="s">
        <v>33</v>
      </c>
      <c r="G1164" t="s">
        <v>17</v>
      </c>
      <c r="H1164">
        <v>1</v>
      </c>
      <c r="I1164">
        <v>12</v>
      </c>
      <c r="J1164" t="s">
        <v>21</v>
      </c>
      <c r="K1164" t="s">
        <v>14</v>
      </c>
      <c r="L1164">
        <v>12</v>
      </c>
    </row>
    <row r="1165" spans="1:12" x14ac:dyDescent="0.3">
      <c r="A1165">
        <v>88</v>
      </c>
      <c r="B1165" t="s">
        <v>24</v>
      </c>
      <c r="C1165" s="1">
        <v>45850</v>
      </c>
      <c r="D1165" s="1" t="str">
        <f xml:space="preserve"> TEXT(FilmaxData[[#This Row],[Show_Date]],"MMM")</f>
        <v>Jul</v>
      </c>
      <c r="E1165" s="1" t="str">
        <f xml:space="preserve"> TEXT(FilmaxData[[#This Row],[Show_Date]],"DDD")</f>
        <v>Sat</v>
      </c>
      <c r="F1165" t="s">
        <v>33</v>
      </c>
      <c r="G1165" t="s">
        <v>30</v>
      </c>
      <c r="H1165">
        <v>2</v>
      </c>
      <c r="I1165">
        <v>8</v>
      </c>
      <c r="J1165" t="s">
        <v>13</v>
      </c>
      <c r="K1165" t="s">
        <v>27</v>
      </c>
      <c r="L1165">
        <v>16</v>
      </c>
    </row>
    <row r="1166" spans="1:12" x14ac:dyDescent="0.3">
      <c r="A1166">
        <v>419</v>
      </c>
      <c r="B1166" t="s">
        <v>19</v>
      </c>
      <c r="C1166" s="1">
        <v>45846</v>
      </c>
      <c r="D1166" s="1" t="str">
        <f xml:space="preserve"> TEXT(FilmaxData[[#This Row],[Show_Date]],"MMM")</f>
        <v>Jul</v>
      </c>
      <c r="E1166" s="1" t="str">
        <f xml:space="preserve"> TEXT(FilmaxData[[#This Row],[Show_Date]],"DDD")</f>
        <v>Tue</v>
      </c>
      <c r="F1166" t="s">
        <v>33</v>
      </c>
      <c r="G1166" t="s">
        <v>17</v>
      </c>
      <c r="H1166">
        <v>5</v>
      </c>
      <c r="I1166">
        <v>12</v>
      </c>
      <c r="J1166" t="s">
        <v>13</v>
      </c>
      <c r="K1166" t="s">
        <v>14</v>
      </c>
      <c r="L1166">
        <v>60</v>
      </c>
    </row>
    <row r="1167" spans="1:12" x14ac:dyDescent="0.3">
      <c r="A1167">
        <v>697</v>
      </c>
      <c r="B1167" t="s">
        <v>28</v>
      </c>
      <c r="C1167" s="1">
        <v>45847</v>
      </c>
      <c r="D1167" s="1" t="str">
        <f xml:space="preserve"> TEXT(FilmaxData[[#This Row],[Show_Date]],"MMM")</f>
        <v>Jul</v>
      </c>
      <c r="E1167" s="1" t="str">
        <f xml:space="preserve"> TEXT(FilmaxData[[#This Row],[Show_Date]],"DDD")</f>
        <v>Wed</v>
      </c>
      <c r="F1167" t="s">
        <v>16</v>
      </c>
      <c r="G1167" t="s">
        <v>30</v>
      </c>
      <c r="H1167">
        <v>1</v>
      </c>
      <c r="I1167">
        <v>8</v>
      </c>
      <c r="J1167" t="s">
        <v>23</v>
      </c>
      <c r="K1167" t="s">
        <v>14</v>
      </c>
      <c r="L1167">
        <v>8</v>
      </c>
    </row>
    <row r="1168" spans="1:12" x14ac:dyDescent="0.3">
      <c r="A1168">
        <v>1080</v>
      </c>
      <c r="B1168" t="s">
        <v>24</v>
      </c>
      <c r="C1168" s="1">
        <v>45927</v>
      </c>
      <c r="D1168" s="1" t="str">
        <f xml:space="preserve"> TEXT(FilmaxData[[#This Row],[Show_Date]],"MMM")</f>
        <v>Sep</v>
      </c>
      <c r="E1168" s="1" t="str">
        <f xml:space="preserve"> TEXT(FilmaxData[[#This Row],[Show_Date]],"DDD")</f>
        <v>Sat</v>
      </c>
      <c r="F1168" t="s">
        <v>11</v>
      </c>
      <c r="G1168" t="s">
        <v>29</v>
      </c>
      <c r="H1168">
        <v>1</v>
      </c>
      <c r="I1168">
        <v>30</v>
      </c>
      <c r="J1168" t="s">
        <v>21</v>
      </c>
      <c r="K1168" t="s">
        <v>25</v>
      </c>
      <c r="L1168">
        <v>30</v>
      </c>
    </row>
    <row r="1169" spans="1:12" x14ac:dyDescent="0.3">
      <c r="A1169">
        <v>440</v>
      </c>
      <c r="B1169" t="s">
        <v>32</v>
      </c>
      <c r="C1169" s="1">
        <v>45916</v>
      </c>
      <c r="D1169" s="1" t="str">
        <f xml:space="preserve"> TEXT(FilmaxData[[#This Row],[Show_Date]],"MMM")</f>
        <v>Sep</v>
      </c>
      <c r="E1169" s="1" t="str">
        <f xml:space="preserve"> TEXT(FilmaxData[[#This Row],[Show_Date]],"DDD")</f>
        <v>Tue</v>
      </c>
      <c r="F1169" t="s">
        <v>11</v>
      </c>
      <c r="G1169" t="s">
        <v>17</v>
      </c>
      <c r="H1169">
        <v>3</v>
      </c>
      <c r="I1169">
        <v>12</v>
      </c>
      <c r="J1169" t="s">
        <v>23</v>
      </c>
      <c r="K1169" t="s">
        <v>18</v>
      </c>
      <c r="L1169">
        <v>36</v>
      </c>
    </row>
    <row r="1170" spans="1:12" x14ac:dyDescent="0.3">
      <c r="A1170">
        <v>1165</v>
      </c>
      <c r="B1170" t="s">
        <v>15</v>
      </c>
      <c r="C1170" s="1">
        <v>45889</v>
      </c>
      <c r="D1170" s="1" t="str">
        <f xml:space="preserve"> TEXT(FilmaxData[[#This Row],[Show_Date]],"MMM")</f>
        <v>Aug</v>
      </c>
      <c r="E1170" s="1" t="str">
        <f xml:space="preserve"> TEXT(FilmaxData[[#This Row],[Show_Date]],"DDD")</f>
        <v>Wed</v>
      </c>
      <c r="F1170" t="s">
        <v>33</v>
      </c>
      <c r="G1170" t="s">
        <v>17</v>
      </c>
      <c r="H1170">
        <v>1</v>
      </c>
      <c r="I1170">
        <v>12</v>
      </c>
      <c r="J1170" t="s">
        <v>23</v>
      </c>
      <c r="K1170" t="s">
        <v>27</v>
      </c>
      <c r="L1170">
        <v>12</v>
      </c>
    </row>
    <row r="1171" spans="1:12" x14ac:dyDescent="0.3">
      <c r="A1171">
        <v>1926</v>
      </c>
      <c r="B1171" t="s">
        <v>15</v>
      </c>
      <c r="C1171" s="1">
        <v>45868</v>
      </c>
      <c r="D1171" s="1" t="str">
        <f xml:space="preserve"> TEXT(FilmaxData[[#This Row],[Show_Date]],"MMM")</f>
        <v>Jul</v>
      </c>
      <c r="E1171" s="1" t="str">
        <f xml:space="preserve"> TEXT(FilmaxData[[#This Row],[Show_Date]],"DDD")</f>
        <v>Wed</v>
      </c>
      <c r="F1171" t="s">
        <v>16</v>
      </c>
      <c r="G1171" t="s">
        <v>17</v>
      </c>
      <c r="H1171">
        <v>1</v>
      </c>
      <c r="I1171">
        <v>12</v>
      </c>
      <c r="J1171" t="s">
        <v>21</v>
      </c>
      <c r="K1171" t="s">
        <v>25</v>
      </c>
      <c r="L1171">
        <v>12</v>
      </c>
    </row>
    <row r="1172" spans="1:12" x14ac:dyDescent="0.3">
      <c r="A1172">
        <v>135</v>
      </c>
      <c r="B1172" t="s">
        <v>28</v>
      </c>
      <c r="C1172" s="1">
        <v>45870</v>
      </c>
      <c r="D1172" s="1" t="str">
        <f xml:space="preserve"> TEXT(FilmaxData[[#This Row],[Show_Date]],"MMM")</f>
        <v>Aug</v>
      </c>
      <c r="E1172" s="1" t="str">
        <f xml:space="preserve"> TEXT(FilmaxData[[#This Row],[Show_Date]],"DDD")</f>
        <v>Fri</v>
      </c>
      <c r="F1172" t="s">
        <v>11</v>
      </c>
      <c r="G1172" t="s">
        <v>30</v>
      </c>
      <c r="H1172">
        <v>2</v>
      </c>
      <c r="I1172">
        <v>8</v>
      </c>
      <c r="J1172" t="s">
        <v>21</v>
      </c>
      <c r="K1172" t="s">
        <v>18</v>
      </c>
      <c r="L1172">
        <v>16</v>
      </c>
    </row>
    <row r="1173" spans="1:12" x14ac:dyDescent="0.3">
      <c r="A1173">
        <v>1759</v>
      </c>
      <c r="B1173" t="s">
        <v>28</v>
      </c>
      <c r="C1173" s="1">
        <v>45888</v>
      </c>
      <c r="D1173" s="1" t="str">
        <f xml:space="preserve"> TEXT(FilmaxData[[#This Row],[Show_Date]],"MMM")</f>
        <v>Aug</v>
      </c>
      <c r="E1173" s="1" t="str">
        <f xml:space="preserve"> TEXT(FilmaxData[[#This Row],[Show_Date]],"DDD")</f>
        <v>Tue</v>
      </c>
      <c r="F1173" t="s">
        <v>11</v>
      </c>
      <c r="G1173" t="s">
        <v>17</v>
      </c>
      <c r="H1173">
        <v>3</v>
      </c>
      <c r="I1173">
        <v>12</v>
      </c>
      <c r="J1173" t="s">
        <v>23</v>
      </c>
      <c r="K1173" t="s">
        <v>18</v>
      </c>
      <c r="L1173">
        <v>36</v>
      </c>
    </row>
    <row r="1174" spans="1:12" x14ac:dyDescent="0.3">
      <c r="A1174">
        <v>1753</v>
      </c>
      <c r="B1174" t="s">
        <v>26</v>
      </c>
      <c r="C1174" s="1">
        <v>45902</v>
      </c>
      <c r="D1174" s="1" t="str">
        <f xml:space="preserve"> TEXT(FilmaxData[[#This Row],[Show_Date]],"MMM")</f>
        <v>Sep</v>
      </c>
      <c r="E1174" s="1" t="str">
        <f xml:space="preserve"> TEXT(FilmaxData[[#This Row],[Show_Date]],"DDD")</f>
        <v>Tue</v>
      </c>
      <c r="F1174" t="s">
        <v>33</v>
      </c>
      <c r="G1174" t="s">
        <v>17</v>
      </c>
      <c r="H1174">
        <v>2</v>
      </c>
      <c r="I1174">
        <v>12</v>
      </c>
      <c r="J1174" t="s">
        <v>23</v>
      </c>
      <c r="K1174" t="s">
        <v>27</v>
      </c>
      <c r="L1174">
        <v>24</v>
      </c>
    </row>
    <row r="1175" spans="1:12" x14ac:dyDescent="0.3">
      <c r="A1175">
        <v>1995</v>
      </c>
      <c r="B1175" t="s">
        <v>15</v>
      </c>
      <c r="C1175" s="1">
        <v>45865</v>
      </c>
      <c r="D1175" s="1" t="str">
        <f xml:space="preserve"> TEXT(FilmaxData[[#This Row],[Show_Date]],"MMM")</f>
        <v>Jul</v>
      </c>
      <c r="E1175" s="1" t="str">
        <f xml:space="preserve"> TEXT(FilmaxData[[#This Row],[Show_Date]],"DDD")</f>
        <v>Sun</v>
      </c>
      <c r="F1175" t="s">
        <v>20</v>
      </c>
      <c r="G1175" t="s">
        <v>17</v>
      </c>
      <c r="H1175">
        <v>4</v>
      </c>
      <c r="I1175">
        <v>12</v>
      </c>
      <c r="J1175" t="s">
        <v>23</v>
      </c>
      <c r="K1175" t="s">
        <v>25</v>
      </c>
      <c r="L1175">
        <v>48</v>
      </c>
    </row>
    <row r="1176" spans="1:12" x14ac:dyDescent="0.3">
      <c r="A1176">
        <v>1414</v>
      </c>
      <c r="B1176" t="s">
        <v>19</v>
      </c>
      <c r="C1176" s="1">
        <v>45873</v>
      </c>
      <c r="D1176" s="1" t="str">
        <f xml:space="preserve"> TEXT(FilmaxData[[#This Row],[Show_Date]],"MMM")</f>
        <v>Aug</v>
      </c>
      <c r="E1176" s="1" t="str">
        <f xml:space="preserve"> TEXT(FilmaxData[[#This Row],[Show_Date]],"DDD")</f>
        <v>Mon</v>
      </c>
      <c r="F1176" t="s">
        <v>16</v>
      </c>
      <c r="G1176" t="s">
        <v>17</v>
      </c>
      <c r="H1176">
        <v>2</v>
      </c>
      <c r="I1176">
        <v>12</v>
      </c>
      <c r="J1176" t="s">
        <v>13</v>
      </c>
      <c r="K1176" t="s">
        <v>14</v>
      </c>
      <c r="L1176">
        <v>24</v>
      </c>
    </row>
    <row r="1177" spans="1:12" x14ac:dyDescent="0.3">
      <c r="A1177">
        <v>1951</v>
      </c>
      <c r="B1177" t="s">
        <v>31</v>
      </c>
      <c r="C1177" s="1">
        <v>45875</v>
      </c>
      <c r="D1177" s="1" t="str">
        <f xml:space="preserve"> TEXT(FilmaxData[[#This Row],[Show_Date]],"MMM")</f>
        <v>Aug</v>
      </c>
      <c r="E1177" s="1" t="str">
        <f xml:space="preserve"> TEXT(FilmaxData[[#This Row],[Show_Date]],"DDD")</f>
        <v>Wed</v>
      </c>
      <c r="F1177" t="s">
        <v>33</v>
      </c>
      <c r="G1177" t="s">
        <v>17</v>
      </c>
      <c r="H1177">
        <v>5</v>
      </c>
      <c r="I1177">
        <v>12</v>
      </c>
      <c r="J1177" t="s">
        <v>21</v>
      </c>
      <c r="K1177" t="s">
        <v>18</v>
      </c>
      <c r="L1177">
        <v>60</v>
      </c>
    </row>
    <row r="1178" spans="1:12" x14ac:dyDescent="0.3">
      <c r="A1178">
        <v>942</v>
      </c>
      <c r="B1178" t="s">
        <v>15</v>
      </c>
      <c r="C1178" s="1">
        <v>45917</v>
      </c>
      <c r="D1178" s="1" t="str">
        <f xml:space="preserve"> TEXT(FilmaxData[[#This Row],[Show_Date]],"MMM")</f>
        <v>Sep</v>
      </c>
      <c r="E1178" s="1" t="str">
        <f xml:space="preserve"> TEXT(FilmaxData[[#This Row],[Show_Date]],"DDD")</f>
        <v>Wed</v>
      </c>
      <c r="F1178" t="s">
        <v>11</v>
      </c>
      <c r="G1178" t="s">
        <v>12</v>
      </c>
      <c r="H1178">
        <v>2</v>
      </c>
      <c r="I1178">
        <v>25</v>
      </c>
      <c r="J1178" t="s">
        <v>13</v>
      </c>
      <c r="K1178" t="s">
        <v>18</v>
      </c>
      <c r="L1178">
        <v>50</v>
      </c>
    </row>
    <row r="1179" spans="1:12" x14ac:dyDescent="0.3">
      <c r="A1179">
        <v>737</v>
      </c>
      <c r="B1179" t="s">
        <v>31</v>
      </c>
      <c r="C1179" s="1">
        <v>45877</v>
      </c>
      <c r="D1179" s="1" t="str">
        <f xml:space="preserve"> TEXT(FilmaxData[[#This Row],[Show_Date]],"MMM")</f>
        <v>Aug</v>
      </c>
      <c r="E1179" s="1" t="str">
        <f xml:space="preserve"> TEXT(FilmaxData[[#This Row],[Show_Date]],"DDD")</f>
        <v>Fri</v>
      </c>
      <c r="F1179" t="s">
        <v>11</v>
      </c>
      <c r="G1179" t="s">
        <v>29</v>
      </c>
      <c r="H1179">
        <v>5</v>
      </c>
      <c r="I1179">
        <v>30</v>
      </c>
      <c r="J1179" t="s">
        <v>23</v>
      </c>
      <c r="K1179" t="s">
        <v>18</v>
      </c>
      <c r="L1179">
        <v>150</v>
      </c>
    </row>
    <row r="1180" spans="1:12" x14ac:dyDescent="0.3">
      <c r="A1180">
        <v>1006</v>
      </c>
      <c r="B1180" t="s">
        <v>15</v>
      </c>
      <c r="C1180" s="1">
        <v>45879</v>
      </c>
      <c r="D1180" s="1" t="str">
        <f xml:space="preserve"> TEXT(FilmaxData[[#This Row],[Show_Date]],"MMM")</f>
        <v>Aug</v>
      </c>
      <c r="E1180" s="1" t="str">
        <f xml:space="preserve"> TEXT(FilmaxData[[#This Row],[Show_Date]],"DDD")</f>
        <v>Sun</v>
      </c>
      <c r="F1180" t="s">
        <v>33</v>
      </c>
      <c r="G1180" t="s">
        <v>22</v>
      </c>
      <c r="H1180">
        <v>4</v>
      </c>
      <c r="I1180">
        <v>20</v>
      </c>
      <c r="J1180" t="s">
        <v>13</v>
      </c>
      <c r="K1180" t="s">
        <v>25</v>
      </c>
      <c r="L1180">
        <v>80</v>
      </c>
    </row>
    <row r="1181" spans="1:12" x14ac:dyDescent="0.3">
      <c r="A1181">
        <v>1068</v>
      </c>
      <c r="B1181" t="s">
        <v>28</v>
      </c>
      <c r="C1181" s="1">
        <v>45874</v>
      </c>
      <c r="D1181" s="1" t="str">
        <f xml:space="preserve"> TEXT(FilmaxData[[#This Row],[Show_Date]],"MMM")</f>
        <v>Aug</v>
      </c>
      <c r="E1181" s="1" t="str">
        <f xml:space="preserve"> TEXT(FilmaxData[[#This Row],[Show_Date]],"DDD")</f>
        <v>Tue</v>
      </c>
      <c r="F1181" t="s">
        <v>33</v>
      </c>
      <c r="G1181" t="s">
        <v>29</v>
      </c>
      <c r="H1181">
        <v>3</v>
      </c>
      <c r="I1181">
        <v>30</v>
      </c>
      <c r="J1181" t="s">
        <v>13</v>
      </c>
      <c r="K1181" t="s">
        <v>14</v>
      </c>
      <c r="L1181">
        <v>90</v>
      </c>
    </row>
    <row r="1182" spans="1:12" x14ac:dyDescent="0.3">
      <c r="A1182">
        <v>234</v>
      </c>
      <c r="B1182" t="s">
        <v>31</v>
      </c>
      <c r="C1182" s="1">
        <v>45839</v>
      </c>
      <c r="D1182" s="1" t="str">
        <f xml:space="preserve"> TEXT(FilmaxData[[#This Row],[Show_Date]],"MMM")</f>
        <v>Jul</v>
      </c>
      <c r="E1182" s="1" t="str">
        <f xml:space="preserve"> TEXT(FilmaxData[[#This Row],[Show_Date]],"DDD")</f>
        <v>Tue</v>
      </c>
      <c r="F1182" t="s">
        <v>11</v>
      </c>
      <c r="G1182" t="s">
        <v>22</v>
      </c>
      <c r="H1182">
        <v>3</v>
      </c>
      <c r="I1182">
        <v>20</v>
      </c>
      <c r="J1182" t="s">
        <v>21</v>
      </c>
      <c r="K1182" t="s">
        <v>25</v>
      </c>
      <c r="L1182">
        <v>60</v>
      </c>
    </row>
    <row r="1183" spans="1:12" x14ac:dyDescent="0.3">
      <c r="A1183">
        <v>793</v>
      </c>
      <c r="B1183" t="s">
        <v>15</v>
      </c>
      <c r="C1183" s="1">
        <v>45865</v>
      </c>
      <c r="D1183" s="1" t="str">
        <f xml:space="preserve"> TEXT(FilmaxData[[#This Row],[Show_Date]],"MMM")</f>
        <v>Jul</v>
      </c>
      <c r="E1183" s="1" t="str">
        <f xml:space="preserve"> TEXT(FilmaxData[[#This Row],[Show_Date]],"DDD")</f>
        <v>Sun</v>
      </c>
      <c r="F1183" t="s">
        <v>33</v>
      </c>
      <c r="G1183" t="s">
        <v>12</v>
      </c>
      <c r="H1183">
        <v>3</v>
      </c>
      <c r="I1183">
        <v>25</v>
      </c>
      <c r="J1183" t="s">
        <v>23</v>
      </c>
      <c r="K1183" t="s">
        <v>18</v>
      </c>
      <c r="L1183">
        <v>75</v>
      </c>
    </row>
    <row r="1184" spans="1:12" x14ac:dyDescent="0.3">
      <c r="A1184">
        <v>1334</v>
      </c>
      <c r="B1184" t="s">
        <v>19</v>
      </c>
      <c r="C1184" s="1">
        <v>45900</v>
      </c>
      <c r="D1184" s="1" t="str">
        <f xml:space="preserve"> TEXT(FilmaxData[[#This Row],[Show_Date]],"MMM")</f>
        <v>Aug</v>
      </c>
      <c r="E1184" s="1" t="str">
        <f xml:space="preserve"> TEXT(FilmaxData[[#This Row],[Show_Date]],"DDD")</f>
        <v>Sun</v>
      </c>
      <c r="F1184" t="s">
        <v>16</v>
      </c>
      <c r="G1184" t="s">
        <v>17</v>
      </c>
      <c r="H1184">
        <v>2</v>
      </c>
      <c r="I1184">
        <v>12</v>
      </c>
      <c r="J1184" t="s">
        <v>21</v>
      </c>
      <c r="K1184" t="s">
        <v>18</v>
      </c>
      <c r="L1184">
        <v>24</v>
      </c>
    </row>
    <row r="1185" spans="1:12" x14ac:dyDescent="0.3">
      <c r="A1185">
        <v>557</v>
      </c>
      <c r="B1185" t="s">
        <v>19</v>
      </c>
      <c r="C1185" s="1">
        <v>45921</v>
      </c>
      <c r="D1185" s="1" t="str">
        <f xml:space="preserve"> TEXT(FilmaxData[[#This Row],[Show_Date]],"MMM")</f>
        <v>Sep</v>
      </c>
      <c r="E1185" s="1" t="str">
        <f xml:space="preserve"> TEXT(FilmaxData[[#This Row],[Show_Date]],"DDD")</f>
        <v>Sun</v>
      </c>
      <c r="F1185" t="s">
        <v>16</v>
      </c>
      <c r="G1185" t="s">
        <v>12</v>
      </c>
      <c r="H1185">
        <v>2</v>
      </c>
      <c r="I1185">
        <v>25</v>
      </c>
      <c r="J1185" t="s">
        <v>21</v>
      </c>
      <c r="K1185" t="s">
        <v>27</v>
      </c>
      <c r="L1185">
        <v>50</v>
      </c>
    </row>
    <row r="1186" spans="1:12" x14ac:dyDescent="0.3">
      <c r="A1186">
        <v>207</v>
      </c>
      <c r="B1186" t="s">
        <v>19</v>
      </c>
      <c r="C1186" s="1">
        <v>45855</v>
      </c>
      <c r="D1186" s="1" t="str">
        <f xml:space="preserve"> TEXT(FilmaxData[[#This Row],[Show_Date]],"MMM")</f>
        <v>Jul</v>
      </c>
      <c r="E1186" s="1" t="str">
        <f xml:space="preserve"> TEXT(FilmaxData[[#This Row],[Show_Date]],"DDD")</f>
        <v>Thu</v>
      </c>
      <c r="F1186" t="s">
        <v>11</v>
      </c>
      <c r="G1186" t="s">
        <v>17</v>
      </c>
      <c r="H1186">
        <v>5</v>
      </c>
      <c r="I1186">
        <v>12</v>
      </c>
      <c r="J1186" t="s">
        <v>23</v>
      </c>
      <c r="K1186" t="s">
        <v>18</v>
      </c>
      <c r="L1186">
        <v>60</v>
      </c>
    </row>
    <row r="1187" spans="1:12" x14ac:dyDescent="0.3">
      <c r="A1187">
        <v>640</v>
      </c>
      <c r="B1187" t="s">
        <v>19</v>
      </c>
      <c r="C1187" s="1">
        <v>45908</v>
      </c>
      <c r="D1187" s="1" t="str">
        <f xml:space="preserve"> TEXT(FilmaxData[[#This Row],[Show_Date]],"MMM")</f>
        <v>Sep</v>
      </c>
      <c r="E1187" s="1" t="str">
        <f xml:space="preserve"> TEXT(FilmaxData[[#This Row],[Show_Date]],"DDD")</f>
        <v>Mon</v>
      </c>
      <c r="F1187" t="s">
        <v>16</v>
      </c>
      <c r="G1187" t="s">
        <v>30</v>
      </c>
      <c r="H1187">
        <v>5</v>
      </c>
      <c r="I1187">
        <v>8</v>
      </c>
      <c r="J1187" t="s">
        <v>13</v>
      </c>
      <c r="K1187" t="s">
        <v>18</v>
      </c>
      <c r="L1187">
        <v>40</v>
      </c>
    </row>
    <row r="1188" spans="1:12" x14ac:dyDescent="0.3">
      <c r="A1188">
        <v>387</v>
      </c>
      <c r="B1188" t="s">
        <v>32</v>
      </c>
      <c r="C1188" s="1">
        <v>45926</v>
      </c>
      <c r="D1188" s="1" t="str">
        <f xml:space="preserve"> TEXT(FilmaxData[[#This Row],[Show_Date]],"MMM")</f>
        <v>Sep</v>
      </c>
      <c r="E1188" s="1" t="str">
        <f xml:space="preserve"> TEXT(FilmaxData[[#This Row],[Show_Date]],"DDD")</f>
        <v>Fri</v>
      </c>
      <c r="F1188" t="s">
        <v>20</v>
      </c>
      <c r="G1188" t="s">
        <v>17</v>
      </c>
      <c r="H1188">
        <v>2</v>
      </c>
      <c r="I1188">
        <v>12</v>
      </c>
      <c r="J1188" t="s">
        <v>21</v>
      </c>
      <c r="K1188" t="s">
        <v>18</v>
      </c>
      <c r="L1188">
        <v>24</v>
      </c>
    </row>
    <row r="1189" spans="1:12" x14ac:dyDescent="0.3">
      <c r="A1189">
        <v>1809</v>
      </c>
      <c r="B1189" t="s">
        <v>31</v>
      </c>
      <c r="C1189" s="1">
        <v>45914</v>
      </c>
      <c r="D1189" s="1" t="str">
        <f xml:space="preserve"> TEXT(FilmaxData[[#This Row],[Show_Date]],"MMM")</f>
        <v>Sep</v>
      </c>
      <c r="E1189" s="1" t="str">
        <f xml:space="preserve"> TEXT(FilmaxData[[#This Row],[Show_Date]],"DDD")</f>
        <v>Sun</v>
      </c>
      <c r="F1189" t="s">
        <v>33</v>
      </c>
      <c r="G1189" t="s">
        <v>17</v>
      </c>
      <c r="H1189">
        <v>3</v>
      </c>
      <c r="I1189">
        <v>12</v>
      </c>
      <c r="J1189" t="s">
        <v>23</v>
      </c>
      <c r="K1189" t="s">
        <v>18</v>
      </c>
      <c r="L1189">
        <v>36</v>
      </c>
    </row>
    <row r="1190" spans="1:12" x14ac:dyDescent="0.3">
      <c r="A1190">
        <v>540</v>
      </c>
      <c r="B1190" t="s">
        <v>26</v>
      </c>
      <c r="C1190" s="1">
        <v>45862</v>
      </c>
      <c r="D1190" s="1" t="str">
        <f xml:space="preserve"> TEXT(FilmaxData[[#This Row],[Show_Date]],"MMM")</f>
        <v>Jul</v>
      </c>
      <c r="E1190" s="1" t="str">
        <f xml:space="preserve"> TEXT(FilmaxData[[#This Row],[Show_Date]],"DDD")</f>
        <v>Thu</v>
      </c>
      <c r="F1190" t="s">
        <v>11</v>
      </c>
      <c r="G1190" t="s">
        <v>30</v>
      </c>
      <c r="H1190">
        <v>5</v>
      </c>
      <c r="I1190">
        <v>8</v>
      </c>
      <c r="J1190" t="s">
        <v>23</v>
      </c>
      <c r="K1190" t="s">
        <v>18</v>
      </c>
      <c r="L1190">
        <v>40</v>
      </c>
    </row>
    <row r="1191" spans="1:12" x14ac:dyDescent="0.3">
      <c r="A1191">
        <v>32</v>
      </c>
      <c r="B1191" t="s">
        <v>24</v>
      </c>
      <c r="C1191" s="1">
        <v>45923</v>
      </c>
      <c r="D1191" s="1" t="str">
        <f xml:space="preserve"> TEXT(FilmaxData[[#This Row],[Show_Date]],"MMM")</f>
        <v>Sep</v>
      </c>
      <c r="E1191" s="1" t="str">
        <f xml:space="preserve"> TEXT(FilmaxData[[#This Row],[Show_Date]],"DDD")</f>
        <v>Tue</v>
      </c>
      <c r="F1191" t="s">
        <v>33</v>
      </c>
      <c r="G1191" t="s">
        <v>12</v>
      </c>
      <c r="H1191">
        <v>2</v>
      </c>
      <c r="I1191">
        <v>25</v>
      </c>
      <c r="J1191" t="s">
        <v>21</v>
      </c>
      <c r="K1191" t="s">
        <v>27</v>
      </c>
      <c r="L1191">
        <v>50</v>
      </c>
    </row>
    <row r="1192" spans="1:12" x14ac:dyDescent="0.3">
      <c r="A1192">
        <v>936</v>
      </c>
      <c r="B1192" t="s">
        <v>24</v>
      </c>
      <c r="C1192" s="1">
        <v>45871</v>
      </c>
      <c r="D1192" s="1" t="str">
        <f xml:space="preserve"> TEXT(FilmaxData[[#This Row],[Show_Date]],"MMM")</f>
        <v>Aug</v>
      </c>
      <c r="E1192" s="1" t="str">
        <f xml:space="preserve"> TEXT(FilmaxData[[#This Row],[Show_Date]],"DDD")</f>
        <v>Sat</v>
      </c>
      <c r="F1192" t="s">
        <v>33</v>
      </c>
      <c r="G1192" t="s">
        <v>17</v>
      </c>
      <c r="H1192">
        <v>3</v>
      </c>
      <c r="I1192">
        <v>12</v>
      </c>
      <c r="J1192" t="s">
        <v>13</v>
      </c>
      <c r="K1192" t="s">
        <v>18</v>
      </c>
      <c r="L1192">
        <v>36</v>
      </c>
    </row>
    <row r="1193" spans="1:12" x14ac:dyDescent="0.3">
      <c r="A1193">
        <v>1851</v>
      </c>
      <c r="B1193" t="s">
        <v>32</v>
      </c>
      <c r="C1193" s="1">
        <v>45869</v>
      </c>
      <c r="D1193" s="1" t="str">
        <f xml:space="preserve"> TEXT(FilmaxData[[#This Row],[Show_Date]],"MMM")</f>
        <v>Jul</v>
      </c>
      <c r="E1193" s="1" t="str">
        <f xml:space="preserve"> TEXT(FilmaxData[[#This Row],[Show_Date]],"DDD")</f>
        <v>Thu</v>
      </c>
      <c r="F1193" t="s">
        <v>16</v>
      </c>
      <c r="G1193" t="s">
        <v>17</v>
      </c>
      <c r="H1193">
        <v>5</v>
      </c>
      <c r="I1193">
        <v>12</v>
      </c>
      <c r="J1193" t="s">
        <v>21</v>
      </c>
      <c r="K1193" t="s">
        <v>27</v>
      </c>
      <c r="L1193">
        <v>60</v>
      </c>
    </row>
    <row r="1194" spans="1:12" x14ac:dyDescent="0.3">
      <c r="A1194">
        <v>949</v>
      </c>
      <c r="B1194" t="s">
        <v>10</v>
      </c>
      <c r="C1194" s="1">
        <v>45921</v>
      </c>
      <c r="D1194" s="1" t="str">
        <f xml:space="preserve"> TEXT(FilmaxData[[#This Row],[Show_Date]],"MMM")</f>
        <v>Sep</v>
      </c>
      <c r="E1194" s="1" t="str">
        <f xml:space="preserve"> TEXT(FilmaxData[[#This Row],[Show_Date]],"DDD")</f>
        <v>Sun</v>
      </c>
      <c r="F1194" t="s">
        <v>20</v>
      </c>
      <c r="G1194" t="s">
        <v>17</v>
      </c>
      <c r="H1194">
        <v>2</v>
      </c>
      <c r="I1194">
        <v>12</v>
      </c>
      <c r="J1194" t="s">
        <v>23</v>
      </c>
      <c r="K1194" t="s">
        <v>25</v>
      </c>
      <c r="L1194">
        <v>24</v>
      </c>
    </row>
    <row r="1195" spans="1:12" x14ac:dyDescent="0.3">
      <c r="A1195">
        <v>11</v>
      </c>
      <c r="B1195" t="s">
        <v>32</v>
      </c>
      <c r="C1195" s="1">
        <v>45878</v>
      </c>
      <c r="D1195" s="1" t="str">
        <f xml:space="preserve"> TEXT(FilmaxData[[#This Row],[Show_Date]],"MMM")</f>
        <v>Aug</v>
      </c>
      <c r="E1195" s="1" t="str">
        <f xml:space="preserve"> TEXT(FilmaxData[[#This Row],[Show_Date]],"DDD")</f>
        <v>Sat</v>
      </c>
      <c r="F1195" t="s">
        <v>11</v>
      </c>
      <c r="G1195" t="s">
        <v>17</v>
      </c>
      <c r="H1195">
        <v>2</v>
      </c>
      <c r="I1195">
        <v>12</v>
      </c>
      <c r="J1195" t="s">
        <v>21</v>
      </c>
      <c r="K1195" t="s">
        <v>27</v>
      </c>
      <c r="L1195">
        <v>24</v>
      </c>
    </row>
    <row r="1196" spans="1:12" x14ac:dyDescent="0.3">
      <c r="A1196">
        <v>257</v>
      </c>
      <c r="B1196" t="s">
        <v>28</v>
      </c>
      <c r="C1196" s="1">
        <v>45873</v>
      </c>
      <c r="D1196" s="1" t="str">
        <f xml:space="preserve"> TEXT(FilmaxData[[#This Row],[Show_Date]],"MMM")</f>
        <v>Aug</v>
      </c>
      <c r="E1196" s="1" t="str">
        <f xml:space="preserve"> TEXT(FilmaxData[[#This Row],[Show_Date]],"DDD")</f>
        <v>Mon</v>
      </c>
      <c r="F1196" t="s">
        <v>11</v>
      </c>
      <c r="G1196" t="s">
        <v>12</v>
      </c>
      <c r="H1196">
        <v>3</v>
      </c>
      <c r="I1196">
        <v>25</v>
      </c>
      <c r="J1196" t="s">
        <v>23</v>
      </c>
      <c r="K1196" t="s">
        <v>14</v>
      </c>
      <c r="L1196">
        <v>75</v>
      </c>
    </row>
    <row r="1197" spans="1:12" x14ac:dyDescent="0.3">
      <c r="A1197">
        <v>1673</v>
      </c>
      <c r="B1197" t="s">
        <v>19</v>
      </c>
      <c r="C1197" s="1">
        <v>45913</v>
      </c>
      <c r="D1197" s="1" t="str">
        <f xml:space="preserve"> TEXT(FilmaxData[[#This Row],[Show_Date]],"MMM")</f>
        <v>Sep</v>
      </c>
      <c r="E1197" s="1" t="str">
        <f xml:space="preserve"> TEXT(FilmaxData[[#This Row],[Show_Date]],"DDD")</f>
        <v>Sat</v>
      </c>
      <c r="F1197" t="s">
        <v>11</v>
      </c>
      <c r="G1197" t="s">
        <v>30</v>
      </c>
      <c r="H1197">
        <v>3</v>
      </c>
      <c r="I1197">
        <v>8</v>
      </c>
      <c r="J1197" t="s">
        <v>21</v>
      </c>
      <c r="K1197" t="s">
        <v>27</v>
      </c>
      <c r="L1197">
        <v>24</v>
      </c>
    </row>
    <row r="1198" spans="1:12" x14ac:dyDescent="0.3">
      <c r="A1198">
        <v>1184</v>
      </c>
      <c r="B1198" t="s">
        <v>31</v>
      </c>
      <c r="C1198" s="1">
        <v>45893</v>
      </c>
      <c r="D1198" s="1" t="str">
        <f xml:space="preserve"> TEXT(FilmaxData[[#This Row],[Show_Date]],"MMM")</f>
        <v>Aug</v>
      </c>
      <c r="E1198" s="1" t="str">
        <f xml:space="preserve"> TEXT(FilmaxData[[#This Row],[Show_Date]],"DDD")</f>
        <v>Sun</v>
      </c>
      <c r="F1198" t="s">
        <v>16</v>
      </c>
      <c r="G1198" t="s">
        <v>17</v>
      </c>
      <c r="H1198">
        <v>1</v>
      </c>
      <c r="I1198">
        <v>12</v>
      </c>
      <c r="J1198" t="s">
        <v>21</v>
      </c>
      <c r="K1198" t="s">
        <v>14</v>
      </c>
      <c r="L1198">
        <v>12</v>
      </c>
    </row>
    <row r="1199" spans="1:12" x14ac:dyDescent="0.3">
      <c r="A1199">
        <v>1860</v>
      </c>
      <c r="B1199" t="s">
        <v>24</v>
      </c>
      <c r="C1199" s="1">
        <v>45928</v>
      </c>
      <c r="D1199" s="1" t="str">
        <f xml:space="preserve"> TEXT(FilmaxData[[#This Row],[Show_Date]],"MMM")</f>
        <v>Sep</v>
      </c>
      <c r="E1199" s="1" t="str">
        <f xml:space="preserve"> TEXT(FilmaxData[[#This Row],[Show_Date]],"DDD")</f>
        <v>Sun</v>
      </c>
      <c r="F1199" t="s">
        <v>33</v>
      </c>
      <c r="G1199" t="s">
        <v>22</v>
      </c>
      <c r="H1199">
        <v>3</v>
      </c>
      <c r="I1199">
        <v>20</v>
      </c>
      <c r="J1199" t="s">
        <v>21</v>
      </c>
      <c r="K1199" t="s">
        <v>14</v>
      </c>
      <c r="L1199">
        <v>60</v>
      </c>
    </row>
    <row r="1200" spans="1:12" x14ac:dyDescent="0.3">
      <c r="A1200">
        <v>5</v>
      </c>
      <c r="B1200" t="s">
        <v>32</v>
      </c>
      <c r="C1200" s="1">
        <v>45893</v>
      </c>
      <c r="D1200" s="1" t="str">
        <f xml:space="preserve"> TEXT(FilmaxData[[#This Row],[Show_Date]],"MMM")</f>
        <v>Aug</v>
      </c>
      <c r="E1200" s="1" t="str">
        <f xml:space="preserve"> TEXT(FilmaxData[[#This Row],[Show_Date]],"DDD")</f>
        <v>Sun</v>
      </c>
      <c r="F1200" t="s">
        <v>16</v>
      </c>
      <c r="G1200" t="s">
        <v>17</v>
      </c>
      <c r="H1200">
        <v>4</v>
      </c>
      <c r="I1200">
        <v>12</v>
      </c>
      <c r="J1200" t="s">
        <v>21</v>
      </c>
      <c r="K1200" t="s">
        <v>18</v>
      </c>
      <c r="L1200">
        <v>48</v>
      </c>
    </row>
    <row r="1201" spans="1:12" x14ac:dyDescent="0.3">
      <c r="A1201">
        <v>1963</v>
      </c>
      <c r="B1201" t="s">
        <v>26</v>
      </c>
      <c r="C1201" s="1">
        <v>45901</v>
      </c>
      <c r="D1201" s="1" t="str">
        <f xml:space="preserve"> TEXT(FilmaxData[[#This Row],[Show_Date]],"MMM")</f>
        <v>Sep</v>
      </c>
      <c r="E1201" s="1" t="str">
        <f xml:space="preserve"> TEXT(FilmaxData[[#This Row],[Show_Date]],"DDD")</f>
        <v>Mon</v>
      </c>
      <c r="F1201" t="s">
        <v>33</v>
      </c>
      <c r="G1201" t="s">
        <v>17</v>
      </c>
      <c r="H1201">
        <v>3</v>
      </c>
      <c r="I1201">
        <v>12</v>
      </c>
      <c r="J1201" t="s">
        <v>21</v>
      </c>
      <c r="K1201" t="s">
        <v>18</v>
      </c>
      <c r="L1201">
        <v>36</v>
      </c>
    </row>
    <row r="1202" spans="1:12" x14ac:dyDescent="0.3">
      <c r="A1202">
        <v>1559</v>
      </c>
      <c r="B1202" t="s">
        <v>28</v>
      </c>
      <c r="C1202" s="1">
        <v>45893</v>
      </c>
      <c r="D1202" s="1" t="str">
        <f xml:space="preserve"> TEXT(FilmaxData[[#This Row],[Show_Date]],"MMM")</f>
        <v>Aug</v>
      </c>
      <c r="E1202" s="1" t="str">
        <f xml:space="preserve"> TEXT(FilmaxData[[#This Row],[Show_Date]],"DDD")</f>
        <v>Sun</v>
      </c>
      <c r="F1202" t="s">
        <v>20</v>
      </c>
      <c r="G1202" t="s">
        <v>17</v>
      </c>
      <c r="H1202">
        <v>4</v>
      </c>
      <c r="I1202">
        <v>12</v>
      </c>
      <c r="J1202" t="s">
        <v>13</v>
      </c>
      <c r="K1202" t="s">
        <v>18</v>
      </c>
      <c r="L1202">
        <v>48</v>
      </c>
    </row>
    <row r="1203" spans="1:12" x14ac:dyDescent="0.3">
      <c r="A1203">
        <v>484</v>
      </c>
      <c r="B1203" t="s">
        <v>10</v>
      </c>
      <c r="C1203" s="1">
        <v>45913</v>
      </c>
      <c r="D1203" s="1" t="str">
        <f xml:space="preserve"> TEXT(FilmaxData[[#This Row],[Show_Date]],"MMM")</f>
        <v>Sep</v>
      </c>
      <c r="E1203" s="1" t="str">
        <f xml:space="preserve"> TEXT(FilmaxData[[#This Row],[Show_Date]],"DDD")</f>
        <v>Sat</v>
      </c>
      <c r="F1203" t="s">
        <v>16</v>
      </c>
      <c r="G1203" t="s">
        <v>17</v>
      </c>
      <c r="H1203">
        <v>3</v>
      </c>
      <c r="I1203">
        <v>12</v>
      </c>
      <c r="J1203" t="s">
        <v>13</v>
      </c>
      <c r="K1203" t="s">
        <v>18</v>
      </c>
      <c r="L1203">
        <v>36</v>
      </c>
    </row>
    <row r="1204" spans="1:12" x14ac:dyDescent="0.3">
      <c r="A1204">
        <v>1573</v>
      </c>
      <c r="B1204" t="s">
        <v>10</v>
      </c>
      <c r="C1204" s="1">
        <v>45863</v>
      </c>
      <c r="D1204" s="1" t="str">
        <f xml:space="preserve"> TEXT(FilmaxData[[#This Row],[Show_Date]],"MMM")</f>
        <v>Jul</v>
      </c>
      <c r="E1204" s="1" t="str">
        <f xml:space="preserve"> TEXT(FilmaxData[[#This Row],[Show_Date]],"DDD")</f>
        <v>Fri</v>
      </c>
      <c r="F1204" t="s">
        <v>16</v>
      </c>
      <c r="G1204" t="s">
        <v>22</v>
      </c>
      <c r="H1204">
        <v>5</v>
      </c>
      <c r="I1204">
        <v>20</v>
      </c>
      <c r="J1204" t="s">
        <v>21</v>
      </c>
      <c r="K1204" t="s">
        <v>25</v>
      </c>
      <c r="L1204">
        <v>100</v>
      </c>
    </row>
    <row r="1205" spans="1:12" x14ac:dyDescent="0.3">
      <c r="A1205">
        <v>1747</v>
      </c>
      <c r="B1205" t="s">
        <v>31</v>
      </c>
      <c r="C1205" s="1">
        <v>45871</v>
      </c>
      <c r="D1205" s="1" t="str">
        <f xml:space="preserve"> TEXT(FilmaxData[[#This Row],[Show_Date]],"MMM")</f>
        <v>Aug</v>
      </c>
      <c r="E1205" s="1" t="str">
        <f xml:space="preserve"> TEXT(FilmaxData[[#This Row],[Show_Date]],"DDD")</f>
        <v>Sat</v>
      </c>
      <c r="F1205" t="s">
        <v>16</v>
      </c>
      <c r="G1205" t="s">
        <v>30</v>
      </c>
      <c r="H1205">
        <v>1</v>
      </c>
      <c r="I1205">
        <v>8</v>
      </c>
      <c r="J1205" t="s">
        <v>13</v>
      </c>
      <c r="K1205" t="s">
        <v>14</v>
      </c>
      <c r="L1205">
        <v>8</v>
      </c>
    </row>
    <row r="1206" spans="1:12" x14ac:dyDescent="0.3">
      <c r="A1206">
        <v>608</v>
      </c>
      <c r="B1206" t="s">
        <v>19</v>
      </c>
      <c r="C1206" s="1">
        <v>45865</v>
      </c>
      <c r="D1206" s="1" t="str">
        <f xml:space="preserve"> TEXT(FilmaxData[[#This Row],[Show_Date]],"MMM")</f>
        <v>Jul</v>
      </c>
      <c r="E1206" s="1" t="str">
        <f xml:space="preserve"> TEXT(FilmaxData[[#This Row],[Show_Date]],"DDD")</f>
        <v>Sun</v>
      </c>
      <c r="F1206" t="s">
        <v>33</v>
      </c>
      <c r="G1206" t="s">
        <v>17</v>
      </c>
      <c r="H1206">
        <v>2</v>
      </c>
      <c r="I1206">
        <v>12</v>
      </c>
      <c r="J1206" t="s">
        <v>13</v>
      </c>
      <c r="K1206" t="s">
        <v>18</v>
      </c>
      <c r="L1206">
        <v>24</v>
      </c>
    </row>
    <row r="1207" spans="1:12" x14ac:dyDescent="0.3">
      <c r="A1207">
        <v>131</v>
      </c>
      <c r="B1207" t="s">
        <v>31</v>
      </c>
      <c r="C1207" s="1">
        <v>45839</v>
      </c>
      <c r="D1207" s="1" t="str">
        <f xml:space="preserve"> TEXT(FilmaxData[[#This Row],[Show_Date]],"MMM")</f>
        <v>Jul</v>
      </c>
      <c r="E1207" s="1" t="str">
        <f xml:space="preserve"> TEXT(FilmaxData[[#This Row],[Show_Date]],"DDD")</f>
        <v>Tue</v>
      </c>
      <c r="F1207" t="s">
        <v>33</v>
      </c>
      <c r="G1207" t="s">
        <v>17</v>
      </c>
      <c r="H1207">
        <v>1</v>
      </c>
      <c r="I1207">
        <v>12</v>
      </c>
      <c r="J1207" t="s">
        <v>13</v>
      </c>
      <c r="K1207" t="s">
        <v>18</v>
      </c>
      <c r="L1207">
        <v>12</v>
      </c>
    </row>
    <row r="1208" spans="1:12" x14ac:dyDescent="0.3">
      <c r="A1208">
        <v>1279</v>
      </c>
      <c r="B1208" t="s">
        <v>15</v>
      </c>
      <c r="C1208" s="1">
        <v>45851</v>
      </c>
      <c r="D1208" s="1" t="str">
        <f xml:space="preserve"> TEXT(FilmaxData[[#This Row],[Show_Date]],"MMM")</f>
        <v>Jul</v>
      </c>
      <c r="E1208" s="1" t="str">
        <f xml:space="preserve"> TEXT(FilmaxData[[#This Row],[Show_Date]],"DDD")</f>
        <v>Sun</v>
      </c>
      <c r="F1208" t="s">
        <v>16</v>
      </c>
      <c r="G1208" t="s">
        <v>17</v>
      </c>
      <c r="H1208">
        <v>1</v>
      </c>
      <c r="I1208">
        <v>12</v>
      </c>
      <c r="J1208" t="s">
        <v>23</v>
      </c>
      <c r="K1208" t="s">
        <v>14</v>
      </c>
      <c r="L1208">
        <v>12</v>
      </c>
    </row>
    <row r="1209" spans="1:12" x14ac:dyDescent="0.3">
      <c r="A1209">
        <v>875</v>
      </c>
      <c r="B1209" t="s">
        <v>26</v>
      </c>
      <c r="C1209" s="1">
        <v>45852</v>
      </c>
      <c r="D1209" s="1" t="str">
        <f xml:space="preserve"> TEXT(FilmaxData[[#This Row],[Show_Date]],"MMM")</f>
        <v>Jul</v>
      </c>
      <c r="E1209" s="1" t="str">
        <f xml:space="preserve"> TEXT(FilmaxData[[#This Row],[Show_Date]],"DDD")</f>
        <v>Mon</v>
      </c>
      <c r="F1209" t="s">
        <v>16</v>
      </c>
      <c r="G1209" t="s">
        <v>30</v>
      </c>
      <c r="H1209">
        <v>5</v>
      </c>
      <c r="I1209">
        <v>8</v>
      </c>
      <c r="J1209" t="s">
        <v>13</v>
      </c>
      <c r="K1209" t="s">
        <v>14</v>
      </c>
      <c r="L1209">
        <v>40</v>
      </c>
    </row>
    <row r="1210" spans="1:12" x14ac:dyDescent="0.3">
      <c r="A1210">
        <v>768</v>
      </c>
      <c r="B1210" t="s">
        <v>19</v>
      </c>
      <c r="C1210" s="1">
        <v>45843</v>
      </c>
      <c r="D1210" s="1" t="str">
        <f xml:space="preserve"> TEXT(FilmaxData[[#This Row],[Show_Date]],"MMM")</f>
        <v>Jul</v>
      </c>
      <c r="E1210" s="1" t="str">
        <f xml:space="preserve"> TEXT(FilmaxData[[#This Row],[Show_Date]],"DDD")</f>
        <v>Sat</v>
      </c>
      <c r="F1210" t="s">
        <v>11</v>
      </c>
      <c r="G1210" t="s">
        <v>17</v>
      </c>
      <c r="H1210">
        <v>3</v>
      </c>
      <c r="I1210">
        <v>12</v>
      </c>
      <c r="J1210" t="s">
        <v>13</v>
      </c>
      <c r="K1210" t="s">
        <v>14</v>
      </c>
      <c r="L1210">
        <v>36</v>
      </c>
    </row>
    <row r="1211" spans="1:12" x14ac:dyDescent="0.3">
      <c r="A1211">
        <v>1537</v>
      </c>
      <c r="B1211" t="s">
        <v>24</v>
      </c>
      <c r="C1211" s="1">
        <v>45871</v>
      </c>
      <c r="D1211" s="1" t="str">
        <f xml:space="preserve"> TEXT(FilmaxData[[#This Row],[Show_Date]],"MMM")</f>
        <v>Aug</v>
      </c>
      <c r="E1211" s="1" t="str">
        <f xml:space="preserve"> TEXT(FilmaxData[[#This Row],[Show_Date]],"DDD")</f>
        <v>Sat</v>
      </c>
      <c r="F1211" t="s">
        <v>33</v>
      </c>
      <c r="G1211" t="s">
        <v>17</v>
      </c>
      <c r="H1211">
        <v>3</v>
      </c>
      <c r="I1211">
        <v>12</v>
      </c>
      <c r="J1211" t="s">
        <v>23</v>
      </c>
      <c r="K1211" t="s">
        <v>18</v>
      </c>
      <c r="L1211">
        <v>36</v>
      </c>
    </row>
    <row r="1212" spans="1:12" x14ac:dyDescent="0.3">
      <c r="A1212">
        <v>602</v>
      </c>
      <c r="B1212" t="s">
        <v>19</v>
      </c>
      <c r="C1212" s="1">
        <v>45926</v>
      </c>
      <c r="D1212" s="1" t="str">
        <f xml:space="preserve"> TEXT(FilmaxData[[#This Row],[Show_Date]],"MMM")</f>
        <v>Sep</v>
      </c>
      <c r="E1212" s="1" t="str">
        <f xml:space="preserve"> TEXT(FilmaxData[[#This Row],[Show_Date]],"DDD")</f>
        <v>Fri</v>
      </c>
      <c r="F1212" t="s">
        <v>33</v>
      </c>
      <c r="G1212" t="s">
        <v>17</v>
      </c>
      <c r="H1212">
        <v>1</v>
      </c>
      <c r="I1212">
        <v>12</v>
      </c>
      <c r="J1212" t="s">
        <v>13</v>
      </c>
      <c r="K1212" t="s">
        <v>18</v>
      </c>
      <c r="L1212">
        <v>12</v>
      </c>
    </row>
    <row r="1213" spans="1:12" x14ac:dyDescent="0.3">
      <c r="A1213">
        <v>828</v>
      </c>
      <c r="B1213" t="s">
        <v>26</v>
      </c>
      <c r="C1213" s="1">
        <v>45887</v>
      </c>
      <c r="D1213" s="1" t="str">
        <f xml:space="preserve"> TEXT(FilmaxData[[#This Row],[Show_Date]],"MMM")</f>
        <v>Aug</v>
      </c>
      <c r="E1213" s="1" t="str">
        <f xml:space="preserve"> TEXT(FilmaxData[[#This Row],[Show_Date]],"DDD")</f>
        <v>Mon</v>
      </c>
      <c r="F1213" t="s">
        <v>33</v>
      </c>
      <c r="G1213" t="s">
        <v>17</v>
      </c>
      <c r="H1213">
        <v>4</v>
      </c>
      <c r="I1213">
        <v>12</v>
      </c>
      <c r="J1213" t="s">
        <v>13</v>
      </c>
      <c r="K1213" t="s">
        <v>18</v>
      </c>
      <c r="L1213">
        <v>48</v>
      </c>
    </row>
    <row r="1214" spans="1:12" x14ac:dyDescent="0.3">
      <c r="A1214">
        <v>1318</v>
      </c>
      <c r="B1214" t="s">
        <v>19</v>
      </c>
      <c r="C1214" s="1">
        <v>45858</v>
      </c>
      <c r="D1214" s="1" t="str">
        <f xml:space="preserve"> TEXT(FilmaxData[[#This Row],[Show_Date]],"MMM")</f>
        <v>Jul</v>
      </c>
      <c r="E1214" s="1" t="str">
        <f xml:space="preserve"> TEXT(FilmaxData[[#This Row],[Show_Date]],"DDD")</f>
        <v>Sun</v>
      </c>
      <c r="F1214" t="s">
        <v>20</v>
      </c>
      <c r="G1214" t="s">
        <v>17</v>
      </c>
      <c r="H1214">
        <v>2</v>
      </c>
      <c r="I1214">
        <v>12</v>
      </c>
      <c r="J1214" t="s">
        <v>23</v>
      </c>
      <c r="K1214" t="s">
        <v>18</v>
      </c>
      <c r="L1214">
        <v>24</v>
      </c>
    </row>
    <row r="1215" spans="1:12" x14ac:dyDescent="0.3">
      <c r="A1215">
        <v>727</v>
      </c>
      <c r="B1215" t="s">
        <v>32</v>
      </c>
      <c r="C1215" s="1">
        <v>45906</v>
      </c>
      <c r="D1215" s="1" t="str">
        <f xml:space="preserve"> TEXT(FilmaxData[[#This Row],[Show_Date]],"MMM")</f>
        <v>Sep</v>
      </c>
      <c r="E1215" s="1" t="str">
        <f xml:space="preserve"> TEXT(FilmaxData[[#This Row],[Show_Date]],"DDD")</f>
        <v>Sat</v>
      </c>
      <c r="F1215" t="s">
        <v>16</v>
      </c>
      <c r="G1215" t="s">
        <v>17</v>
      </c>
      <c r="H1215">
        <v>5</v>
      </c>
      <c r="I1215">
        <v>12</v>
      </c>
      <c r="J1215" t="s">
        <v>23</v>
      </c>
      <c r="K1215" t="s">
        <v>27</v>
      </c>
      <c r="L1215">
        <v>60</v>
      </c>
    </row>
    <row r="1216" spans="1:12" x14ac:dyDescent="0.3">
      <c r="A1216">
        <v>1469</v>
      </c>
      <c r="B1216" t="s">
        <v>31</v>
      </c>
      <c r="C1216" s="1">
        <v>45929</v>
      </c>
      <c r="D1216" s="1" t="str">
        <f xml:space="preserve"> TEXT(FilmaxData[[#This Row],[Show_Date]],"MMM")</f>
        <v>Sep</v>
      </c>
      <c r="E1216" s="1" t="str">
        <f xml:space="preserve"> TEXT(FilmaxData[[#This Row],[Show_Date]],"DDD")</f>
        <v>Mon</v>
      </c>
      <c r="F1216" t="s">
        <v>11</v>
      </c>
      <c r="G1216" t="s">
        <v>22</v>
      </c>
      <c r="H1216">
        <v>2</v>
      </c>
      <c r="I1216">
        <v>20</v>
      </c>
      <c r="J1216" t="s">
        <v>23</v>
      </c>
      <c r="K1216" t="s">
        <v>18</v>
      </c>
      <c r="L1216">
        <v>40</v>
      </c>
    </row>
    <row r="1217" spans="1:12" x14ac:dyDescent="0.3">
      <c r="A1217">
        <v>815</v>
      </c>
      <c r="B1217" t="s">
        <v>31</v>
      </c>
      <c r="C1217" s="1">
        <v>45915</v>
      </c>
      <c r="D1217" s="1" t="str">
        <f xml:space="preserve"> TEXT(FilmaxData[[#This Row],[Show_Date]],"MMM")</f>
        <v>Sep</v>
      </c>
      <c r="E1217" s="1" t="str">
        <f xml:space="preserve"> TEXT(FilmaxData[[#This Row],[Show_Date]],"DDD")</f>
        <v>Mon</v>
      </c>
      <c r="F1217" t="s">
        <v>16</v>
      </c>
      <c r="G1217" t="s">
        <v>12</v>
      </c>
      <c r="H1217">
        <v>3</v>
      </c>
      <c r="I1217">
        <v>25</v>
      </c>
      <c r="J1217" t="s">
        <v>21</v>
      </c>
      <c r="K1217" t="s">
        <v>18</v>
      </c>
      <c r="L1217">
        <v>75</v>
      </c>
    </row>
    <row r="1218" spans="1:12" x14ac:dyDescent="0.3">
      <c r="A1218">
        <v>300</v>
      </c>
      <c r="B1218" t="s">
        <v>19</v>
      </c>
      <c r="C1218" s="1">
        <v>45900</v>
      </c>
      <c r="D1218" s="1" t="str">
        <f xml:space="preserve"> TEXT(FilmaxData[[#This Row],[Show_Date]],"MMM")</f>
        <v>Aug</v>
      </c>
      <c r="E1218" s="1" t="str">
        <f xml:space="preserve"> TEXT(FilmaxData[[#This Row],[Show_Date]],"DDD")</f>
        <v>Sun</v>
      </c>
      <c r="F1218" t="s">
        <v>16</v>
      </c>
      <c r="G1218" t="s">
        <v>17</v>
      </c>
      <c r="H1218">
        <v>1</v>
      </c>
      <c r="I1218">
        <v>12</v>
      </c>
      <c r="J1218" t="s">
        <v>21</v>
      </c>
      <c r="K1218" t="s">
        <v>18</v>
      </c>
      <c r="L1218">
        <v>12</v>
      </c>
    </row>
    <row r="1219" spans="1:12" x14ac:dyDescent="0.3">
      <c r="A1219">
        <v>755</v>
      </c>
      <c r="B1219" t="s">
        <v>26</v>
      </c>
      <c r="C1219" s="1">
        <v>45879</v>
      </c>
      <c r="D1219" s="1" t="str">
        <f xml:space="preserve"> TEXT(FilmaxData[[#This Row],[Show_Date]],"MMM")</f>
        <v>Aug</v>
      </c>
      <c r="E1219" s="1" t="str">
        <f xml:space="preserve"> TEXT(FilmaxData[[#This Row],[Show_Date]],"DDD")</f>
        <v>Sun</v>
      </c>
      <c r="F1219" t="s">
        <v>16</v>
      </c>
      <c r="G1219" t="s">
        <v>29</v>
      </c>
      <c r="H1219">
        <v>3</v>
      </c>
      <c r="I1219">
        <v>30</v>
      </c>
      <c r="J1219" t="s">
        <v>23</v>
      </c>
      <c r="K1219" t="s">
        <v>18</v>
      </c>
      <c r="L1219">
        <v>90</v>
      </c>
    </row>
    <row r="1220" spans="1:12" x14ac:dyDescent="0.3">
      <c r="A1220">
        <v>1788</v>
      </c>
      <c r="B1220" t="s">
        <v>31</v>
      </c>
      <c r="C1220" s="1">
        <v>45900</v>
      </c>
      <c r="D1220" s="1" t="str">
        <f xml:space="preserve"> TEXT(FilmaxData[[#This Row],[Show_Date]],"MMM")</f>
        <v>Aug</v>
      </c>
      <c r="E1220" s="1" t="str">
        <f xml:space="preserve"> TEXT(FilmaxData[[#This Row],[Show_Date]],"DDD")</f>
        <v>Sun</v>
      </c>
      <c r="F1220" t="s">
        <v>33</v>
      </c>
      <c r="G1220" t="s">
        <v>17</v>
      </c>
      <c r="H1220">
        <v>4</v>
      </c>
      <c r="I1220">
        <v>12</v>
      </c>
      <c r="J1220" t="s">
        <v>13</v>
      </c>
      <c r="K1220" t="s">
        <v>18</v>
      </c>
      <c r="L1220">
        <v>48</v>
      </c>
    </row>
    <row r="1221" spans="1:12" x14ac:dyDescent="0.3">
      <c r="A1221">
        <v>1256</v>
      </c>
      <c r="B1221" t="s">
        <v>26</v>
      </c>
      <c r="C1221" s="1">
        <v>45911</v>
      </c>
      <c r="D1221" s="1" t="str">
        <f xml:space="preserve"> TEXT(FilmaxData[[#This Row],[Show_Date]],"MMM")</f>
        <v>Sep</v>
      </c>
      <c r="E1221" s="1" t="str">
        <f xml:space="preserve"> TEXT(FilmaxData[[#This Row],[Show_Date]],"DDD")</f>
        <v>Thu</v>
      </c>
      <c r="F1221" t="s">
        <v>20</v>
      </c>
      <c r="G1221" t="s">
        <v>17</v>
      </c>
      <c r="H1221">
        <v>2</v>
      </c>
      <c r="I1221">
        <v>12</v>
      </c>
      <c r="J1221" t="s">
        <v>21</v>
      </c>
      <c r="K1221" t="s">
        <v>18</v>
      </c>
      <c r="L1221">
        <v>24</v>
      </c>
    </row>
    <row r="1222" spans="1:12" x14ac:dyDescent="0.3">
      <c r="A1222">
        <v>565</v>
      </c>
      <c r="B1222" t="s">
        <v>31</v>
      </c>
      <c r="C1222" s="1">
        <v>45848</v>
      </c>
      <c r="D1222" s="1" t="str">
        <f xml:space="preserve"> TEXT(FilmaxData[[#This Row],[Show_Date]],"MMM")</f>
        <v>Jul</v>
      </c>
      <c r="E1222" s="1" t="str">
        <f xml:space="preserve"> TEXT(FilmaxData[[#This Row],[Show_Date]],"DDD")</f>
        <v>Thu</v>
      </c>
      <c r="F1222" t="s">
        <v>20</v>
      </c>
      <c r="G1222" t="s">
        <v>17</v>
      </c>
      <c r="H1222">
        <v>2</v>
      </c>
      <c r="I1222">
        <v>12</v>
      </c>
      <c r="J1222" t="s">
        <v>13</v>
      </c>
      <c r="K1222" t="s">
        <v>18</v>
      </c>
      <c r="L1222">
        <v>24</v>
      </c>
    </row>
    <row r="1223" spans="1:12" x14ac:dyDescent="0.3">
      <c r="A1223">
        <v>500</v>
      </c>
      <c r="B1223" t="s">
        <v>31</v>
      </c>
      <c r="C1223" s="1">
        <v>45874</v>
      </c>
      <c r="D1223" s="1" t="str">
        <f xml:space="preserve"> TEXT(FilmaxData[[#This Row],[Show_Date]],"MMM")</f>
        <v>Aug</v>
      </c>
      <c r="E1223" s="1" t="str">
        <f xml:space="preserve"> TEXT(FilmaxData[[#This Row],[Show_Date]],"DDD")</f>
        <v>Tue</v>
      </c>
      <c r="F1223" t="s">
        <v>16</v>
      </c>
      <c r="G1223" t="s">
        <v>17</v>
      </c>
      <c r="H1223">
        <v>1</v>
      </c>
      <c r="I1223">
        <v>12</v>
      </c>
      <c r="J1223" t="s">
        <v>21</v>
      </c>
      <c r="K1223" t="s">
        <v>18</v>
      </c>
      <c r="L1223">
        <v>12</v>
      </c>
    </row>
    <row r="1224" spans="1:12" x14ac:dyDescent="0.3">
      <c r="A1224">
        <v>669</v>
      </c>
      <c r="B1224" t="s">
        <v>15</v>
      </c>
      <c r="C1224" s="1">
        <v>45851</v>
      </c>
      <c r="D1224" s="1" t="str">
        <f xml:space="preserve"> TEXT(FilmaxData[[#This Row],[Show_Date]],"MMM")</f>
        <v>Jul</v>
      </c>
      <c r="E1224" s="1" t="str">
        <f xml:space="preserve"> TEXT(FilmaxData[[#This Row],[Show_Date]],"DDD")</f>
        <v>Sun</v>
      </c>
      <c r="F1224" t="s">
        <v>33</v>
      </c>
      <c r="G1224" t="s">
        <v>30</v>
      </c>
      <c r="H1224">
        <v>1</v>
      </c>
      <c r="I1224">
        <v>8</v>
      </c>
      <c r="J1224" t="s">
        <v>23</v>
      </c>
      <c r="K1224" t="s">
        <v>18</v>
      </c>
      <c r="L1224">
        <v>8</v>
      </c>
    </row>
    <row r="1225" spans="1:12" x14ac:dyDescent="0.3">
      <c r="A1225">
        <v>743</v>
      </c>
      <c r="B1225" t="s">
        <v>26</v>
      </c>
      <c r="C1225" s="1">
        <v>45893</v>
      </c>
      <c r="D1225" s="1" t="str">
        <f xml:space="preserve"> TEXT(FilmaxData[[#This Row],[Show_Date]],"MMM")</f>
        <v>Aug</v>
      </c>
      <c r="E1225" s="1" t="str">
        <f xml:space="preserve"> TEXT(FilmaxData[[#This Row],[Show_Date]],"DDD")</f>
        <v>Sun</v>
      </c>
      <c r="F1225" t="s">
        <v>11</v>
      </c>
      <c r="G1225" t="s">
        <v>17</v>
      </c>
      <c r="H1225">
        <v>4</v>
      </c>
      <c r="I1225">
        <v>12</v>
      </c>
      <c r="J1225" t="s">
        <v>21</v>
      </c>
      <c r="K1225" t="s">
        <v>18</v>
      </c>
      <c r="L1225">
        <v>48</v>
      </c>
    </row>
    <row r="1226" spans="1:12" x14ac:dyDescent="0.3">
      <c r="A1226">
        <v>14</v>
      </c>
      <c r="B1226" t="s">
        <v>32</v>
      </c>
      <c r="C1226" s="1">
        <v>45890</v>
      </c>
      <c r="D1226" s="1" t="str">
        <f xml:space="preserve"> TEXT(FilmaxData[[#This Row],[Show_Date]],"MMM")</f>
        <v>Aug</v>
      </c>
      <c r="E1226" s="1" t="str">
        <f xml:space="preserve"> TEXT(FilmaxData[[#This Row],[Show_Date]],"DDD")</f>
        <v>Thu</v>
      </c>
      <c r="F1226" t="s">
        <v>16</v>
      </c>
      <c r="G1226" t="s">
        <v>17</v>
      </c>
      <c r="H1226">
        <v>5</v>
      </c>
      <c r="I1226">
        <v>12</v>
      </c>
      <c r="J1226" t="s">
        <v>23</v>
      </c>
      <c r="K1226" t="s">
        <v>18</v>
      </c>
      <c r="L1226">
        <v>60</v>
      </c>
    </row>
    <row r="1227" spans="1:12" x14ac:dyDescent="0.3">
      <c r="A1227">
        <v>1660</v>
      </c>
      <c r="B1227" t="s">
        <v>19</v>
      </c>
      <c r="C1227" s="1">
        <v>45906</v>
      </c>
      <c r="D1227" s="1" t="str">
        <f xml:space="preserve"> TEXT(FilmaxData[[#This Row],[Show_Date]],"MMM")</f>
        <v>Sep</v>
      </c>
      <c r="E1227" s="1" t="str">
        <f xml:space="preserve"> TEXT(FilmaxData[[#This Row],[Show_Date]],"DDD")</f>
        <v>Sat</v>
      </c>
      <c r="F1227" t="s">
        <v>11</v>
      </c>
      <c r="G1227" t="s">
        <v>29</v>
      </c>
      <c r="H1227">
        <v>5</v>
      </c>
      <c r="I1227">
        <v>30</v>
      </c>
      <c r="J1227" t="s">
        <v>21</v>
      </c>
      <c r="K1227" t="s">
        <v>18</v>
      </c>
      <c r="L1227">
        <v>150</v>
      </c>
    </row>
    <row r="1228" spans="1:12" x14ac:dyDescent="0.3">
      <c r="A1228">
        <v>381</v>
      </c>
      <c r="B1228" t="s">
        <v>19</v>
      </c>
      <c r="C1228" s="1">
        <v>45907</v>
      </c>
      <c r="D1228" s="1" t="str">
        <f xml:space="preserve"> TEXT(FilmaxData[[#This Row],[Show_Date]],"MMM")</f>
        <v>Sep</v>
      </c>
      <c r="E1228" s="1" t="str">
        <f xml:space="preserve"> TEXT(FilmaxData[[#This Row],[Show_Date]],"DDD")</f>
        <v>Sun</v>
      </c>
      <c r="F1228" t="s">
        <v>20</v>
      </c>
      <c r="G1228" t="s">
        <v>22</v>
      </c>
      <c r="H1228">
        <v>3</v>
      </c>
      <c r="I1228">
        <v>20</v>
      </c>
      <c r="J1228" t="s">
        <v>23</v>
      </c>
      <c r="K1228" t="s">
        <v>14</v>
      </c>
      <c r="L1228">
        <v>60</v>
      </c>
    </row>
    <row r="1229" spans="1:12" x14ac:dyDescent="0.3">
      <c r="A1229">
        <v>375</v>
      </c>
      <c r="B1229" t="s">
        <v>24</v>
      </c>
      <c r="C1229" s="1">
        <v>45857</v>
      </c>
      <c r="D1229" s="1" t="str">
        <f xml:space="preserve"> TEXT(FilmaxData[[#This Row],[Show_Date]],"MMM")</f>
        <v>Jul</v>
      </c>
      <c r="E1229" s="1" t="str">
        <f xml:space="preserve"> TEXT(FilmaxData[[#This Row],[Show_Date]],"DDD")</f>
        <v>Sat</v>
      </c>
      <c r="F1229" t="s">
        <v>20</v>
      </c>
      <c r="G1229" t="s">
        <v>30</v>
      </c>
      <c r="H1229">
        <v>3</v>
      </c>
      <c r="I1229">
        <v>8</v>
      </c>
      <c r="J1229" t="s">
        <v>23</v>
      </c>
      <c r="K1229" t="s">
        <v>14</v>
      </c>
      <c r="L1229">
        <v>24</v>
      </c>
    </row>
    <row r="1230" spans="1:12" x14ac:dyDescent="0.3">
      <c r="A1230">
        <v>1194</v>
      </c>
      <c r="B1230" t="s">
        <v>19</v>
      </c>
      <c r="C1230" s="1">
        <v>45881</v>
      </c>
      <c r="D1230" s="1" t="str">
        <f xml:space="preserve"> TEXT(FilmaxData[[#This Row],[Show_Date]],"MMM")</f>
        <v>Aug</v>
      </c>
      <c r="E1230" s="1" t="str">
        <f xml:space="preserve"> TEXT(FilmaxData[[#This Row],[Show_Date]],"DDD")</f>
        <v>Tue</v>
      </c>
      <c r="F1230" t="s">
        <v>33</v>
      </c>
      <c r="G1230" t="s">
        <v>17</v>
      </c>
      <c r="H1230">
        <v>2</v>
      </c>
      <c r="I1230">
        <v>12</v>
      </c>
      <c r="J1230" t="s">
        <v>23</v>
      </c>
      <c r="K1230" t="s">
        <v>14</v>
      </c>
      <c r="L1230">
        <v>24</v>
      </c>
    </row>
    <row r="1231" spans="1:12" x14ac:dyDescent="0.3">
      <c r="A1231">
        <v>438</v>
      </c>
      <c r="B1231" t="s">
        <v>19</v>
      </c>
      <c r="C1231" s="1">
        <v>45900</v>
      </c>
      <c r="D1231" s="1" t="str">
        <f xml:space="preserve"> TEXT(FilmaxData[[#This Row],[Show_Date]],"MMM")</f>
        <v>Aug</v>
      </c>
      <c r="E1231" s="1" t="str">
        <f xml:space="preserve"> TEXT(FilmaxData[[#This Row],[Show_Date]],"DDD")</f>
        <v>Sun</v>
      </c>
      <c r="F1231" t="s">
        <v>11</v>
      </c>
      <c r="G1231" t="s">
        <v>17</v>
      </c>
      <c r="H1231">
        <v>3</v>
      </c>
      <c r="I1231">
        <v>12</v>
      </c>
      <c r="J1231" t="s">
        <v>13</v>
      </c>
      <c r="K1231" t="s">
        <v>18</v>
      </c>
      <c r="L1231">
        <v>36</v>
      </c>
    </row>
    <row r="1232" spans="1:12" x14ac:dyDescent="0.3">
      <c r="A1232">
        <v>304</v>
      </c>
      <c r="B1232" t="s">
        <v>10</v>
      </c>
      <c r="C1232" s="1">
        <v>45851</v>
      </c>
      <c r="D1232" s="1" t="str">
        <f xml:space="preserve"> TEXT(FilmaxData[[#This Row],[Show_Date]],"MMM")</f>
        <v>Jul</v>
      </c>
      <c r="E1232" s="1" t="str">
        <f xml:space="preserve"> TEXT(FilmaxData[[#This Row],[Show_Date]],"DDD")</f>
        <v>Sun</v>
      </c>
      <c r="F1232" t="s">
        <v>33</v>
      </c>
      <c r="G1232" t="s">
        <v>17</v>
      </c>
      <c r="H1232">
        <v>1</v>
      </c>
      <c r="I1232">
        <v>12</v>
      </c>
      <c r="J1232" t="s">
        <v>23</v>
      </c>
      <c r="K1232" t="s">
        <v>18</v>
      </c>
      <c r="L1232">
        <v>12</v>
      </c>
    </row>
    <row r="1233" spans="1:12" x14ac:dyDescent="0.3">
      <c r="A1233">
        <v>1261</v>
      </c>
      <c r="B1233" t="s">
        <v>28</v>
      </c>
      <c r="C1233" s="1">
        <v>45879</v>
      </c>
      <c r="D1233" s="1" t="str">
        <f xml:space="preserve"> TEXT(FilmaxData[[#This Row],[Show_Date]],"MMM")</f>
        <v>Aug</v>
      </c>
      <c r="E1233" s="1" t="str">
        <f xml:space="preserve"> TEXT(FilmaxData[[#This Row],[Show_Date]],"DDD")</f>
        <v>Sun</v>
      </c>
      <c r="F1233" t="s">
        <v>16</v>
      </c>
      <c r="G1233" t="s">
        <v>17</v>
      </c>
      <c r="H1233">
        <v>3</v>
      </c>
      <c r="I1233">
        <v>12</v>
      </c>
      <c r="J1233" t="s">
        <v>21</v>
      </c>
      <c r="K1233" t="s">
        <v>14</v>
      </c>
      <c r="L1233">
        <v>36</v>
      </c>
    </row>
    <row r="1234" spans="1:12" x14ac:dyDescent="0.3">
      <c r="A1234">
        <v>1817</v>
      </c>
      <c r="B1234" t="s">
        <v>26</v>
      </c>
      <c r="C1234" s="1">
        <v>45871</v>
      </c>
      <c r="D1234" s="1" t="str">
        <f xml:space="preserve"> TEXT(FilmaxData[[#This Row],[Show_Date]],"MMM")</f>
        <v>Aug</v>
      </c>
      <c r="E1234" s="1" t="str">
        <f xml:space="preserve"> TEXT(FilmaxData[[#This Row],[Show_Date]],"DDD")</f>
        <v>Sat</v>
      </c>
      <c r="F1234" t="s">
        <v>11</v>
      </c>
      <c r="G1234" t="s">
        <v>17</v>
      </c>
      <c r="H1234">
        <v>4</v>
      </c>
      <c r="I1234">
        <v>12</v>
      </c>
      <c r="J1234" t="s">
        <v>13</v>
      </c>
      <c r="K1234" t="s">
        <v>14</v>
      </c>
      <c r="L1234">
        <v>48</v>
      </c>
    </row>
    <row r="1235" spans="1:12" x14ac:dyDescent="0.3">
      <c r="A1235">
        <v>1019</v>
      </c>
      <c r="B1235" t="s">
        <v>19</v>
      </c>
      <c r="C1235" s="1">
        <v>45919</v>
      </c>
      <c r="D1235" s="1" t="str">
        <f xml:space="preserve"> TEXT(FilmaxData[[#This Row],[Show_Date]],"MMM")</f>
        <v>Sep</v>
      </c>
      <c r="E1235" s="1" t="str">
        <f xml:space="preserve"> TEXT(FilmaxData[[#This Row],[Show_Date]],"DDD")</f>
        <v>Fri</v>
      </c>
      <c r="F1235" t="s">
        <v>16</v>
      </c>
      <c r="G1235" t="s">
        <v>17</v>
      </c>
      <c r="H1235">
        <v>5</v>
      </c>
      <c r="I1235">
        <v>12</v>
      </c>
      <c r="J1235" t="s">
        <v>21</v>
      </c>
      <c r="K1235" t="s">
        <v>27</v>
      </c>
      <c r="L1235">
        <v>60</v>
      </c>
    </row>
    <row r="1236" spans="1:12" x14ac:dyDescent="0.3">
      <c r="A1236">
        <v>870</v>
      </c>
      <c r="B1236" t="s">
        <v>10</v>
      </c>
      <c r="C1236" s="1">
        <v>45850</v>
      </c>
      <c r="D1236" s="1" t="str">
        <f xml:space="preserve"> TEXT(FilmaxData[[#This Row],[Show_Date]],"MMM")</f>
        <v>Jul</v>
      </c>
      <c r="E1236" s="1" t="str">
        <f xml:space="preserve"> TEXT(FilmaxData[[#This Row],[Show_Date]],"DDD")</f>
        <v>Sat</v>
      </c>
      <c r="F1236" t="s">
        <v>11</v>
      </c>
      <c r="G1236" t="s">
        <v>17</v>
      </c>
      <c r="H1236">
        <v>1</v>
      </c>
      <c r="I1236">
        <v>12</v>
      </c>
      <c r="J1236" t="s">
        <v>23</v>
      </c>
      <c r="K1236" t="s">
        <v>27</v>
      </c>
      <c r="L1236">
        <v>12</v>
      </c>
    </row>
    <row r="1237" spans="1:12" x14ac:dyDescent="0.3">
      <c r="A1237">
        <v>1481</v>
      </c>
      <c r="B1237" t="s">
        <v>32</v>
      </c>
      <c r="C1237" s="1">
        <v>45920</v>
      </c>
      <c r="D1237" s="1" t="str">
        <f xml:space="preserve"> TEXT(FilmaxData[[#This Row],[Show_Date]],"MMM")</f>
        <v>Sep</v>
      </c>
      <c r="E1237" s="1" t="str">
        <f xml:space="preserve"> TEXT(FilmaxData[[#This Row],[Show_Date]],"DDD")</f>
        <v>Sat</v>
      </c>
      <c r="F1237" t="s">
        <v>20</v>
      </c>
      <c r="G1237" t="s">
        <v>17</v>
      </c>
      <c r="H1237">
        <v>2</v>
      </c>
      <c r="I1237">
        <v>12</v>
      </c>
      <c r="J1237" t="s">
        <v>21</v>
      </c>
      <c r="K1237" t="s">
        <v>14</v>
      </c>
      <c r="L1237">
        <v>24</v>
      </c>
    </row>
    <row r="1238" spans="1:12" x14ac:dyDescent="0.3">
      <c r="A1238">
        <v>1254</v>
      </c>
      <c r="B1238" t="s">
        <v>26</v>
      </c>
      <c r="C1238" s="1">
        <v>45876</v>
      </c>
      <c r="D1238" s="1" t="str">
        <f xml:space="preserve"> TEXT(FilmaxData[[#This Row],[Show_Date]],"MMM")</f>
        <v>Aug</v>
      </c>
      <c r="E1238" s="1" t="str">
        <f xml:space="preserve"> TEXT(FilmaxData[[#This Row],[Show_Date]],"DDD")</f>
        <v>Thu</v>
      </c>
      <c r="F1238" t="s">
        <v>11</v>
      </c>
      <c r="G1238" t="s">
        <v>17</v>
      </c>
      <c r="H1238">
        <v>3</v>
      </c>
      <c r="I1238">
        <v>12</v>
      </c>
      <c r="J1238" t="s">
        <v>13</v>
      </c>
      <c r="K1238" t="s">
        <v>25</v>
      </c>
      <c r="L1238">
        <v>36</v>
      </c>
    </row>
    <row r="1239" spans="1:12" x14ac:dyDescent="0.3">
      <c r="A1239">
        <v>1866</v>
      </c>
      <c r="B1239" t="s">
        <v>26</v>
      </c>
      <c r="C1239" s="1">
        <v>45914</v>
      </c>
      <c r="D1239" s="1" t="str">
        <f xml:space="preserve"> TEXT(FilmaxData[[#This Row],[Show_Date]],"MMM")</f>
        <v>Sep</v>
      </c>
      <c r="E1239" s="1" t="str">
        <f xml:space="preserve"> TEXT(FilmaxData[[#This Row],[Show_Date]],"DDD")</f>
        <v>Sun</v>
      </c>
      <c r="F1239" t="s">
        <v>16</v>
      </c>
      <c r="G1239" t="s">
        <v>17</v>
      </c>
      <c r="H1239">
        <v>4</v>
      </c>
      <c r="I1239">
        <v>12</v>
      </c>
      <c r="J1239" t="s">
        <v>13</v>
      </c>
      <c r="K1239" t="s">
        <v>14</v>
      </c>
      <c r="L1239">
        <v>48</v>
      </c>
    </row>
    <row r="1240" spans="1:12" x14ac:dyDescent="0.3">
      <c r="A1240">
        <v>1384</v>
      </c>
      <c r="B1240" t="s">
        <v>31</v>
      </c>
      <c r="C1240" s="1">
        <v>45864</v>
      </c>
      <c r="D1240" s="1" t="str">
        <f xml:space="preserve"> TEXT(FilmaxData[[#This Row],[Show_Date]],"MMM")</f>
        <v>Jul</v>
      </c>
      <c r="E1240" s="1" t="str">
        <f xml:space="preserve"> TEXT(FilmaxData[[#This Row],[Show_Date]],"DDD")</f>
        <v>Sat</v>
      </c>
      <c r="F1240" t="s">
        <v>11</v>
      </c>
      <c r="G1240" t="s">
        <v>17</v>
      </c>
      <c r="H1240">
        <v>2</v>
      </c>
      <c r="I1240">
        <v>12</v>
      </c>
      <c r="J1240" t="s">
        <v>13</v>
      </c>
      <c r="K1240" t="s">
        <v>25</v>
      </c>
      <c r="L1240">
        <v>24</v>
      </c>
    </row>
    <row r="1241" spans="1:12" x14ac:dyDescent="0.3">
      <c r="A1241">
        <v>280</v>
      </c>
      <c r="B1241" t="s">
        <v>26</v>
      </c>
      <c r="C1241" s="1">
        <v>45884</v>
      </c>
      <c r="D1241" s="1" t="str">
        <f xml:space="preserve"> TEXT(FilmaxData[[#This Row],[Show_Date]],"MMM")</f>
        <v>Aug</v>
      </c>
      <c r="E1241" s="1" t="str">
        <f xml:space="preserve"> TEXT(FilmaxData[[#This Row],[Show_Date]],"DDD")</f>
        <v>Fri</v>
      </c>
      <c r="F1241" t="s">
        <v>11</v>
      </c>
      <c r="G1241" t="s">
        <v>17</v>
      </c>
      <c r="H1241">
        <v>4</v>
      </c>
      <c r="I1241">
        <v>12</v>
      </c>
      <c r="J1241" t="s">
        <v>21</v>
      </c>
      <c r="K1241" t="s">
        <v>14</v>
      </c>
      <c r="L1241">
        <v>48</v>
      </c>
    </row>
    <row r="1242" spans="1:12" x14ac:dyDescent="0.3">
      <c r="A1242">
        <v>1503</v>
      </c>
      <c r="B1242" t="s">
        <v>10</v>
      </c>
      <c r="C1242" s="1">
        <v>45882</v>
      </c>
      <c r="D1242" s="1" t="str">
        <f xml:space="preserve"> TEXT(FilmaxData[[#This Row],[Show_Date]],"MMM")</f>
        <v>Aug</v>
      </c>
      <c r="E1242" s="1" t="str">
        <f xml:space="preserve"> TEXT(FilmaxData[[#This Row],[Show_Date]],"DDD")</f>
        <v>Wed</v>
      </c>
      <c r="F1242" t="s">
        <v>33</v>
      </c>
      <c r="G1242" t="s">
        <v>29</v>
      </c>
      <c r="H1242">
        <v>4</v>
      </c>
      <c r="I1242">
        <v>30</v>
      </c>
      <c r="J1242" t="s">
        <v>13</v>
      </c>
      <c r="K1242" t="s">
        <v>14</v>
      </c>
      <c r="L1242">
        <v>120</v>
      </c>
    </row>
    <row r="1243" spans="1:12" x14ac:dyDescent="0.3">
      <c r="A1243">
        <v>877</v>
      </c>
      <c r="B1243" t="s">
        <v>26</v>
      </c>
      <c r="C1243" s="1">
        <v>45908</v>
      </c>
      <c r="D1243" s="1" t="str">
        <f xml:space="preserve"> TEXT(FilmaxData[[#This Row],[Show_Date]],"MMM")</f>
        <v>Sep</v>
      </c>
      <c r="E1243" s="1" t="str">
        <f xml:space="preserve"> TEXT(FilmaxData[[#This Row],[Show_Date]],"DDD")</f>
        <v>Mon</v>
      </c>
      <c r="F1243" t="s">
        <v>20</v>
      </c>
      <c r="G1243" t="s">
        <v>17</v>
      </c>
      <c r="H1243">
        <v>5</v>
      </c>
      <c r="I1243">
        <v>12</v>
      </c>
      <c r="J1243" t="s">
        <v>23</v>
      </c>
      <c r="K1243" t="s">
        <v>14</v>
      </c>
      <c r="L1243">
        <v>60</v>
      </c>
    </row>
    <row r="1244" spans="1:12" x14ac:dyDescent="0.3">
      <c r="A1244">
        <v>1159</v>
      </c>
      <c r="B1244" t="s">
        <v>31</v>
      </c>
      <c r="C1244" s="1">
        <v>45902</v>
      </c>
      <c r="D1244" s="1" t="str">
        <f xml:space="preserve"> TEXT(FilmaxData[[#This Row],[Show_Date]],"MMM")</f>
        <v>Sep</v>
      </c>
      <c r="E1244" s="1" t="str">
        <f xml:space="preserve"> TEXT(FilmaxData[[#This Row],[Show_Date]],"DDD")</f>
        <v>Tue</v>
      </c>
      <c r="F1244" t="s">
        <v>16</v>
      </c>
      <c r="G1244" t="s">
        <v>22</v>
      </c>
      <c r="H1244">
        <v>4</v>
      </c>
      <c r="I1244">
        <v>20</v>
      </c>
      <c r="J1244" t="s">
        <v>13</v>
      </c>
      <c r="K1244" t="s">
        <v>14</v>
      </c>
      <c r="L1244">
        <v>80</v>
      </c>
    </row>
    <row r="1245" spans="1:12" x14ac:dyDescent="0.3">
      <c r="A1245">
        <v>238</v>
      </c>
      <c r="B1245" t="s">
        <v>10</v>
      </c>
      <c r="C1245" s="1">
        <v>45858</v>
      </c>
      <c r="D1245" s="1" t="str">
        <f xml:space="preserve"> TEXT(FilmaxData[[#This Row],[Show_Date]],"MMM")</f>
        <v>Jul</v>
      </c>
      <c r="E1245" s="1" t="str">
        <f xml:space="preserve"> TEXT(FilmaxData[[#This Row],[Show_Date]],"DDD")</f>
        <v>Sun</v>
      </c>
      <c r="F1245" t="s">
        <v>11</v>
      </c>
      <c r="G1245" t="s">
        <v>17</v>
      </c>
      <c r="H1245">
        <v>4</v>
      </c>
      <c r="I1245">
        <v>12</v>
      </c>
      <c r="J1245" t="s">
        <v>13</v>
      </c>
      <c r="K1245" t="s">
        <v>27</v>
      </c>
      <c r="L1245">
        <v>48</v>
      </c>
    </row>
    <row r="1246" spans="1:12" x14ac:dyDescent="0.3">
      <c r="A1246">
        <v>179</v>
      </c>
      <c r="B1246" t="s">
        <v>24</v>
      </c>
      <c r="C1246" s="1">
        <v>45871</v>
      </c>
      <c r="D1246" s="1" t="str">
        <f xml:space="preserve"> TEXT(FilmaxData[[#This Row],[Show_Date]],"MMM")</f>
        <v>Aug</v>
      </c>
      <c r="E1246" s="1" t="str">
        <f xml:space="preserve"> TEXT(FilmaxData[[#This Row],[Show_Date]],"DDD")</f>
        <v>Sat</v>
      </c>
      <c r="F1246" t="s">
        <v>11</v>
      </c>
      <c r="G1246" t="s">
        <v>30</v>
      </c>
      <c r="H1246">
        <v>5</v>
      </c>
      <c r="I1246">
        <v>8</v>
      </c>
      <c r="J1246" t="s">
        <v>13</v>
      </c>
      <c r="K1246" t="s">
        <v>27</v>
      </c>
      <c r="L1246">
        <v>40</v>
      </c>
    </row>
    <row r="1247" spans="1:12" x14ac:dyDescent="0.3">
      <c r="A1247">
        <v>1789</v>
      </c>
      <c r="B1247" t="s">
        <v>15</v>
      </c>
      <c r="C1247" s="1">
        <v>45905</v>
      </c>
      <c r="D1247" s="1" t="str">
        <f xml:space="preserve"> TEXT(FilmaxData[[#This Row],[Show_Date]],"MMM")</f>
        <v>Sep</v>
      </c>
      <c r="E1247" s="1" t="str">
        <f xml:space="preserve"> TEXT(FilmaxData[[#This Row],[Show_Date]],"DDD")</f>
        <v>Fri</v>
      </c>
      <c r="F1247" t="s">
        <v>20</v>
      </c>
      <c r="G1247" t="s">
        <v>17</v>
      </c>
      <c r="H1247">
        <v>2</v>
      </c>
      <c r="I1247">
        <v>12</v>
      </c>
      <c r="J1247" t="s">
        <v>21</v>
      </c>
      <c r="K1247" t="s">
        <v>14</v>
      </c>
      <c r="L1247">
        <v>24</v>
      </c>
    </row>
    <row r="1248" spans="1:12" x14ac:dyDescent="0.3">
      <c r="A1248">
        <v>1750</v>
      </c>
      <c r="B1248" t="s">
        <v>28</v>
      </c>
      <c r="C1248" s="1">
        <v>45930</v>
      </c>
      <c r="D1248" s="1" t="str">
        <f xml:space="preserve"> TEXT(FilmaxData[[#This Row],[Show_Date]],"MMM")</f>
        <v>Sep</v>
      </c>
      <c r="E1248" s="1" t="str">
        <f xml:space="preserve"> TEXT(FilmaxData[[#This Row],[Show_Date]],"DDD")</f>
        <v>Tue</v>
      </c>
      <c r="F1248" t="s">
        <v>20</v>
      </c>
      <c r="G1248" t="s">
        <v>22</v>
      </c>
      <c r="H1248">
        <v>4</v>
      </c>
      <c r="I1248">
        <v>20</v>
      </c>
      <c r="J1248" t="s">
        <v>23</v>
      </c>
      <c r="K1248" t="s">
        <v>18</v>
      </c>
      <c r="L1248">
        <v>80</v>
      </c>
    </row>
    <row r="1249" spans="1:12" x14ac:dyDescent="0.3">
      <c r="A1249">
        <v>1919</v>
      </c>
      <c r="B1249" t="s">
        <v>32</v>
      </c>
      <c r="C1249" s="1">
        <v>45840</v>
      </c>
      <c r="D1249" s="1" t="str">
        <f xml:space="preserve"> TEXT(FilmaxData[[#This Row],[Show_Date]],"MMM")</f>
        <v>Jul</v>
      </c>
      <c r="E1249" s="1" t="str">
        <f xml:space="preserve"> TEXT(FilmaxData[[#This Row],[Show_Date]],"DDD")</f>
        <v>Wed</v>
      </c>
      <c r="F1249" t="s">
        <v>16</v>
      </c>
      <c r="G1249" t="s">
        <v>30</v>
      </c>
      <c r="H1249">
        <v>5</v>
      </c>
      <c r="I1249">
        <v>8</v>
      </c>
      <c r="J1249" t="s">
        <v>23</v>
      </c>
      <c r="K1249" t="s">
        <v>27</v>
      </c>
      <c r="L1249">
        <v>40</v>
      </c>
    </row>
    <row r="1250" spans="1:12" x14ac:dyDescent="0.3">
      <c r="A1250">
        <v>1046</v>
      </c>
      <c r="B1250" t="s">
        <v>32</v>
      </c>
      <c r="C1250" s="1">
        <v>45866</v>
      </c>
      <c r="D1250" s="1" t="str">
        <f xml:space="preserve"> TEXT(FilmaxData[[#This Row],[Show_Date]],"MMM")</f>
        <v>Jul</v>
      </c>
      <c r="E1250" s="1" t="str">
        <f xml:space="preserve"> TEXT(FilmaxData[[#This Row],[Show_Date]],"DDD")</f>
        <v>Mon</v>
      </c>
      <c r="F1250" t="s">
        <v>11</v>
      </c>
      <c r="G1250" t="s">
        <v>30</v>
      </c>
      <c r="H1250">
        <v>1</v>
      </c>
      <c r="I1250">
        <v>8</v>
      </c>
      <c r="J1250" t="s">
        <v>13</v>
      </c>
      <c r="K1250" t="s">
        <v>25</v>
      </c>
      <c r="L1250">
        <v>8</v>
      </c>
    </row>
    <row r="1251" spans="1:12" x14ac:dyDescent="0.3">
      <c r="A1251">
        <v>1968</v>
      </c>
      <c r="B1251" t="s">
        <v>19</v>
      </c>
      <c r="C1251" s="1">
        <v>45921</v>
      </c>
      <c r="D1251" s="1" t="str">
        <f xml:space="preserve"> TEXT(FilmaxData[[#This Row],[Show_Date]],"MMM")</f>
        <v>Sep</v>
      </c>
      <c r="E1251" s="1" t="str">
        <f xml:space="preserve"> TEXT(FilmaxData[[#This Row],[Show_Date]],"DDD")</f>
        <v>Sun</v>
      </c>
      <c r="F1251" t="s">
        <v>16</v>
      </c>
      <c r="G1251" t="s">
        <v>17</v>
      </c>
      <c r="H1251">
        <v>1</v>
      </c>
      <c r="I1251">
        <v>12</v>
      </c>
      <c r="J1251" t="s">
        <v>13</v>
      </c>
      <c r="K1251" t="s">
        <v>27</v>
      </c>
      <c r="L1251">
        <v>12</v>
      </c>
    </row>
    <row r="1252" spans="1:12" x14ac:dyDescent="0.3">
      <c r="A1252">
        <v>1873</v>
      </c>
      <c r="B1252" t="s">
        <v>32</v>
      </c>
      <c r="C1252" s="1">
        <v>45921</v>
      </c>
      <c r="D1252" s="1" t="str">
        <f xml:space="preserve"> TEXT(FilmaxData[[#This Row],[Show_Date]],"MMM")</f>
        <v>Sep</v>
      </c>
      <c r="E1252" s="1" t="str">
        <f xml:space="preserve"> TEXT(FilmaxData[[#This Row],[Show_Date]],"DDD")</f>
        <v>Sun</v>
      </c>
      <c r="F1252" t="s">
        <v>11</v>
      </c>
      <c r="G1252" t="s">
        <v>17</v>
      </c>
      <c r="H1252">
        <v>5</v>
      </c>
      <c r="I1252">
        <v>12</v>
      </c>
      <c r="J1252" t="s">
        <v>21</v>
      </c>
      <c r="K1252" t="s">
        <v>14</v>
      </c>
      <c r="L1252">
        <v>60</v>
      </c>
    </row>
    <row r="1253" spans="1:12" x14ac:dyDescent="0.3">
      <c r="A1253">
        <v>689</v>
      </c>
      <c r="B1253" t="s">
        <v>28</v>
      </c>
      <c r="C1253" s="1">
        <v>45867</v>
      </c>
      <c r="D1253" s="1" t="str">
        <f xml:space="preserve"> TEXT(FilmaxData[[#This Row],[Show_Date]],"MMM")</f>
        <v>Jul</v>
      </c>
      <c r="E1253" s="1" t="str">
        <f xml:space="preserve"> TEXT(FilmaxData[[#This Row],[Show_Date]],"DDD")</f>
        <v>Tue</v>
      </c>
      <c r="F1253" t="s">
        <v>33</v>
      </c>
      <c r="G1253" t="s">
        <v>17</v>
      </c>
      <c r="H1253">
        <v>2</v>
      </c>
      <c r="I1253">
        <v>12</v>
      </c>
      <c r="J1253" t="s">
        <v>21</v>
      </c>
      <c r="K1253" t="s">
        <v>27</v>
      </c>
      <c r="L1253">
        <v>24</v>
      </c>
    </row>
    <row r="1254" spans="1:12" x14ac:dyDescent="0.3">
      <c r="A1254">
        <v>1415</v>
      </c>
      <c r="B1254" t="s">
        <v>26</v>
      </c>
      <c r="C1254" s="1">
        <v>45849</v>
      </c>
      <c r="D1254" s="1" t="str">
        <f xml:space="preserve"> TEXT(FilmaxData[[#This Row],[Show_Date]],"MMM")</f>
        <v>Jul</v>
      </c>
      <c r="E1254" s="1" t="str">
        <f xml:space="preserve"> TEXT(FilmaxData[[#This Row],[Show_Date]],"DDD")</f>
        <v>Fri</v>
      </c>
      <c r="F1254" t="s">
        <v>33</v>
      </c>
      <c r="G1254" t="s">
        <v>30</v>
      </c>
      <c r="H1254">
        <v>2</v>
      </c>
      <c r="I1254">
        <v>8</v>
      </c>
      <c r="J1254" t="s">
        <v>13</v>
      </c>
      <c r="K1254" t="s">
        <v>27</v>
      </c>
      <c r="L1254">
        <v>16</v>
      </c>
    </row>
    <row r="1255" spans="1:12" x14ac:dyDescent="0.3">
      <c r="A1255">
        <v>371</v>
      </c>
      <c r="B1255" t="s">
        <v>31</v>
      </c>
      <c r="C1255" s="1">
        <v>45842</v>
      </c>
      <c r="D1255" s="1" t="str">
        <f xml:space="preserve"> TEXT(FilmaxData[[#This Row],[Show_Date]],"MMM")</f>
        <v>Jul</v>
      </c>
      <c r="E1255" s="1" t="str">
        <f xml:space="preserve"> TEXT(FilmaxData[[#This Row],[Show_Date]],"DDD")</f>
        <v>Fri</v>
      </c>
      <c r="F1255" t="s">
        <v>16</v>
      </c>
      <c r="G1255" t="s">
        <v>30</v>
      </c>
      <c r="H1255">
        <v>2</v>
      </c>
      <c r="I1255">
        <v>8</v>
      </c>
      <c r="J1255" t="s">
        <v>13</v>
      </c>
      <c r="K1255" t="s">
        <v>14</v>
      </c>
      <c r="L1255">
        <v>16</v>
      </c>
    </row>
    <row r="1256" spans="1:12" x14ac:dyDescent="0.3">
      <c r="A1256">
        <v>1069</v>
      </c>
      <c r="B1256" t="s">
        <v>15</v>
      </c>
      <c r="C1256" s="1">
        <v>45896</v>
      </c>
      <c r="D1256" s="1" t="str">
        <f xml:space="preserve"> TEXT(FilmaxData[[#This Row],[Show_Date]],"MMM")</f>
        <v>Aug</v>
      </c>
      <c r="E1256" s="1" t="str">
        <f xml:space="preserve"> TEXT(FilmaxData[[#This Row],[Show_Date]],"DDD")</f>
        <v>Wed</v>
      </c>
      <c r="F1256" t="s">
        <v>16</v>
      </c>
      <c r="G1256" t="s">
        <v>17</v>
      </c>
      <c r="H1256">
        <v>1</v>
      </c>
      <c r="I1256">
        <v>12</v>
      </c>
      <c r="J1256" t="s">
        <v>21</v>
      </c>
      <c r="K1256" t="s">
        <v>14</v>
      </c>
      <c r="L1256">
        <v>12</v>
      </c>
    </row>
    <row r="1257" spans="1:12" x14ac:dyDescent="0.3">
      <c r="A1257">
        <v>530</v>
      </c>
      <c r="B1257" t="s">
        <v>26</v>
      </c>
      <c r="C1257" s="1">
        <v>45924</v>
      </c>
      <c r="D1257" s="1" t="str">
        <f xml:space="preserve"> TEXT(FilmaxData[[#This Row],[Show_Date]],"MMM")</f>
        <v>Sep</v>
      </c>
      <c r="E1257" s="1" t="str">
        <f xml:space="preserve"> TEXT(FilmaxData[[#This Row],[Show_Date]],"DDD")</f>
        <v>Wed</v>
      </c>
      <c r="F1257" t="s">
        <v>33</v>
      </c>
      <c r="G1257" t="s">
        <v>29</v>
      </c>
      <c r="H1257">
        <v>4</v>
      </c>
      <c r="I1257">
        <v>30</v>
      </c>
      <c r="J1257" t="s">
        <v>23</v>
      </c>
      <c r="K1257" t="s">
        <v>14</v>
      </c>
      <c r="L1257">
        <v>120</v>
      </c>
    </row>
    <row r="1258" spans="1:12" x14ac:dyDescent="0.3">
      <c r="A1258">
        <v>1361</v>
      </c>
      <c r="B1258" t="s">
        <v>10</v>
      </c>
      <c r="C1258" s="1">
        <v>45927</v>
      </c>
      <c r="D1258" s="1" t="str">
        <f xml:space="preserve"> TEXT(FilmaxData[[#This Row],[Show_Date]],"MMM")</f>
        <v>Sep</v>
      </c>
      <c r="E1258" s="1" t="str">
        <f xml:space="preserve"> TEXT(FilmaxData[[#This Row],[Show_Date]],"DDD")</f>
        <v>Sat</v>
      </c>
      <c r="F1258" t="s">
        <v>20</v>
      </c>
      <c r="G1258" t="s">
        <v>30</v>
      </c>
      <c r="H1258">
        <v>1</v>
      </c>
      <c r="I1258">
        <v>8</v>
      </c>
      <c r="J1258" t="s">
        <v>13</v>
      </c>
      <c r="K1258" t="s">
        <v>14</v>
      </c>
      <c r="L1258">
        <v>8</v>
      </c>
    </row>
    <row r="1259" spans="1:12" x14ac:dyDescent="0.3">
      <c r="A1259">
        <v>1096</v>
      </c>
      <c r="B1259" t="s">
        <v>26</v>
      </c>
      <c r="C1259" s="1">
        <v>45850</v>
      </c>
      <c r="D1259" s="1" t="str">
        <f xml:space="preserve"> TEXT(FilmaxData[[#This Row],[Show_Date]],"MMM")</f>
        <v>Jul</v>
      </c>
      <c r="E1259" s="1" t="str">
        <f xml:space="preserve"> TEXT(FilmaxData[[#This Row],[Show_Date]],"DDD")</f>
        <v>Sat</v>
      </c>
      <c r="F1259" t="s">
        <v>16</v>
      </c>
      <c r="G1259" t="s">
        <v>30</v>
      </c>
      <c r="H1259">
        <v>5</v>
      </c>
      <c r="I1259">
        <v>8</v>
      </c>
      <c r="J1259" t="s">
        <v>23</v>
      </c>
      <c r="K1259" t="s">
        <v>27</v>
      </c>
      <c r="L1259">
        <v>40</v>
      </c>
    </row>
    <row r="1260" spans="1:12" x14ac:dyDescent="0.3">
      <c r="A1260">
        <v>423</v>
      </c>
      <c r="B1260" t="s">
        <v>10</v>
      </c>
      <c r="C1260" s="1">
        <v>45921</v>
      </c>
      <c r="D1260" s="1" t="str">
        <f xml:space="preserve"> TEXT(FilmaxData[[#This Row],[Show_Date]],"MMM")</f>
        <v>Sep</v>
      </c>
      <c r="E1260" s="1" t="str">
        <f xml:space="preserve"> TEXT(FilmaxData[[#This Row],[Show_Date]],"DDD")</f>
        <v>Sun</v>
      </c>
      <c r="F1260" t="s">
        <v>33</v>
      </c>
      <c r="G1260" t="s">
        <v>30</v>
      </c>
      <c r="H1260">
        <v>2</v>
      </c>
      <c r="I1260">
        <v>8</v>
      </c>
      <c r="J1260" t="s">
        <v>23</v>
      </c>
      <c r="K1260" t="s">
        <v>25</v>
      </c>
      <c r="L1260">
        <v>16</v>
      </c>
    </row>
    <row r="1261" spans="1:12" x14ac:dyDescent="0.3">
      <c r="A1261">
        <v>227</v>
      </c>
      <c r="B1261" t="s">
        <v>15</v>
      </c>
      <c r="C1261" s="1">
        <v>45922</v>
      </c>
      <c r="D1261" s="1" t="str">
        <f xml:space="preserve"> TEXT(FilmaxData[[#This Row],[Show_Date]],"MMM")</f>
        <v>Sep</v>
      </c>
      <c r="E1261" s="1" t="str">
        <f xml:space="preserve"> TEXT(FilmaxData[[#This Row],[Show_Date]],"DDD")</f>
        <v>Mon</v>
      </c>
      <c r="F1261" t="s">
        <v>11</v>
      </c>
      <c r="G1261" t="s">
        <v>17</v>
      </c>
      <c r="H1261">
        <v>5</v>
      </c>
      <c r="I1261">
        <v>12</v>
      </c>
      <c r="J1261" t="s">
        <v>13</v>
      </c>
      <c r="K1261" t="s">
        <v>27</v>
      </c>
      <c r="L1261">
        <v>60</v>
      </c>
    </row>
    <row r="1262" spans="1:12" x14ac:dyDescent="0.3">
      <c r="A1262">
        <v>920</v>
      </c>
      <c r="B1262" t="s">
        <v>19</v>
      </c>
      <c r="C1262" s="1">
        <v>45864</v>
      </c>
      <c r="D1262" s="1" t="str">
        <f xml:space="preserve"> TEXT(FilmaxData[[#This Row],[Show_Date]],"MMM")</f>
        <v>Jul</v>
      </c>
      <c r="E1262" s="1" t="str">
        <f xml:space="preserve"> TEXT(FilmaxData[[#This Row],[Show_Date]],"DDD")</f>
        <v>Sat</v>
      </c>
      <c r="F1262" t="s">
        <v>20</v>
      </c>
      <c r="G1262" t="s">
        <v>17</v>
      </c>
      <c r="H1262">
        <v>3</v>
      </c>
      <c r="I1262">
        <v>12</v>
      </c>
      <c r="J1262" t="s">
        <v>23</v>
      </c>
      <c r="K1262" t="s">
        <v>18</v>
      </c>
      <c r="L1262">
        <v>36</v>
      </c>
    </row>
    <row r="1263" spans="1:12" x14ac:dyDescent="0.3">
      <c r="A1263">
        <v>1623</v>
      </c>
      <c r="B1263" t="s">
        <v>10</v>
      </c>
      <c r="C1263" s="1">
        <v>45873</v>
      </c>
      <c r="D1263" s="1" t="str">
        <f xml:space="preserve"> TEXT(FilmaxData[[#This Row],[Show_Date]],"MMM")</f>
        <v>Aug</v>
      </c>
      <c r="E1263" s="1" t="str">
        <f xml:space="preserve"> TEXT(FilmaxData[[#This Row],[Show_Date]],"DDD")</f>
        <v>Mon</v>
      </c>
      <c r="F1263" t="s">
        <v>16</v>
      </c>
      <c r="G1263" t="s">
        <v>17</v>
      </c>
      <c r="H1263">
        <v>4</v>
      </c>
      <c r="I1263">
        <v>12</v>
      </c>
      <c r="J1263" t="s">
        <v>23</v>
      </c>
      <c r="K1263" t="s">
        <v>18</v>
      </c>
      <c r="L1263">
        <v>48</v>
      </c>
    </row>
    <row r="1264" spans="1:12" x14ac:dyDescent="0.3">
      <c r="A1264">
        <v>554</v>
      </c>
      <c r="B1264" t="s">
        <v>31</v>
      </c>
      <c r="C1264" s="1">
        <v>45886</v>
      </c>
      <c r="D1264" s="1" t="str">
        <f xml:space="preserve"> TEXT(FilmaxData[[#This Row],[Show_Date]],"MMM")</f>
        <v>Aug</v>
      </c>
      <c r="E1264" s="1" t="str">
        <f xml:space="preserve"> TEXT(FilmaxData[[#This Row],[Show_Date]],"DDD")</f>
        <v>Sun</v>
      </c>
      <c r="F1264" t="s">
        <v>16</v>
      </c>
      <c r="G1264" t="s">
        <v>29</v>
      </c>
      <c r="H1264">
        <v>3</v>
      </c>
      <c r="I1264">
        <v>30</v>
      </c>
      <c r="J1264" t="s">
        <v>21</v>
      </c>
      <c r="K1264" t="s">
        <v>14</v>
      </c>
      <c r="L1264">
        <v>90</v>
      </c>
    </row>
    <row r="1265" spans="1:12" x14ac:dyDescent="0.3">
      <c r="A1265">
        <v>610</v>
      </c>
      <c r="B1265" t="s">
        <v>19</v>
      </c>
      <c r="C1265" s="1">
        <v>45844</v>
      </c>
      <c r="D1265" s="1" t="str">
        <f xml:space="preserve"> TEXT(FilmaxData[[#This Row],[Show_Date]],"MMM")</f>
        <v>Jul</v>
      </c>
      <c r="E1265" s="1" t="str">
        <f xml:space="preserve"> TEXT(FilmaxData[[#This Row],[Show_Date]],"DDD")</f>
        <v>Sun</v>
      </c>
      <c r="F1265" t="s">
        <v>16</v>
      </c>
      <c r="G1265" t="s">
        <v>17</v>
      </c>
      <c r="H1265">
        <v>3</v>
      </c>
      <c r="I1265">
        <v>12</v>
      </c>
      <c r="J1265" t="s">
        <v>13</v>
      </c>
      <c r="K1265" t="s">
        <v>27</v>
      </c>
      <c r="L1265">
        <v>36</v>
      </c>
    </row>
    <row r="1266" spans="1:12" x14ac:dyDescent="0.3">
      <c r="A1266">
        <v>1920</v>
      </c>
      <c r="B1266" t="s">
        <v>24</v>
      </c>
      <c r="C1266" s="1">
        <v>45880</v>
      </c>
      <c r="D1266" s="1" t="str">
        <f xml:space="preserve"> TEXT(FilmaxData[[#This Row],[Show_Date]],"MMM")</f>
        <v>Aug</v>
      </c>
      <c r="E1266" s="1" t="str">
        <f xml:space="preserve"> TEXT(FilmaxData[[#This Row],[Show_Date]],"DDD")</f>
        <v>Mon</v>
      </c>
      <c r="F1266" t="s">
        <v>11</v>
      </c>
      <c r="G1266" t="s">
        <v>22</v>
      </c>
      <c r="H1266">
        <v>3</v>
      </c>
      <c r="I1266">
        <v>20</v>
      </c>
      <c r="J1266" t="s">
        <v>13</v>
      </c>
      <c r="K1266" t="s">
        <v>27</v>
      </c>
      <c r="L1266">
        <v>60</v>
      </c>
    </row>
    <row r="1267" spans="1:12" x14ac:dyDescent="0.3">
      <c r="A1267">
        <v>1266</v>
      </c>
      <c r="B1267" t="s">
        <v>32</v>
      </c>
      <c r="C1267" s="1">
        <v>45916</v>
      </c>
      <c r="D1267" s="1" t="str">
        <f xml:space="preserve"> TEXT(FilmaxData[[#This Row],[Show_Date]],"MMM")</f>
        <v>Sep</v>
      </c>
      <c r="E1267" s="1" t="str">
        <f xml:space="preserve"> TEXT(FilmaxData[[#This Row],[Show_Date]],"DDD")</f>
        <v>Tue</v>
      </c>
      <c r="F1267" t="s">
        <v>16</v>
      </c>
      <c r="G1267" t="s">
        <v>17</v>
      </c>
      <c r="H1267">
        <v>5</v>
      </c>
      <c r="I1267">
        <v>12</v>
      </c>
      <c r="J1267" t="s">
        <v>23</v>
      </c>
      <c r="K1267" t="s">
        <v>18</v>
      </c>
      <c r="L1267">
        <v>60</v>
      </c>
    </row>
    <row r="1268" spans="1:12" x14ac:dyDescent="0.3">
      <c r="A1268">
        <v>99</v>
      </c>
      <c r="B1268" t="s">
        <v>10</v>
      </c>
      <c r="C1268" s="1">
        <v>45884</v>
      </c>
      <c r="D1268" s="1" t="str">
        <f xml:space="preserve"> TEXT(FilmaxData[[#This Row],[Show_Date]],"MMM")</f>
        <v>Aug</v>
      </c>
      <c r="E1268" s="1" t="str">
        <f xml:space="preserve"> TEXT(FilmaxData[[#This Row],[Show_Date]],"DDD")</f>
        <v>Fri</v>
      </c>
      <c r="F1268" t="s">
        <v>20</v>
      </c>
      <c r="G1268" t="s">
        <v>30</v>
      </c>
      <c r="H1268">
        <v>1</v>
      </c>
      <c r="I1268">
        <v>8</v>
      </c>
      <c r="J1268" t="s">
        <v>21</v>
      </c>
      <c r="K1268" t="s">
        <v>27</v>
      </c>
      <c r="L1268">
        <v>8</v>
      </c>
    </row>
    <row r="1269" spans="1:12" x14ac:dyDescent="0.3">
      <c r="A1269">
        <v>1768</v>
      </c>
      <c r="B1269" t="s">
        <v>24</v>
      </c>
      <c r="C1269" s="1">
        <v>45900</v>
      </c>
      <c r="D1269" s="1" t="str">
        <f xml:space="preserve"> TEXT(FilmaxData[[#This Row],[Show_Date]],"MMM")</f>
        <v>Aug</v>
      </c>
      <c r="E1269" s="1" t="str">
        <f xml:space="preserve"> TEXT(FilmaxData[[#This Row],[Show_Date]],"DDD")</f>
        <v>Sun</v>
      </c>
      <c r="F1269" t="s">
        <v>33</v>
      </c>
      <c r="G1269" t="s">
        <v>17</v>
      </c>
      <c r="H1269">
        <v>4</v>
      </c>
      <c r="I1269">
        <v>12</v>
      </c>
      <c r="J1269" t="s">
        <v>23</v>
      </c>
      <c r="K1269" t="s">
        <v>14</v>
      </c>
      <c r="L1269">
        <v>48</v>
      </c>
    </row>
    <row r="1270" spans="1:12" x14ac:dyDescent="0.3">
      <c r="A1270">
        <v>1458</v>
      </c>
      <c r="B1270" t="s">
        <v>31</v>
      </c>
      <c r="C1270" s="1">
        <v>45883</v>
      </c>
      <c r="D1270" s="1" t="str">
        <f xml:space="preserve"> TEXT(FilmaxData[[#This Row],[Show_Date]],"MMM")</f>
        <v>Aug</v>
      </c>
      <c r="E1270" s="1" t="str">
        <f xml:space="preserve"> TEXT(FilmaxData[[#This Row],[Show_Date]],"DDD")</f>
        <v>Thu</v>
      </c>
      <c r="F1270" t="s">
        <v>33</v>
      </c>
      <c r="G1270" t="s">
        <v>30</v>
      </c>
      <c r="H1270">
        <v>1</v>
      </c>
      <c r="I1270">
        <v>8</v>
      </c>
      <c r="J1270" t="s">
        <v>23</v>
      </c>
      <c r="K1270" t="s">
        <v>18</v>
      </c>
      <c r="L1270">
        <v>8</v>
      </c>
    </row>
    <row r="1271" spans="1:12" x14ac:dyDescent="0.3">
      <c r="A1271">
        <v>798</v>
      </c>
      <c r="B1271" t="s">
        <v>28</v>
      </c>
      <c r="C1271" s="1">
        <v>45911</v>
      </c>
      <c r="D1271" s="1" t="str">
        <f xml:space="preserve"> TEXT(FilmaxData[[#This Row],[Show_Date]],"MMM")</f>
        <v>Sep</v>
      </c>
      <c r="E1271" s="1" t="str">
        <f xml:space="preserve"> TEXT(FilmaxData[[#This Row],[Show_Date]],"DDD")</f>
        <v>Thu</v>
      </c>
      <c r="F1271" t="s">
        <v>16</v>
      </c>
      <c r="G1271" t="s">
        <v>12</v>
      </c>
      <c r="H1271">
        <v>3</v>
      </c>
      <c r="I1271">
        <v>25</v>
      </c>
      <c r="J1271" t="s">
        <v>23</v>
      </c>
      <c r="K1271" t="s">
        <v>27</v>
      </c>
      <c r="L1271">
        <v>75</v>
      </c>
    </row>
    <row r="1272" spans="1:12" x14ac:dyDescent="0.3">
      <c r="A1272">
        <v>991</v>
      </c>
      <c r="B1272" t="s">
        <v>26</v>
      </c>
      <c r="C1272" s="1">
        <v>45929</v>
      </c>
      <c r="D1272" s="1" t="str">
        <f xml:space="preserve"> TEXT(FilmaxData[[#This Row],[Show_Date]],"MMM")</f>
        <v>Sep</v>
      </c>
      <c r="E1272" s="1" t="str">
        <f xml:space="preserve"> TEXT(FilmaxData[[#This Row],[Show_Date]],"DDD")</f>
        <v>Mon</v>
      </c>
      <c r="F1272" t="s">
        <v>20</v>
      </c>
      <c r="G1272" t="s">
        <v>17</v>
      </c>
      <c r="H1272">
        <v>2</v>
      </c>
      <c r="I1272">
        <v>12</v>
      </c>
      <c r="J1272" t="s">
        <v>13</v>
      </c>
      <c r="K1272" t="s">
        <v>14</v>
      </c>
      <c r="L1272">
        <v>24</v>
      </c>
    </row>
    <row r="1273" spans="1:12" x14ac:dyDescent="0.3">
      <c r="A1273">
        <v>1777</v>
      </c>
      <c r="B1273" t="s">
        <v>26</v>
      </c>
      <c r="C1273" s="1">
        <v>45880</v>
      </c>
      <c r="D1273" s="1" t="str">
        <f xml:space="preserve"> TEXT(FilmaxData[[#This Row],[Show_Date]],"MMM")</f>
        <v>Aug</v>
      </c>
      <c r="E1273" s="1" t="str">
        <f xml:space="preserve"> TEXT(FilmaxData[[#This Row],[Show_Date]],"DDD")</f>
        <v>Mon</v>
      </c>
      <c r="F1273" t="s">
        <v>33</v>
      </c>
      <c r="G1273" t="s">
        <v>22</v>
      </c>
      <c r="H1273">
        <v>4</v>
      </c>
      <c r="I1273">
        <v>20</v>
      </c>
      <c r="J1273" t="s">
        <v>13</v>
      </c>
      <c r="K1273" t="s">
        <v>25</v>
      </c>
      <c r="L1273">
        <v>80</v>
      </c>
    </row>
    <row r="1274" spans="1:12" x14ac:dyDescent="0.3">
      <c r="A1274">
        <v>1672</v>
      </c>
      <c r="B1274" t="s">
        <v>15</v>
      </c>
      <c r="C1274" s="1">
        <v>45886</v>
      </c>
      <c r="D1274" s="1" t="str">
        <f xml:space="preserve"> TEXT(FilmaxData[[#This Row],[Show_Date]],"MMM")</f>
        <v>Aug</v>
      </c>
      <c r="E1274" s="1" t="str">
        <f xml:space="preserve"> TEXT(FilmaxData[[#This Row],[Show_Date]],"DDD")</f>
        <v>Sun</v>
      </c>
      <c r="F1274" t="s">
        <v>20</v>
      </c>
      <c r="G1274" t="s">
        <v>17</v>
      </c>
      <c r="H1274">
        <v>5</v>
      </c>
      <c r="I1274">
        <v>12</v>
      </c>
      <c r="J1274" t="s">
        <v>21</v>
      </c>
      <c r="K1274" t="s">
        <v>14</v>
      </c>
      <c r="L1274">
        <v>60</v>
      </c>
    </row>
    <row r="1275" spans="1:12" x14ac:dyDescent="0.3">
      <c r="A1275">
        <v>726</v>
      </c>
      <c r="B1275" t="s">
        <v>15</v>
      </c>
      <c r="C1275" s="1">
        <v>45872</v>
      </c>
      <c r="D1275" s="1" t="str">
        <f xml:space="preserve"> TEXT(FilmaxData[[#This Row],[Show_Date]],"MMM")</f>
        <v>Aug</v>
      </c>
      <c r="E1275" s="1" t="str">
        <f xml:space="preserve"> TEXT(FilmaxData[[#This Row],[Show_Date]],"DDD")</f>
        <v>Sun</v>
      </c>
      <c r="F1275" t="s">
        <v>20</v>
      </c>
      <c r="G1275" t="s">
        <v>17</v>
      </c>
      <c r="H1275">
        <v>4</v>
      </c>
      <c r="I1275">
        <v>12</v>
      </c>
      <c r="J1275" t="s">
        <v>23</v>
      </c>
      <c r="K1275" t="s">
        <v>18</v>
      </c>
      <c r="L1275">
        <v>48</v>
      </c>
    </row>
    <row r="1276" spans="1:12" x14ac:dyDescent="0.3">
      <c r="A1276">
        <v>1455</v>
      </c>
      <c r="B1276" t="s">
        <v>24</v>
      </c>
      <c r="C1276" s="1">
        <v>45866</v>
      </c>
      <c r="D1276" s="1" t="str">
        <f xml:space="preserve"> TEXT(FilmaxData[[#This Row],[Show_Date]],"MMM")</f>
        <v>Jul</v>
      </c>
      <c r="E1276" s="1" t="str">
        <f xml:space="preserve"> TEXT(FilmaxData[[#This Row],[Show_Date]],"DDD")</f>
        <v>Mon</v>
      </c>
      <c r="F1276" t="s">
        <v>11</v>
      </c>
      <c r="G1276" t="s">
        <v>29</v>
      </c>
      <c r="H1276">
        <v>5</v>
      </c>
      <c r="I1276">
        <v>30</v>
      </c>
      <c r="J1276" t="s">
        <v>23</v>
      </c>
      <c r="K1276" t="s">
        <v>18</v>
      </c>
      <c r="L1276">
        <v>150</v>
      </c>
    </row>
    <row r="1277" spans="1:12" x14ac:dyDescent="0.3">
      <c r="A1277">
        <v>398</v>
      </c>
      <c r="B1277" t="s">
        <v>10</v>
      </c>
      <c r="C1277" s="1">
        <v>45918</v>
      </c>
      <c r="D1277" s="1" t="str">
        <f xml:space="preserve"> TEXT(FilmaxData[[#This Row],[Show_Date]],"MMM")</f>
        <v>Sep</v>
      </c>
      <c r="E1277" s="1" t="str">
        <f xml:space="preserve"> TEXT(FilmaxData[[#This Row],[Show_Date]],"DDD")</f>
        <v>Thu</v>
      </c>
      <c r="F1277" t="s">
        <v>11</v>
      </c>
      <c r="G1277" t="s">
        <v>17</v>
      </c>
      <c r="H1277">
        <v>5</v>
      </c>
      <c r="I1277">
        <v>12</v>
      </c>
      <c r="J1277" t="s">
        <v>21</v>
      </c>
      <c r="K1277" t="s">
        <v>27</v>
      </c>
      <c r="L1277">
        <v>60</v>
      </c>
    </row>
    <row r="1278" spans="1:12" x14ac:dyDescent="0.3">
      <c r="A1278">
        <v>849</v>
      </c>
      <c r="B1278" t="s">
        <v>28</v>
      </c>
      <c r="C1278" s="1">
        <v>45853</v>
      </c>
      <c r="D1278" s="1" t="str">
        <f xml:space="preserve"> TEXT(FilmaxData[[#This Row],[Show_Date]],"MMM")</f>
        <v>Jul</v>
      </c>
      <c r="E1278" s="1" t="str">
        <f xml:space="preserve"> TEXT(FilmaxData[[#This Row],[Show_Date]],"DDD")</f>
        <v>Tue</v>
      </c>
      <c r="F1278" t="s">
        <v>33</v>
      </c>
      <c r="G1278" t="s">
        <v>12</v>
      </c>
      <c r="H1278">
        <v>4</v>
      </c>
      <c r="I1278">
        <v>25</v>
      </c>
      <c r="J1278" t="s">
        <v>23</v>
      </c>
      <c r="K1278" t="s">
        <v>25</v>
      </c>
      <c r="L1278">
        <v>100</v>
      </c>
    </row>
    <row r="1279" spans="1:12" x14ac:dyDescent="0.3">
      <c r="A1279">
        <v>1363</v>
      </c>
      <c r="B1279" t="s">
        <v>24</v>
      </c>
      <c r="C1279" s="1">
        <v>45899</v>
      </c>
      <c r="D1279" s="1" t="str">
        <f xml:space="preserve"> TEXT(FilmaxData[[#This Row],[Show_Date]],"MMM")</f>
        <v>Aug</v>
      </c>
      <c r="E1279" s="1" t="str">
        <f xml:space="preserve"> TEXT(FilmaxData[[#This Row],[Show_Date]],"DDD")</f>
        <v>Sat</v>
      </c>
      <c r="F1279" t="s">
        <v>16</v>
      </c>
      <c r="G1279" t="s">
        <v>30</v>
      </c>
      <c r="H1279">
        <v>5</v>
      </c>
      <c r="I1279">
        <v>8</v>
      </c>
      <c r="J1279" t="s">
        <v>23</v>
      </c>
      <c r="K1279" t="s">
        <v>27</v>
      </c>
      <c r="L1279">
        <v>40</v>
      </c>
    </row>
    <row r="1280" spans="1:12" x14ac:dyDescent="0.3">
      <c r="A1280">
        <v>937</v>
      </c>
      <c r="B1280" t="s">
        <v>10</v>
      </c>
      <c r="C1280" s="1">
        <v>45920</v>
      </c>
      <c r="D1280" s="1" t="str">
        <f xml:space="preserve"> TEXT(FilmaxData[[#This Row],[Show_Date]],"MMM")</f>
        <v>Sep</v>
      </c>
      <c r="E1280" s="1" t="str">
        <f xml:space="preserve"> TEXT(FilmaxData[[#This Row],[Show_Date]],"DDD")</f>
        <v>Sat</v>
      </c>
      <c r="F1280" t="s">
        <v>16</v>
      </c>
      <c r="G1280" t="s">
        <v>30</v>
      </c>
      <c r="H1280">
        <v>5</v>
      </c>
      <c r="I1280">
        <v>8</v>
      </c>
      <c r="J1280" t="s">
        <v>21</v>
      </c>
      <c r="K1280" t="s">
        <v>14</v>
      </c>
      <c r="L1280">
        <v>40</v>
      </c>
    </row>
    <row r="1281" spans="1:12" x14ac:dyDescent="0.3">
      <c r="A1281">
        <v>166</v>
      </c>
      <c r="B1281" t="s">
        <v>24</v>
      </c>
      <c r="C1281" s="1">
        <v>45902</v>
      </c>
      <c r="D1281" s="1" t="str">
        <f xml:space="preserve"> TEXT(FilmaxData[[#This Row],[Show_Date]],"MMM")</f>
        <v>Sep</v>
      </c>
      <c r="E1281" s="1" t="str">
        <f xml:space="preserve"> TEXT(FilmaxData[[#This Row],[Show_Date]],"DDD")</f>
        <v>Tue</v>
      </c>
      <c r="F1281" t="s">
        <v>11</v>
      </c>
      <c r="G1281" t="s">
        <v>29</v>
      </c>
      <c r="H1281">
        <v>4</v>
      </c>
      <c r="I1281">
        <v>30</v>
      </c>
      <c r="J1281" t="s">
        <v>23</v>
      </c>
      <c r="K1281" t="s">
        <v>27</v>
      </c>
      <c r="L1281">
        <v>120</v>
      </c>
    </row>
    <row r="1282" spans="1:12" x14ac:dyDescent="0.3">
      <c r="A1282">
        <v>348</v>
      </c>
      <c r="B1282" t="s">
        <v>31</v>
      </c>
      <c r="C1282" s="1">
        <v>45881</v>
      </c>
      <c r="D1282" s="1" t="str">
        <f xml:space="preserve"> TEXT(FilmaxData[[#This Row],[Show_Date]],"MMM")</f>
        <v>Aug</v>
      </c>
      <c r="E1282" s="1" t="str">
        <f xml:space="preserve"> TEXT(FilmaxData[[#This Row],[Show_Date]],"DDD")</f>
        <v>Tue</v>
      </c>
      <c r="F1282" t="s">
        <v>20</v>
      </c>
      <c r="G1282" t="s">
        <v>17</v>
      </c>
      <c r="H1282">
        <v>2</v>
      </c>
      <c r="I1282">
        <v>12</v>
      </c>
      <c r="J1282" t="s">
        <v>13</v>
      </c>
      <c r="K1282" t="s">
        <v>14</v>
      </c>
      <c r="L1282">
        <v>24</v>
      </c>
    </row>
    <row r="1283" spans="1:12" x14ac:dyDescent="0.3">
      <c r="A1283">
        <v>1829</v>
      </c>
      <c r="B1283" t="s">
        <v>10</v>
      </c>
      <c r="C1283" s="1">
        <v>45923</v>
      </c>
      <c r="D1283" s="1" t="str">
        <f xml:space="preserve"> TEXT(FilmaxData[[#This Row],[Show_Date]],"MMM")</f>
        <v>Sep</v>
      </c>
      <c r="E1283" s="1" t="str">
        <f xml:space="preserve"> TEXT(FilmaxData[[#This Row],[Show_Date]],"DDD")</f>
        <v>Tue</v>
      </c>
      <c r="F1283" t="s">
        <v>33</v>
      </c>
      <c r="G1283" t="s">
        <v>22</v>
      </c>
      <c r="H1283">
        <v>4</v>
      </c>
      <c r="I1283">
        <v>20</v>
      </c>
      <c r="J1283" t="s">
        <v>23</v>
      </c>
      <c r="K1283" t="s">
        <v>25</v>
      </c>
      <c r="L1283">
        <v>80</v>
      </c>
    </row>
    <row r="1284" spans="1:12" x14ac:dyDescent="0.3">
      <c r="A1284">
        <v>900</v>
      </c>
      <c r="B1284" t="s">
        <v>32</v>
      </c>
      <c r="C1284" s="1">
        <v>45844</v>
      </c>
      <c r="D1284" s="1" t="str">
        <f xml:space="preserve"> TEXT(FilmaxData[[#This Row],[Show_Date]],"MMM")</f>
        <v>Jul</v>
      </c>
      <c r="E1284" s="1" t="str">
        <f xml:space="preserve"> TEXT(FilmaxData[[#This Row],[Show_Date]],"DDD")</f>
        <v>Sun</v>
      </c>
      <c r="F1284" t="s">
        <v>20</v>
      </c>
      <c r="G1284" t="s">
        <v>17</v>
      </c>
      <c r="H1284">
        <v>2</v>
      </c>
      <c r="I1284">
        <v>12</v>
      </c>
      <c r="J1284" t="s">
        <v>21</v>
      </c>
      <c r="K1284" t="s">
        <v>27</v>
      </c>
      <c r="L1284">
        <v>24</v>
      </c>
    </row>
    <row r="1285" spans="1:12" x14ac:dyDescent="0.3">
      <c r="A1285">
        <v>213</v>
      </c>
      <c r="B1285" t="s">
        <v>15</v>
      </c>
      <c r="C1285" s="1">
        <v>45843</v>
      </c>
      <c r="D1285" s="1" t="str">
        <f xml:space="preserve"> TEXT(FilmaxData[[#This Row],[Show_Date]],"MMM")</f>
        <v>Jul</v>
      </c>
      <c r="E1285" s="1" t="str">
        <f xml:space="preserve"> TEXT(FilmaxData[[#This Row],[Show_Date]],"DDD")</f>
        <v>Sat</v>
      </c>
      <c r="F1285" t="s">
        <v>20</v>
      </c>
      <c r="G1285" t="s">
        <v>17</v>
      </c>
      <c r="H1285">
        <v>4</v>
      </c>
      <c r="I1285">
        <v>12</v>
      </c>
      <c r="J1285" t="s">
        <v>23</v>
      </c>
      <c r="K1285" t="s">
        <v>14</v>
      </c>
      <c r="L1285">
        <v>48</v>
      </c>
    </row>
    <row r="1286" spans="1:12" x14ac:dyDescent="0.3">
      <c r="A1286">
        <v>421</v>
      </c>
      <c r="B1286" t="s">
        <v>26</v>
      </c>
      <c r="C1286" s="1">
        <v>45841</v>
      </c>
      <c r="D1286" s="1" t="str">
        <f xml:space="preserve"> TEXT(FilmaxData[[#This Row],[Show_Date]],"MMM")</f>
        <v>Jul</v>
      </c>
      <c r="E1286" s="1" t="str">
        <f xml:space="preserve"> TEXT(FilmaxData[[#This Row],[Show_Date]],"DDD")</f>
        <v>Thu</v>
      </c>
      <c r="F1286" t="s">
        <v>33</v>
      </c>
      <c r="G1286" t="s">
        <v>17</v>
      </c>
      <c r="H1286">
        <v>3</v>
      </c>
      <c r="I1286">
        <v>12</v>
      </c>
      <c r="J1286" t="s">
        <v>23</v>
      </c>
      <c r="K1286" t="s">
        <v>27</v>
      </c>
      <c r="L1286">
        <v>36</v>
      </c>
    </row>
    <row r="1287" spans="1:12" x14ac:dyDescent="0.3">
      <c r="A1287">
        <v>134</v>
      </c>
      <c r="B1287" t="s">
        <v>15</v>
      </c>
      <c r="C1287" s="1">
        <v>45842</v>
      </c>
      <c r="D1287" s="1" t="str">
        <f xml:space="preserve"> TEXT(FilmaxData[[#This Row],[Show_Date]],"MMM")</f>
        <v>Jul</v>
      </c>
      <c r="E1287" s="1" t="str">
        <f xml:space="preserve"> TEXT(FilmaxData[[#This Row],[Show_Date]],"DDD")</f>
        <v>Fri</v>
      </c>
      <c r="F1287" t="s">
        <v>33</v>
      </c>
      <c r="G1287" t="s">
        <v>12</v>
      </c>
      <c r="H1287">
        <v>4</v>
      </c>
      <c r="I1287">
        <v>25</v>
      </c>
      <c r="J1287" t="s">
        <v>23</v>
      </c>
      <c r="K1287" t="s">
        <v>18</v>
      </c>
      <c r="L1287">
        <v>100</v>
      </c>
    </row>
    <row r="1288" spans="1:12" x14ac:dyDescent="0.3">
      <c r="A1288">
        <v>592</v>
      </c>
      <c r="B1288" t="s">
        <v>19</v>
      </c>
      <c r="C1288" s="1">
        <v>45871</v>
      </c>
      <c r="D1288" s="1" t="str">
        <f xml:space="preserve"> TEXT(FilmaxData[[#This Row],[Show_Date]],"MMM")</f>
        <v>Aug</v>
      </c>
      <c r="E1288" s="1" t="str">
        <f xml:space="preserve"> TEXT(FilmaxData[[#This Row],[Show_Date]],"DDD")</f>
        <v>Sat</v>
      </c>
      <c r="F1288" t="s">
        <v>20</v>
      </c>
      <c r="G1288" t="s">
        <v>22</v>
      </c>
      <c r="H1288">
        <v>5</v>
      </c>
      <c r="I1288">
        <v>20</v>
      </c>
      <c r="J1288" t="s">
        <v>21</v>
      </c>
      <c r="K1288" t="s">
        <v>18</v>
      </c>
      <c r="L1288">
        <v>100</v>
      </c>
    </row>
    <row r="1289" spans="1:12" x14ac:dyDescent="0.3">
      <c r="A1289">
        <v>948</v>
      </c>
      <c r="B1289" t="s">
        <v>19</v>
      </c>
      <c r="C1289" s="1">
        <v>45851</v>
      </c>
      <c r="D1289" s="1" t="str">
        <f xml:space="preserve"> TEXT(FilmaxData[[#This Row],[Show_Date]],"MMM")</f>
        <v>Jul</v>
      </c>
      <c r="E1289" s="1" t="str">
        <f xml:space="preserve"> TEXT(FilmaxData[[#This Row],[Show_Date]],"DDD")</f>
        <v>Sun</v>
      </c>
      <c r="F1289" t="s">
        <v>20</v>
      </c>
      <c r="G1289" t="s">
        <v>12</v>
      </c>
      <c r="H1289">
        <v>2</v>
      </c>
      <c r="I1289">
        <v>25</v>
      </c>
      <c r="J1289" t="s">
        <v>23</v>
      </c>
      <c r="K1289" t="s">
        <v>14</v>
      </c>
      <c r="L1289">
        <v>50</v>
      </c>
    </row>
    <row r="1290" spans="1:12" x14ac:dyDescent="0.3">
      <c r="A1290">
        <v>1048</v>
      </c>
      <c r="B1290" t="s">
        <v>24</v>
      </c>
      <c r="C1290" s="1">
        <v>45893</v>
      </c>
      <c r="D1290" s="1" t="str">
        <f xml:space="preserve"> TEXT(FilmaxData[[#This Row],[Show_Date]],"MMM")</f>
        <v>Aug</v>
      </c>
      <c r="E1290" s="1" t="str">
        <f xml:space="preserve"> TEXT(FilmaxData[[#This Row],[Show_Date]],"DDD")</f>
        <v>Sun</v>
      </c>
      <c r="F1290" t="s">
        <v>20</v>
      </c>
      <c r="G1290" t="s">
        <v>17</v>
      </c>
      <c r="H1290">
        <v>5</v>
      </c>
      <c r="I1290">
        <v>12</v>
      </c>
      <c r="J1290" t="s">
        <v>21</v>
      </c>
      <c r="K1290" t="s">
        <v>27</v>
      </c>
      <c r="L1290">
        <v>60</v>
      </c>
    </row>
    <row r="1291" spans="1:12" x14ac:dyDescent="0.3">
      <c r="A1291">
        <v>857</v>
      </c>
      <c r="B1291" t="s">
        <v>32</v>
      </c>
      <c r="C1291" s="1">
        <v>45879</v>
      </c>
      <c r="D1291" s="1" t="str">
        <f xml:space="preserve"> TEXT(FilmaxData[[#This Row],[Show_Date]],"MMM")</f>
        <v>Aug</v>
      </c>
      <c r="E1291" s="1" t="str">
        <f xml:space="preserve"> TEXT(FilmaxData[[#This Row],[Show_Date]],"DDD")</f>
        <v>Sun</v>
      </c>
      <c r="F1291" t="s">
        <v>20</v>
      </c>
      <c r="G1291" t="s">
        <v>17</v>
      </c>
      <c r="H1291">
        <v>5</v>
      </c>
      <c r="I1291">
        <v>12</v>
      </c>
      <c r="J1291" t="s">
        <v>21</v>
      </c>
      <c r="K1291" t="s">
        <v>14</v>
      </c>
      <c r="L1291">
        <v>60</v>
      </c>
    </row>
    <row r="1292" spans="1:12" x14ac:dyDescent="0.3">
      <c r="A1292">
        <v>571</v>
      </c>
      <c r="B1292" t="s">
        <v>10</v>
      </c>
      <c r="C1292" s="1">
        <v>45901</v>
      </c>
      <c r="D1292" s="1" t="str">
        <f xml:space="preserve"> TEXT(FilmaxData[[#This Row],[Show_Date]],"MMM")</f>
        <v>Sep</v>
      </c>
      <c r="E1292" s="1" t="str">
        <f xml:space="preserve"> TEXT(FilmaxData[[#This Row],[Show_Date]],"DDD")</f>
        <v>Mon</v>
      </c>
      <c r="F1292" t="s">
        <v>20</v>
      </c>
      <c r="G1292" t="s">
        <v>17</v>
      </c>
      <c r="H1292">
        <v>1</v>
      </c>
      <c r="I1292">
        <v>12</v>
      </c>
      <c r="J1292" t="s">
        <v>13</v>
      </c>
      <c r="K1292" t="s">
        <v>25</v>
      </c>
      <c r="L1292">
        <v>12</v>
      </c>
    </row>
    <row r="1293" spans="1:12" x14ac:dyDescent="0.3">
      <c r="A1293">
        <v>157</v>
      </c>
      <c r="B1293" t="s">
        <v>28</v>
      </c>
      <c r="C1293" s="1">
        <v>45865</v>
      </c>
      <c r="D1293" s="1" t="str">
        <f xml:space="preserve"> TEXT(FilmaxData[[#This Row],[Show_Date]],"MMM")</f>
        <v>Jul</v>
      </c>
      <c r="E1293" s="1" t="str">
        <f xml:space="preserve"> TEXT(FilmaxData[[#This Row],[Show_Date]],"DDD")</f>
        <v>Sun</v>
      </c>
      <c r="F1293" t="s">
        <v>16</v>
      </c>
      <c r="G1293" t="s">
        <v>17</v>
      </c>
      <c r="H1293">
        <v>4</v>
      </c>
      <c r="I1293">
        <v>12</v>
      </c>
      <c r="J1293" t="s">
        <v>21</v>
      </c>
      <c r="K1293" t="s">
        <v>14</v>
      </c>
      <c r="L1293">
        <v>48</v>
      </c>
    </row>
    <row r="1294" spans="1:12" x14ac:dyDescent="0.3">
      <c r="A1294">
        <v>1562</v>
      </c>
      <c r="B1294" t="s">
        <v>31</v>
      </c>
      <c r="C1294" s="1">
        <v>45928</v>
      </c>
      <c r="D1294" s="1" t="str">
        <f xml:space="preserve"> TEXT(FilmaxData[[#This Row],[Show_Date]],"MMM")</f>
        <v>Sep</v>
      </c>
      <c r="E1294" s="1" t="str">
        <f xml:space="preserve"> TEXT(FilmaxData[[#This Row],[Show_Date]],"DDD")</f>
        <v>Sun</v>
      </c>
      <c r="F1294" t="s">
        <v>16</v>
      </c>
      <c r="G1294" t="s">
        <v>22</v>
      </c>
      <c r="H1294">
        <v>1</v>
      </c>
      <c r="I1294">
        <v>20</v>
      </c>
      <c r="J1294" t="s">
        <v>21</v>
      </c>
      <c r="K1294" t="s">
        <v>25</v>
      </c>
      <c r="L1294">
        <v>20</v>
      </c>
    </row>
    <row r="1295" spans="1:12" x14ac:dyDescent="0.3">
      <c r="A1295">
        <v>1838</v>
      </c>
      <c r="B1295" t="s">
        <v>31</v>
      </c>
      <c r="C1295" s="1">
        <v>45894</v>
      </c>
      <c r="D1295" s="1" t="str">
        <f xml:space="preserve"> TEXT(FilmaxData[[#This Row],[Show_Date]],"MMM")</f>
        <v>Aug</v>
      </c>
      <c r="E1295" s="1" t="str">
        <f xml:space="preserve"> TEXT(FilmaxData[[#This Row],[Show_Date]],"DDD")</f>
        <v>Mon</v>
      </c>
      <c r="F1295" t="s">
        <v>20</v>
      </c>
      <c r="G1295" t="s">
        <v>17</v>
      </c>
      <c r="H1295">
        <v>1</v>
      </c>
      <c r="I1295">
        <v>12</v>
      </c>
      <c r="J1295" t="s">
        <v>13</v>
      </c>
      <c r="K1295" t="s">
        <v>14</v>
      </c>
      <c r="L1295">
        <v>12</v>
      </c>
    </row>
    <row r="1296" spans="1:12" x14ac:dyDescent="0.3">
      <c r="A1296">
        <v>1689</v>
      </c>
      <c r="B1296" t="s">
        <v>24</v>
      </c>
      <c r="C1296" s="1">
        <v>45879</v>
      </c>
      <c r="D1296" s="1" t="str">
        <f xml:space="preserve"> TEXT(FilmaxData[[#This Row],[Show_Date]],"MMM")</f>
        <v>Aug</v>
      </c>
      <c r="E1296" s="1" t="str">
        <f xml:space="preserve"> TEXT(FilmaxData[[#This Row],[Show_Date]],"DDD")</f>
        <v>Sun</v>
      </c>
      <c r="F1296" t="s">
        <v>20</v>
      </c>
      <c r="G1296" t="s">
        <v>17</v>
      </c>
      <c r="H1296">
        <v>3</v>
      </c>
      <c r="I1296">
        <v>12</v>
      </c>
      <c r="J1296" t="s">
        <v>21</v>
      </c>
      <c r="K1296" t="s">
        <v>27</v>
      </c>
      <c r="L1296">
        <v>36</v>
      </c>
    </row>
    <row r="1297" spans="1:12" x14ac:dyDescent="0.3">
      <c r="A1297">
        <v>1542</v>
      </c>
      <c r="B1297" t="s">
        <v>28</v>
      </c>
      <c r="C1297" s="1">
        <v>45901</v>
      </c>
      <c r="D1297" s="1" t="str">
        <f xml:space="preserve"> TEXT(FilmaxData[[#This Row],[Show_Date]],"MMM")</f>
        <v>Sep</v>
      </c>
      <c r="E1297" s="1" t="str">
        <f xml:space="preserve"> TEXT(FilmaxData[[#This Row],[Show_Date]],"DDD")</f>
        <v>Mon</v>
      </c>
      <c r="F1297" t="s">
        <v>20</v>
      </c>
      <c r="G1297" t="s">
        <v>22</v>
      </c>
      <c r="H1297">
        <v>4</v>
      </c>
      <c r="I1297">
        <v>20</v>
      </c>
      <c r="J1297" t="s">
        <v>21</v>
      </c>
      <c r="K1297" t="s">
        <v>25</v>
      </c>
      <c r="L1297">
        <v>80</v>
      </c>
    </row>
    <row r="1298" spans="1:12" x14ac:dyDescent="0.3">
      <c r="A1298">
        <v>1517</v>
      </c>
      <c r="B1298" t="s">
        <v>28</v>
      </c>
      <c r="C1298" s="1">
        <v>45910</v>
      </c>
      <c r="D1298" s="1" t="str">
        <f xml:space="preserve"> TEXT(FilmaxData[[#This Row],[Show_Date]],"MMM")</f>
        <v>Sep</v>
      </c>
      <c r="E1298" s="1" t="str">
        <f xml:space="preserve"> TEXT(FilmaxData[[#This Row],[Show_Date]],"DDD")</f>
        <v>Wed</v>
      </c>
      <c r="F1298" t="s">
        <v>11</v>
      </c>
      <c r="G1298" t="s">
        <v>17</v>
      </c>
      <c r="H1298">
        <v>3</v>
      </c>
      <c r="I1298">
        <v>12</v>
      </c>
      <c r="J1298" t="s">
        <v>23</v>
      </c>
      <c r="K1298" t="s">
        <v>18</v>
      </c>
      <c r="L1298">
        <v>36</v>
      </c>
    </row>
    <row r="1299" spans="1:12" x14ac:dyDescent="0.3">
      <c r="A1299">
        <v>1420</v>
      </c>
      <c r="B1299" t="s">
        <v>24</v>
      </c>
      <c r="C1299" s="1">
        <v>45892</v>
      </c>
      <c r="D1299" s="1" t="str">
        <f xml:space="preserve"> TEXT(FilmaxData[[#This Row],[Show_Date]],"MMM")</f>
        <v>Aug</v>
      </c>
      <c r="E1299" s="1" t="str">
        <f xml:space="preserve"> TEXT(FilmaxData[[#This Row],[Show_Date]],"DDD")</f>
        <v>Sat</v>
      </c>
      <c r="F1299" t="s">
        <v>11</v>
      </c>
      <c r="G1299" t="s">
        <v>17</v>
      </c>
      <c r="H1299">
        <v>4</v>
      </c>
      <c r="I1299">
        <v>12</v>
      </c>
      <c r="J1299" t="s">
        <v>23</v>
      </c>
      <c r="K1299" t="s">
        <v>27</v>
      </c>
      <c r="L1299">
        <v>48</v>
      </c>
    </row>
    <row r="1300" spans="1:12" x14ac:dyDescent="0.3">
      <c r="A1300">
        <v>780</v>
      </c>
      <c r="B1300" t="s">
        <v>32</v>
      </c>
      <c r="C1300" s="1">
        <v>45854</v>
      </c>
      <c r="D1300" s="1" t="str">
        <f xml:space="preserve"> TEXT(FilmaxData[[#This Row],[Show_Date]],"MMM")</f>
        <v>Jul</v>
      </c>
      <c r="E1300" s="1" t="str">
        <f xml:space="preserve"> TEXT(FilmaxData[[#This Row],[Show_Date]],"DDD")</f>
        <v>Wed</v>
      </c>
      <c r="F1300" t="s">
        <v>11</v>
      </c>
      <c r="G1300" t="s">
        <v>17</v>
      </c>
      <c r="H1300">
        <v>2</v>
      </c>
      <c r="I1300">
        <v>12</v>
      </c>
      <c r="J1300" t="s">
        <v>23</v>
      </c>
      <c r="K1300" t="s">
        <v>18</v>
      </c>
      <c r="L1300">
        <v>24</v>
      </c>
    </row>
    <row r="1301" spans="1:12" x14ac:dyDescent="0.3">
      <c r="A1301">
        <v>1105</v>
      </c>
      <c r="B1301" t="s">
        <v>10</v>
      </c>
      <c r="C1301" s="1">
        <v>45887</v>
      </c>
      <c r="D1301" s="1" t="str">
        <f xml:space="preserve"> TEXT(FilmaxData[[#This Row],[Show_Date]],"MMM")</f>
        <v>Aug</v>
      </c>
      <c r="E1301" s="1" t="str">
        <f xml:space="preserve"> TEXT(FilmaxData[[#This Row],[Show_Date]],"DDD")</f>
        <v>Mon</v>
      </c>
      <c r="F1301" t="s">
        <v>20</v>
      </c>
      <c r="G1301" t="s">
        <v>17</v>
      </c>
      <c r="H1301">
        <v>3</v>
      </c>
      <c r="I1301">
        <v>12</v>
      </c>
      <c r="J1301" t="s">
        <v>23</v>
      </c>
      <c r="K1301" t="s">
        <v>27</v>
      </c>
      <c r="L1301">
        <v>36</v>
      </c>
    </row>
    <row r="1302" spans="1:12" x14ac:dyDescent="0.3">
      <c r="A1302">
        <v>1451</v>
      </c>
      <c r="B1302" t="s">
        <v>19</v>
      </c>
      <c r="C1302" s="1">
        <v>45854</v>
      </c>
      <c r="D1302" s="1" t="str">
        <f xml:space="preserve"> TEXT(FilmaxData[[#This Row],[Show_Date]],"MMM")</f>
        <v>Jul</v>
      </c>
      <c r="E1302" s="1" t="str">
        <f xml:space="preserve"> TEXT(FilmaxData[[#This Row],[Show_Date]],"DDD")</f>
        <v>Wed</v>
      </c>
      <c r="F1302" t="s">
        <v>16</v>
      </c>
      <c r="G1302" t="s">
        <v>17</v>
      </c>
      <c r="H1302">
        <v>2</v>
      </c>
      <c r="I1302">
        <v>12</v>
      </c>
      <c r="J1302" t="s">
        <v>21</v>
      </c>
      <c r="K1302" t="s">
        <v>14</v>
      </c>
      <c r="L1302">
        <v>24</v>
      </c>
    </row>
    <row r="1303" spans="1:12" x14ac:dyDescent="0.3">
      <c r="A1303">
        <v>1140</v>
      </c>
      <c r="B1303" t="s">
        <v>24</v>
      </c>
      <c r="C1303" s="1">
        <v>45907</v>
      </c>
      <c r="D1303" s="1" t="str">
        <f xml:space="preserve"> TEXT(FilmaxData[[#This Row],[Show_Date]],"MMM")</f>
        <v>Sep</v>
      </c>
      <c r="E1303" s="1" t="str">
        <f xml:space="preserve"> TEXT(FilmaxData[[#This Row],[Show_Date]],"DDD")</f>
        <v>Sun</v>
      </c>
      <c r="F1303" t="s">
        <v>11</v>
      </c>
      <c r="G1303" t="s">
        <v>17</v>
      </c>
      <c r="H1303">
        <v>5</v>
      </c>
      <c r="I1303">
        <v>12</v>
      </c>
      <c r="J1303" t="s">
        <v>21</v>
      </c>
      <c r="K1303" t="s">
        <v>14</v>
      </c>
      <c r="L1303">
        <v>60</v>
      </c>
    </row>
    <row r="1304" spans="1:12" x14ac:dyDescent="0.3">
      <c r="A1304">
        <v>1896</v>
      </c>
      <c r="B1304" t="s">
        <v>28</v>
      </c>
      <c r="C1304" s="1">
        <v>45873</v>
      </c>
      <c r="D1304" s="1" t="str">
        <f xml:space="preserve"> TEXT(FilmaxData[[#This Row],[Show_Date]],"MMM")</f>
        <v>Aug</v>
      </c>
      <c r="E1304" s="1" t="str">
        <f xml:space="preserve"> TEXT(FilmaxData[[#This Row],[Show_Date]],"DDD")</f>
        <v>Mon</v>
      </c>
      <c r="F1304" t="s">
        <v>20</v>
      </c>
      <c r="G1304" t="s">
        <v>22</v>
      </c>
      <c r="H1304">
        <v>2</v>
      </c>
      <c r="I1304">
        <v>20</v>
      </c>
      <c r="J1304" t="s">
        <v>23</v>
      </c>
      <c r="K1304" t="s">
        <v>27</v>
      </c>
      <c r="L1304">
        <v>40</v>
      </c>
    </row>
    <row r="1305" spans="1:12" x14ac:dyDescent="0.3">
      <c r="A1305">
        <v>1296</v>
      </c>
      <c r="B1305" t="s">
        <v>26</v>
      </c>
      <c r="C1305" s="1">
        <v>45853</v>
      </c>
      <c r="D1305" s="1" t="str">
        <f xml:space="preserve"> TEXT(FilmaxData[[#This Row],[Show_Date]],"MMM")</f>
        <v>Jul</v>
      </c>
      <c r="E1305" s="1" t="str">
        <f xml:space="preserve"> TEXT(FilmaxData[[#This Row],[Show_Date]],"DDD")</f>
        <v>Tue</v>
      </c>
      <c r="F1305" t="s">
        <v>16</v>
      </c>
      <c r="G1305" t="s">
        <v>17</v>
      </c>
      <c r="H1305">
        <v>2</v>
      </c>
      <c r="I1305">
        <v>12</v>
      </c>
      <c r="J1305" t="s">
        <v>13</v>
      </c>
      <c r="K1305" t="s">
        <v>27</v>
      </c>
      <c r="L1305">
        <v>24</v>
      </c>
    </row>
    <row r="1306" spans="1:12" x14ac:dyDescent="0.3">
      <c r="A1306">
        <v>821</v>
      </c>
      <c r="B1306" t="s">
        <v>28</v>
      </c>
      <c r="C1306" s="1">
        <v>45878</v>
      </c>
      <c r="D1306" s="1" t="str">
        <f xml:space="preserve"> TEXT(FilmaxData[[#This Row],[Show_Date]],"MMM")</f>
        <v>Aug</v>
      </c>
      <c r="E1306" s="1" t="str">
        <f xml:space="preserve"> TEXT(FilmaxData[[#This Row],[Show_Date]],"DDD")</f>
        <v>Sat</v>
      </c>
      <c r="F1306" t="s">
        <v>16</v>
      </c>
      <c r="G1306" t="s">
        <v>29</v>
      </c>
      <c r="H1306">
        <v>1</v>
      </c>
      <c r="I1306">
        <v>30</v>
      </c>
      <c r="J1306" t="s">
        <v>13</v>
      </c>
      <c r="K1306" t="s">
        <v>27</v>
      </c>
      <c r="L1306">
        <v>30</v>
      </c>
    </row>
    <row r="1307" spans="1:12" x14ac:dyDescent="0.3">
      <c r="A1307">
        <v>418</v>
      </c>
      <c r="B1307" t="s">
        <v>26</v>
      </c>
      <c r="C1307" s="1">
        <v>45915</v>
      </c>
      <c r="D1307" s="1" t="str">
        <f xml:space="preserve"> TEXT(FilmaxData[[#This Row],[Show_Date]],"MMM")</f>
        <v>Sep</v>
      </c>
      <c r="E1307" s="1" t="str">
        <f xml:space="preserve"> TEXT(FilmaxData[[#This Row],[Show_Date]],"DDD")</f>
        <v>Mon</v>
      </c>
      <c r="F1307" t="s">
        <v>20</v>
      </c>
      <c r="G1307" t="s">
        <v>17</v>
      </c>
      <c r="H1307">
        <v>4</v>
      </c>
      <c r="I1307">
        <v>12</v>
      </c>
      <c r="J1307" t="s">
        <v>23</v>
      </c>
      <c r="K1307" t="s">
        <v>27</v>
      </c>
      <c r="L1307">
        <v>48</v>
      </c>
    </row>
    <row r="1308" spans="1:12" x14ac:dyDescent="0.3">
      <c r="A1308">
        <v>1898</v>
      </c>
      <c r="B1308" t="s">
        <v>32</v>
      </c>
      <c r="C1308" s="1">
        <v>45881</v>
      </c>
      <c r="D1308" s="1" t="str">
        <f xml:space="preserve"> TEXT(FilmaxData[[#This Row],[Show_Date]],"MMM")</f>
        <v>Aug</v>
      </c>
      <c r="E1308" s="1" t="str">
        <f xml:space="preserve"> TEXT(FilmaxData[[#This Row],[Show_Date]],"DDD")</f>
        <v>Tue</v>
      </c>
      <c r="F1308" t="s">
        <v>33</v>
      </c>
      <c r="G1308" t="s">
        <v>22</v>
      </c>
      <c r="H1308">
        <v>1</v>
      </c>
      <c r="I1308">
        <v>20</v>
      </c>
      <c r="J1308" t="s">
        <v>23</v>
      </c>
      <c r="K1308" t="s">
        <v>25</v>
      </c>
      <c r="L1308">
        <v>20</v>
      </c>
    </row>
    <row r="1309" spans="1:12" x14ac:dyDescent="0.3">
      <c r="A1309">
        <v>1327</v>
      </c>
      <c r="B1309" t="s">
        <v>24</v>
      </c>
      <c r="C1309" s="1">
        <v>45885</v>
      </c>
      <c r="D1309" s="1" t="str">
        <f xml:space="preserve"> TEXT(FilmaxData[[#This Row],[Show_Date]],"MMM")</f>
        <v>Aug</v>
      </c>
      <c r="E1309" s="1" t="str">
        <f xml:space="preserve"> TEXT(FilmaxData[[#This Row],[Show_Date]],"DDD")</f>
        <v>Sat</v>
      </c>
      <c r="F1309" t="s">
        <v>11</v>
      </c>
      <c r="G1309" t="s">
        <v>22</v>
      </c>
      <c r="H1309">
        <v>1</v>
      </c>
      <c r="I1309">
        <v>20</v>
      </c>
      <c r="J1309" t="s">
        <v>13</v>
      </c>
      <c r="K1309" t="s">
        <v>27</v>
      </c>
      <c r="L1309">
        <v>20</v>
      </c>
    </row>
    <row r="1310" spans="1:12" x14ac:dyDescent="0.3">
      <c r="A1310">
        <v>108</v>
      </c>
      <c r="B1310" t="s">
        <v>31</v>
      </c>
      <c r="C1310" s="1">
        <v>45882</v>
      </c>
      <c r="D1310" s="1" t="str">
        <f xml:space="preserve"> TEXT(FilmaxData[[#This Row],[Show_Date]],"MMM")</f>
        <v>Aug</v>
      </c>
      <c r="E1310" s="1" t="str">
        <f xml:space="preserve"> TEXT(FilmaxData[[#This Row],[Show_Date]],"DDD")</f>
        <v>Wed</v>
      </c>
      <c r="F1310" t="s">
        <v>11</v>
      </c>
      <c r="G1310" t="s">
        <v>29</v>
      </c>
      <c r="H1310">
        <v>2</v>
      </c>
      <c r="I1310">
        <v>30</v>
      </c>
      <c r="J1310" t="s">
        <v>21</v>
      </c>
      <c r="K1310" t="s">
        <v>25</v>
      </c>
      <c r="L1310">
        <v>60</v>
      </c>
    </row>
    <row r="1311" spans="1:12" x14ac:dyDescent="0.3">
      <c r="A1311">
        <v>559</v>
      </c>
      <c r="B1311" t="s">
        <v>19</v>
      </c>
      <c r="C1311" s="1">
        <v>45886</v>
      </c>
      <c r="D1311" s="1" t="str">
        <f xml:space="preserve"> TEXT(FilmaxData[[#This Row],[Show_Date]],"MMM")</f>
        <v>Aug</v>
      </c>
      <c r="E1311" s="1" t="str">
        <f xml:space="preserve"> TEXT(FilmaxData[[#This Row],[Show_Date]],"DDD")</f>
        <v>Sun</v>
      </c>
      <c r="F1311" t="s">
        <v>16</v>
      </c>
      <c r="G1311" t="s">
        <v>17</v>
      </c>
      <c r="H1311">
        <v>4</v>
      </c>
      <c r="I1311">
        <v>12</v>
      </c>
      <c r="J1311" t="s">
        <v>13</v>
      </c>
      <c r="K1311" t="s">
        <v>14</v>
      </c>
      <c r="L1311">
        <v>48</v>
      </c>
    </row>
    <row r="1312" spans="1:12" x14ac:dyDescent="0.3">
      <c r="A1312">
        <v>368</v>
      </c>
      <c r="B1312" t="s">
        <v>26</v>
      </c>
      <c r="C1312" s="1">
        <v>45908</v>
      </c>
      <c r="D1312" s="1" t="str">
        <f xml:space="preserve"> TEXT(FilmaxData[[#This Row],[Show_Date]],"MMM")</f>
        <v>Sep</v>
      </c>
      <c r="E1312" s="1" t="str">
        <f xml:space="preserve"> TEXT(FilmaxData[[#This Row],[Show_Date]],"DDD")</f>
        <v>Mon</v>
      </c>
      <c r="F1312" t="s">
        <v>33</v>
      </c>
      <c r="G1312" t="s">
        <v>12</v>
      </c>
      <c r="H1312">
        <v>5</v>
      </c>
      <c r="I1312">
        <v>25</v>
      </c>
      <c r="J1312" t="s">
        <v>13</v>
      </c>
      <c r="K1312" t="s">
        <v>14</v>
      </c>
      <c r="L1312">
        <v>125</v>
      </c>
    </row>
    <row r="1313" spans="1:12" x14ac:dyDescent="0.3">
      <c r="A1313">
        <v>1055</v>
      </c>
      <c r="B1313" t="s">
        <v>24</v>
      </c>
      <c r="C1313" s="1">
        <v>45909</v>
      </c>
      <c r="D1313" s="1" t="str">
        <f xml:space="preserve"> TEXT(FilmaxData[[#This Row],[Show_Date]],"MMM")</f>
        <v>Sep</v>
      </c>
      <c r="E1313" s="1" t="str">
        <f xml:space="preserve"> TEXT(FilmaxData[[#This Row],[Show_Date]],"DDD")</f>
        <v>Tue</v>
      </c>
      <c r="F1313" t="s">
        <v>11</v>
      </c>
      <c r="G1313" t="s">
        <v>30</v>
      </c>
      <c r="H1313">
        <v>1</v>
      </c>
      <c r="I1313">
        <v>8</v>
      </c>
      <c r="J1313" t="s">
        <v>13</v>
      </c>
      <c r="K1313" t="s">
        <v>18</v>
      </c>
      <c r="L1313">
        <v>8</v>
      </c>
    </row>
    <row r="1314" spans="1:12" x14ac:dyDescent="0.3">
      <c r="A1314">
        <v>417</v>
      </c>
      <c r="B1314" t="s">
        <v>15</v>
      </c>
      <c r="C1314" s="1">
        <v>45909</v>
      </c>
      <c r="D1314" s="1" t="str">
        <f xml:space="preserve"> TEXT(FilmaxData[[#This Row],[Show_Date]],"MMM")</f>
        <v>Sep</v>
      </c>
      <c r="E1314" s="1" t="str">
        <f xml:space="preserve"> TEXT(FilmaxData[[#This Row],[Show_Date]],"DDD")</f>
        <v>Tue</v>
      </c>
      <c r="F1314" t="s">
        <v>20</v>
      </c>
      <c r="G1314" t="s">
        <v>17</v>
      </c>
      <c r="H1314">
        <v>5</v>
      </c>
      <c r="I1314">
        <v>12</v>
      </c>
      <c r="J1314" t="s">
        <v>21</v>
      </c>
      <c r="K1314" t="s">
        <v>14</v>
      </c>
      <c r="L1314">
        <v>60</v>
      </c>
    </row>
    <row r="1315" spans="1:12" x14ac:dyDescent="0.3">
      <c r="A1315">
        <v>373</v>
      </c>
      <c r="B1315" t="s">
        <v>26</v>
      </c>
      <c r="C1315" s="1">
        <v>45913</v>
      </c>
      <c r="D1315" s="1" t="str">
        <f xml:space="preserve"> TEXT(FilmaxData[[#This Row],[Show_Date]],"MMM")</f>
        <v>Sep</v>
      </c>
      <c r="E1315" s="1" t="str">
        <f xml:space="preserve"> TEXT(FilmaxData[[#This Row],[Show_Date]],"DDD")</f>
        <v>Sat</v>
      </c>
      <c r="F1315" t="s">
        <v>16</v>
      </c>
      <c r="G1315" t="s">
        <v>30</v>
      </c>
      <c r="H1315">
        <v>3</v>
      </c>
      <c r="I1315">
        <v>8</v>
      </c>
      <c r="J1315" t="s">
        <v>23</v>
      </c>
      <c r="K1315" t="s">
        <v>27</v>
      </c>
      <c r="L1315">
        <v>24</v>
      </c>
    </row>
    <row r="1316" spans="1:12" x14ac:dyDescent="0.3">
      <c r="A1316">
        <v>1944</v>
      </c>
      <c r="B1316" t="s">
        <v>10</v>
      </c>
      <c r="C1316" s="1">
        <v>45850</v>
      </c>
      <c r="D1316" s="1" t="str">
        <f xml:space="preserve"> TEXT(FilmaxData[[#This Row],[Show_Date]],"MMM")</f>
        <v>Jul</v>
      </c>
      <c r="E1316" s="1" t="str">
        <f xml:space="preserve"> TEXT(FilmaxData[[#This Row],[Show_Date]],"DDD")</f>
        <v>Sat</v>
      </c>
      <c r="F1316" t="s">
        <v>20</v>
      </c>
      <c r="G1316" t="s">
        <v>17</v>
      </c>
      <c r="H1316">
        <v>2</v>
      </c>
      <c r="I1316">
        <v>12</v>
      </c>
      <c r="J1316" t="s">
        <v>23</v>
      </c>
      <c r="K1316" t="s">
        <v>27</v>
      </c>
      <c r="L1316">
        <v>24</v>
      </c>
    </row>
    <row r="1317" spans="1:12" x14ac:dyDescent="0.3">
      <c r="A1317">
        <v>247</v>
      </c>
      <c r="B1317" t="s">
        <v>24</v>
      </c>
      <c r="C1317" s="1">
        <v>45850</v>
      </c>
      <c r="D1317" s="1" t="str">
        <f xml:space="preserve"> TEXT(FilmaxData[[#This Row],[Show_Date]],"MMM")</f>
        <v>Jul</v>
      </c>
      <c r="E1317" s="1" t="str">
        <f xml:space="preserve"> TEXT(FilmaxData[[#This Row],[Show_Date]],"DDD")</f>
        <v>Sat</v>
      </c>
      <c r="F1317" t="s">
        <v>33</v>
      </c>
      <c r="G1317" t="s">
        <v>17</v>
      </c>
      <c r="H1317">
        <v>5</v>
      </c>
      <c r="I1317">
        <v>12</v>
      </c>
      <c r="J1317" t="s">
        <v>13</v>
      </c>
      <c r="K1317" t="s">
        <v>27</v>
      </c>
      <c r="L1317">
        <v>60</v>
      </c>
    </row>
    <row r="1318" spans="1:12" x14ac:dyDescent="0.3">
      <c r="A1318">
        <v>1511</v>
      </c>
      <c r="B1318" t="s">
        <v>28</v>
      </c>
      <c r="C1318" s="1">
        <v>45885</v>
      </c>
      <c r="D1318" s="1" t="str">
        <f xml:space="preserve"> TEXT(FilmaxData[[#This Row],[Show_Date]],"MMM")</f>
        <v>Aug</v>
      </c>
      <c r="E1318" s="1" t="str">
        <f xml:space="preserve"> TEXT(FilmaxData[[#This Row],[Show_Date]],"DDD")</f>
        <v>Sat</v>
      </c>
      <c r="F1318" t="s">
        <v>20</v>
      </c>
      <c r="G1318" t="s">
        <v>17</v>
      </c>
      <c r="H1318">
        <v>3</v>
      </c>
      <c r="I1318">
        <v>12</v>
      </c>
      <c r="J1318" t="s">
        <v>23</v>
      </c>
      <c r="K1318" t="s">
        <v>25</v>
      </c>
      <c r="L1318">
        <v>36</v>
      </c>
    </row>
    <row r="1319" spans="1:12" x14ac:dyDescent="0.3">
      <c r="A1319">
        <v>731</v>
      </c>
      <c r="B1319" t="s">
        <v>32</v>
      </c>
      <c r="C1319" s="1">
        <v>45850</v>
      </c>
      <c r="D1319" s="1" t="str">
        <f xml:space="preserve"> TEXT(FilmaxData[[#This Row],[Show_Date]],"MMM")</f>
        <v>Jul</v>
      </c>
      <c r="E1319" s="1" t="str">
        <f xml:space="preserve"> TEXT(FilmaxData[[#This Row],[Show_Date]],"DDD")</f>
        <v>Sat</v>
      </c>
      <c r="F1319" t="s">
        <v>11</v>
      </c>
      <c r="G1319" t="s">
        <v>30</v>
      </c>
      <c r="H1319">
        <v>4</v>
      </c>
      <c r="I1319">
        <v>8</v>
      </c>
      <c r="J1319" t="s">
        <v>13</v>
      </c>
      <c r="K1319" t="s">
        <v>18</v>
      </c>
      <c r="L1319">
        <v>32</v>
      </c>
    </row>
    <row r="1320" spans="1:12" x14ac:dyDescent="0.3">
      <c r="A1320">
        <v>1423</v>
      </c>
      <c r="B1320" t="s">
        <v>32</v>
      </c>
      <c r="C1320" s="1">
        <v>45912</v>
      </c>
      <c r="D1320" s="1" t="str">
        <f xml:space="preserve"> TEXT(FilmaxData[[#This Row],[Show_Date]],"MMM")</f>
        <v>Sep</v>
      </c>
      <c r="E1320" s="1" t="str">
        <f xml:space="preserve"> TEXT(FilmaxData[[#This Row],[Show_Date]],"DDD")</f>
        <v>Fri</v>
      </c>
      <c r="F1320" t="s">
        <v>11</v>
      </c>
      <c r="G1320" t="s">
        <v>30</v>
      </c>
      <c r="H1320">
        <v>5</v>
      </c>
      <c r="I1320">
        <v>8</v>
      </c>
      <c r="J1320" t="s">
        <v>21</v>
      </c>
      <c r="K1320" t="s">
        <v>27</v>
      </c>
      <c r="L1320">
        <v>40</v>
      </c>
    </row>
    <row r="1321" spans="1:12" x14ac:dyDescent="0.3">
      <c r="A1321">
        <v>619</v>
      </c>
      <c r="B1321" t="s">
        <v>28</v>
      </c>
      <c r="C1321" s="1">
        <v>45844</v>
      </c>
      <c r="D1321" s="1" t="str">
        <f xml:space="preserve"> TEXT(FilmaxData[[#This Row],[Show_Date]],"MMM")</f>
        <v>Jul</v>
      </c>
      <c r="E1321" s="1" t="str">
        <f xml:space="preserve"> TEXT(FilmaxData[[#This Row],[Show_Date]],"DDD")</f>
        <v>Sun</v>
      </c>
      <c r="F1321" t="s">
        <v>11</v>
      </c>
      <c r="G1321" t="s">
        <v>22</v>
      </c>
      <c r="H1321">
        <v>1</v>
      </c>
      <c r="I1321">
        <v>20</v>
      </c>
      <c r="J1321" t="s">
        <v>23</v>
      </c>
      <c r="K1321" t="s">
        <v>14</v>
      </c>
      <c r="L1321">
        <v>20</v>
      </c>
    </row>
    <row r="1322" spans="1:12" x14ac:dyDescent="0.3">
      <c r="A1322">
        <v>218</v>
      </c>
      <c r="B1322" t="s">
        <v>15</v>
      </c>
      <c r="C1322" s="1">
        <v>45910</v>
      </c>
      <c r="D1322" s="1" t="str">
        <f xml:space="preserve"> TEXT(FilmaxData[[#This Row],[Show_Date]],"MMM")</f>
        <v>Sep</v>
      </c>
      <c r="E1322" s="1" t="str">
        <f xml:space="preserve"> TEXT(FilmaxData[[#This Row],[Show_Date]],"DDD")</f>
        <v>Wed</v>
      </c>
      <c r="F1322" t="s">
        <v>33</v>
      </c>
      <c r="G1322" t="s">
        <v>17</v>
      </c>
      <c r="H1322">
        <v>3</v>
      </c>
      <c r="I1322">
        <v>12</v>
      </c>
      <c r="J1322" t="s">
        <v>13</v>
      </c>
      <c r="K1322" t="s">
        <v>25</v>
      </c>
      <c r="L1322">
        <v>36</v>
      </c>
    </row>
    <row r="1323" spans="1:12" x14ac:dyDescent="0.3">
      <c r="A1323">
        <v>57</v>
      </c>
      <c r="B1323" t="s">
        <v>19</v>
      </c>
      <c r="C1323" s="1">
        <v>45873</v>
      </c>
      <c r="D1323" s="1" t="str">
        <f xml:space="preserve"> TEXT(FilmaxData[[#This Row],[Show_Date]],"MMM")</f>
        <v>Aug</v>
      </c>
      <c r="E1323" s="1" t="str">
        <f xml:space="preserve"> TEXT(FilmaxData[[#This Row],[Show_Date]],"DDD")</f>
        <v>Mon</v>
      </c>
      <c r="F1323" t="s">
        <v>20</v>
      </c>
      <c r="G1323" t="s">
        <v>17</v>
      </c>
      <c r="H1323">
        <v>3</v>
      </c>
      <c r="I1323">
        <v>12</v>
      </c>
      <c r="J1323" t="s">
        <v>23</v>
      </c>
      <c r="K1323" t="s">
        <v>27</v>
      </c>
      <c r="L1323">
        <v>36</v>
      </c>
    </row>
    <row r="1324" spans="1:12" x14ac:dyDescent="0.3">
      <c r="A1324">
        <v>1534</v>
      </c>
      <c r="B1324" t="s">
        <v>15</v>
      </c>
      <c r="C1324" s="1">
        <v>45891</v>
      </c>
      <c r="D1324" s="1" t="str">
        <f xml:space="preserve"> TEXT(FilmaxData[[#This Row],[Show_Date]],"MMM")</f>
        <v>Aug</v>
      </c>
      <c r="E1324" s="1" t="str">
        <f xml:space="preserve"> TEXT(FilmaxData[[#This Row],[Show_Date]],"DDD")</f>
        <v>Fri</v>
      </c>
      <c r="F1324" t="s">
        <v>20</v>
      </c>
      <c r="G1324" t="s">
        <v>17</v>
      </c>
      <c r="H1324">
        <v>2</v>
      </c>
      <c r="I1324">
        <v>12</v>
      </c>
      <c r="J1324" t="s">
        <v>13</v>
      </c>
      <c r="K1324" t="s">
        <v>18</v>
      </c>
      <c r="L1324">
        <v>24</v>
      </c>
    </row>
    <row r="1325" spans="1:12" x14ac:dyDescent="0.3">
      <c r="A1325">
        <v>1746</v>
      </c>
      <c r="B1325" t="s">
        <v>26</v>
      </c>
      <c r="C1325" s="1">
        <v>45877</v>
      </c>
      <c r="D1325" s="1" t="str">
        <f xml:space="preserve"> TEXT(FilmaxData[[#This Row],[Show_Date]],"MMM")</f>
        <v>Aug</v>
      </c>
      <c r="E1325" s="1" t="str">
        <f xml:space="preserve"> TEXT(FilmaxData[[#This Row],[Show_Date]],"DDD")</f>
        <v>Fri</v>
      </c>
      <c r="F1325" t="s">
        <v>11</v>
      </c>
      <c r="G1325" t="s">
        <v>17</v>
      </c>
      <c r="H1325">
        <v>3</v>
      </c>
      <c r="I1325">
        <v>12</v>
      </c>
      <c r="J1325" t="s">
        <v>23</v>
      </c>
      <c r="K1325" t="s">
        <v>25</v>
      </c>
      <c r="L1325">
        <v>36</v>
      </c>
    </row>
    <row r="1326" spans="1:12" x14ac:dyDescent="0.3">
      <c r="A1326">
        <v>459</v>
      </c>
      <c r="B1326" t="s">
        <v>32</v>
      </c>
      <c r="C1326" s="1">
        <v>45862</v>
      </c>
      <c r="D1326" s="1" t="str">
        <f xml:space="preserve"> TEXT(FilmaxData[[#This Row],[Show_Date]],"MMM")</f>
        <v>Jul</v>
      </c>
      <c r="E1326" s="1" t="str">
        <f xml:space="preserve"> TEXT(FilmaxData[[#This Row],[Show_Date]],"DDD")</f>
        <v>Thu</v>
      </c>
      <c r="F1326" t="s">
        <v>33</v>
      </c>
      <c r="G1326" t="s">
        <v>17</v>
      </c>
      <c r="H1326">
        <v>5</v>
      </c>
      <c r="I1326">
        <v>12</v>
      </c>
      <c r="J1326" t="s">
        <v>21</v>
      </c>
      <c r="K1326" t="s">
        <v>18</v>
      </c>
      <c r="L1326">
        <v>60</v>
      </c>
    </row>
    <row r="1327" spans="1:12" x14ac:dyDescent="0.3">
      <c r="A1327">
        <v>1386</v>
      </c>
      <c r="B1327" t="s">
        <v>31</v>
      </c>
      <c r="C1327" s="1">
        <v>45862</v>
      </c>
      <c r="D1327" s="1" t="str">
        <f xml:space="preserve"> TEXT(FilmaxData[[#This Row],[Show_Date]],"MMM")</f>
        <v>Jul</v>
      </c>
      <c r="E1327" s="1" t="str">
        <f xml:space="preserve"> TEXT(FilmaxData[[#This Row],[Show_Date]],"DDD")</f>
        <v>Thu</v>
      </c>
      <c r="F1327" t="s">
        <v>20</v>
      </c>
      <c r="G1327" t="s">
        <v>22</v>
      </c>
      <c r="H1327">
        <v>2</v>
      </c>
      <c r="I1327">
        <v>20</v>
      </c>
      <c r="J1327" t="s">
        <v>21</v>
      </c>
      <c r="K1327" t="s">
        <v>14</v>
      </c>
      <c r="L1327">
        <v>40</v>
      </c>
    </row>
    <row r="1328" spans="1:12" x14ac:dyDescent="0.3">
      <c r="A1328">
        <v>584</v>
      </c>
      <c r="B1328" t="s">
        <v>26</v>
      </c>
      <c r="C1328" s="1">
        <v>45903</v>
      </c>
      <c r="D1328" s="1" t="str">
        <f xml:space="preserve"> TEXT(FilmaxData[[#This Row],[Show_Date]],"MMM")</f>
        <v>Sep</v>
      </c>
      <c r="E1328" s="1" t="str">
        <f xml:space="preserve"> TEXT(FilmaxData[[#This Row],[Show_Date]],"DDD")</f>
        <v>Wed</v>
      </c>
      <c r="F1328" t="s">
        <v>20</v>
      </c>
      <c r="G1328" t="s">
        <v>17</v>
      </c>
      <c r="H1328">
        <v>4</v>
      </c>
      <c r="I1328">
        <v>12</v>
      </c>
      <c r="J1328" t="s">
        <v>13</v>
      </c>
      <c r="K1328" t="s">
        <v>25</v>
      </c>
      <c r="L1328">
        <v>48</v>
      </c>
    </row>
    <row r="1329" spans="1:12" x14ac:dyDescent="0.3">
      <c r="A1329">
        <v>1284</v>
      </c>
      <c r="B1329" t="s">
        <v>24</v>
      </c>
      <c r="C1329" s="1">
        <v>45914</v>
      </c>
      <c r="D1329" s="1" t="str">
        <f xml:space="preserve"> TEXT(FilmaxData[[#This Row],[Show_Date]],"MMM")</f>
        <v>Sep</v>
      </c>
      <c r="E1329" s="1" t="str">
        <f xml:space="preserve"> TEXT(FilmaxData[[#This Row],[Show_Date]],"DDD")</f>
        <v>Sun</v>
      </c>
      <c r="F1329" t="s">
        <v>20</v>
      </c>
      <c r="G1329" t="s">
        <v>22</v>
      </c>
      <c r="H1329">
        <v>4</v>
      </c>
      <c r="I1329">
        <v>20</v>
      </c>
      <c r="J1329" t="s">
        <v>21</v>
      </c>
      <c r="K1329" t="s">
        <v>18</v>
      </c>
      <c r="L1329">
        <v>80</v>
      </c>
    </row>
    <row r="1330" spans="1:12" x14ac:dyDescent="0.3">
      <c r="A1330">
        <v>511</v>
      </c>
      <c r="B1330" t="s">
        <v>24</v>
      </c>
      <c r="C1330" s="1">
        <v>45866</v>
      </c>
      <c r="D1330" s="1" t="str">
        <f xml:space="preserve"> TEXT(FilmaxData[[#This Row],[Show_Date]],"MMM")</f>
        <v>Jul</v>
      </c>
      <c r="E1330" s="1" t="str">
        <f xml:space="preserve"> TEXT(FilmaxData[[#This Row],[Show_Date]],"DDD")</f>
        <v>Mon</v>
      </c>
      <c r="F1330" t="s">
        <v>16</v>
      </c>
      <c r="G1330" t="s">
        <v>17</v>
      </c>
      <c r="H1330">
        <v>1</v>
      </c>
      <c r="I1330">
        <v>12</v>
      </c>
      <c r="J1330" t="s">
        <v>13</v>
      </c>
      <c r="K1330" t="s">
        <v>18</v>
      </c>
      <c r="L1330">
        <v>12</v>
      </c>
    </row>
    <row r="1331" spans="1:12" x14ac:dyDescent="0.3">
      <c r="A1331">
        <v>701</v>
      </c>
      <c r="B1331" t="s">
        <v>26</v>
      </c>
      <c r="C1331" s="1">
        <v>45899</v>
      </c>
      <c r="D1331" s="1" t="str">
        <f xml:space="preserve"> TEXT(FilmaxData[[#This Row],[Show_Date]],"MMM")</f>
        <v>Aug</v>
      </c>
      <c r="E1331" s="1" t="str">
        <f xml:space="preserve"> TEXT(FilmaxData[[#This Row],[Show_Date]],"DDD")</f>
        <v>Sat</v>
      </c>
      <c r="F1331" t="s">
        <v>33</v>
      </c>
      <c r="G1331" t="s">
        <v>12</v>
      </c>
      <c r="H1331">
        <v>3</v>
      </c>
      <c r="I1331">
        <v>25</v>
      </c>
      <c r="J1331" t="s">
        <v>13</v>
      </c>
      <c r="K1331" t="s">
        <v>14</v>
      </c>
      <c r="L1331">
        <v>75</v>
      </c>
    </row>
    <row r="1332" spans="1:12" x14ac:dyDescent="0.3">
      <c r="A1332">
        <v>170</v>
      </c>
      <c r="B1332" t="s">
        <v>10</v>
      </c>
      <c r="C1332" s="1">
        <v>45854</v>
      </c>
      <c r="D1332" s="1" t="str">
        <f xml:space="preserve"> TEXT(FilmaxData[[#This Row],[Show_Date]],"MMM")</f>
        <v>Jul</v>
      </c>
      <c r="E1332" s="1" t="str">
        <f xml:space="preserve"> TEXT(FilmaxData[[#This Row],[Show_Date]],"DDD")</f>
        <v>Wed</v>
      </c>
      <c r="F1332" t="s">
        <v>16</v>
      </c>
      <c r="G1332" t="s">
        <v>17</v>
      </c>
      <c r="H1332">
        <v>3</v>
      </c>
      <c r="I1332">
        <v>12</v>
      </c>
      <c r="J1332" t="s">
        <v>21</v>
      </c>
      <c r="K1332" t="s">
        <v>27</v>
      </c>
      <c r="L1332">
        <v>36</v>
      </c>
    </row>
    <row r="1333" spans="1:12" x14ac:dyDescent="0.3">
      <c r="A1333">
        <v>581</v>
      </c>
      <c r="B1333" t="s">
        <v>10</v>
      </c>
      <c r="C1333" s="1">
        <v>45851</v>
      </c>
      <c r="D1333" s="1" t="str">
        <f xml:space="preserve"> TEXT(FilmaxData[[#This Row],[Show_Date]],"MMM")</f>
        <v>Jul</v>
      </c>
      <c r="E1333" s="1" t="str">
        <f xml:space="preserve"> TEXT(FilmaxData[[#This Row],[Show_Date]],"DDD")</f>
        <v>Sun</v>
      </c>
      <c r="F1333" t="s">
        <v>20</v>
      </c>
      <c r="G1333" t="s">
        <v>17</v>
      </c>
      <c r="H1333">
        <v>2</v>
      </c>
      <c r="I1333">
        <v>12</v>
      </c>
      <c r="J1333" t="s">
        <v>23</v>
      </c>
      <c r="K1333" t="s">
        <v>27</v>
      </c>
      <c r="L1333">
        <v>24</v>
      </c>
    </row>
    <row r="1334" spans="1:12" x14ac:dyDescent="0.3">
      <c r="A1334">
        <v>1935</v>
      </c>
      <c r="B1334" t="s">
        <v>28</v>
      </c>
      <c r="C1334" s="1">
        <v>45843</v>
      </c>
      <c r="D1334" s="1" t="str">
        <f xml:space="preserve"> TEXT(FilmaxData[[#This Row],[Show_Date]],"MMM")</f>
        <v>Jul</v>
      </c>
      <c r="E1334" s="1" t="str">
        <f xml:space="preserve"> TEXT(FilmaxData[[#This Row],[Show_Date]],"DDD")</f>
        <v>Sat</v>
      </c>
      <c r="F1334" t="s">
        <v>33</v>
      </c>
      <c r="G1334" t="s">
        <v>17</v>
      </c>
      <c r="H1334">
        <v>4</v>
      </c>
      <c r="I1334">
        <v>12</v>
      </c>
      <c r="J1334" t="s">
        <v>21</v>
      </c>
      <c r="K1334" t="s">
        <v>27</v>
      </c>
      <c r="L1334">
        <v>48</v>
      </c>
    </row>
    <row r="1335" spans="1:12" x14ac:dyDescent="0.3">
      <c r="A1335">
        <v>1278</v>
      </c>
      <c r="B1335" t="s">
        <v>28</v>
      </c>
      <c r="C1335" s="1">
        <v>45903</v>
      </c>
      <c r="D1335" s="1" t="str">
        <f xml:space="preserve"> TEXT(FilmaxData[[#This Row],[Show_Date]],"MMM")</f>
        <v>Sep</v>
      </c>
      <c r="E1335" s="1" t="str">
        <f xml:space="preserve"> TEXT(FilmaxData[[#This Row],[Show_Date]],"DDD")</f>
        <v>Wed</v>
      </c>
      <c r="F1335" t="s">
        <v>16</v>
      </c>
      <c r="G1335" t="s">
        <v>17</v>
      </c>
      <c r="H1335">
        <v>2</v>
      </c>
      <c r="I1335">
        <v>12</v>
      </c>
      <c r="J1335" t="s">
        <v>13</v>
      </c>
      <c r="K1335" t="s">
        <v>18</v>
      </c>
      <c r="L1335">
        <v>24</v>
      </c>
    </row>
    <row r="1336" spans="1:12" x14ac:dyDescent="0.3">
      <c r="A1336">
        <v>574</v>
      </c>
      <c r="B1336" t="s">
        <v>26</v>
      </c>
      <c r="C1336" s="1">
        <v>45901</v>
      </c>
      <c r="D1336" s="1" t="str">
        <f xml:space="preserve"> TEXT(FilmaxData[[#This Row],[Show_Date]],"MMM")</f>
        <v>Sep</v>
      </c>
      <c r="E1336" s="1" t="str">
        <f xml:space="preserve"> TEXT(FilmaxData[[#This Row],[Show_Date]],"DDD")</f>
        <v>Mon</v>
      </c>
      <c r="F1336" t="s">
        <v>33</v>
      </c>
      <c r="G1336" t="s">
        <v>17</v>
      </c>
      <c r="H1336">
        <v>3</v>
      </c>
      <c r="I1336">
        <v>12</v>
      </c>
      <c r="J1336" t="s">
        <v>23</v>
      </c>
      <c r="K1336" t="s">
        <v>18</v>
      </c>
      <c r="L1336">
        <v>36</v>
      </c>
    </row>
    <row r="1337" spans="1:12" x14ac:dyDescent="0.3">
      <c r="A1337">
        <v>40</v>
      </c>
      <c r="B1337" t="s">
        <v>32</v>
      </c>
      <c r="C1337" s="1">
        <v>45839</v>
      </c>
      <c r="D1337" s="1" t="str">
        <f xml:space="preserve"> TEXT(FilmaxData[[#This Row],[Show_Date]],"MMM")</f>
        <v>Jul</v>
      </c>
      <c r="E1337" s="1" t="str">
        <f xml:space="preserve"> TEXT(FilmaxData[[#This Row],[Show_Date]],"DDD")</f>
        <v>Tue</v>
      </c>
      <c r="F1337" t="s">
        <v>11</v>
      </c>
      <c r="G1337" t="s">
        <v>17</v>
      </c>
      <c r="H1337">
        <v>5</v>
      </c>
      <c r="I1337">
        <v>12</v>
      </c>
      <c r="J1337" t="s">
        <v>21</v>
      </c>
      <c r="K1337" t="s">
        <v>14</v>
      </c>
      <c r="L1337">
        <v>60</v>
      </c>
    </row>
    <row r="1338" spans="1:12" x14ac:dyDescent="0.3">
      <c r="A1338">
        <v>664</v>
      </c>
      <c r="B1338" t="s">
        <v>10</v>
      </c>
      <c r="C1338" s="1">
        <v>45864</v>
      </c>
      <c r="D1338" s="1" t="str">
        <f xml:space="preserve"> TEXT(FilmaxData[[#This Row],[Show_Date]],"MMM")</f>
        <v>Jul</v>
      </c>
      <c r="E1338" s="1" t="str">
        <f xml:space="preserve"> TEXT(FilmaxData[[#This Row],[Show_Date]],"DDD")</f>
        <v>Sat</v>
      </c>
      <c r="F1338" t="s">
        <v>11</v>
      </c>
      <c r="G1338" t="s">
        <v>30</v>
      </c>
      <c r="H1338">
        <v>5</v>
      </c>
      <c r="I1338">
        <v>8</v>
      </c>
      <c r="J1338" t="s">
        <v>21</v>
      </c>
      <c r="K1338" t="s">
        <v>25</v>
      </c>
      <c r="L1338">
        <v>40</v>
      </c>
    </row>
    <row r="1339" spans="1:12" x14ac:dyDescent="0.3">
      <c r="A1339">
        <v>339</v>
      </c>
      <c r="B1339" t="s">
        <v>31</v>
      </c>
      <c r="C1339" s="1">
        <v>45865</v>
      </c>
      <c r="D1339" s="1" t="str">
        <f xml:space="preserve"> TEXT(FilmaxData[[#This Row],[Show_Date]],"MMM")</f>
        <v>Jul</v>
      </c>
      <c r="E1339" s="1" t="str">
        <f xml:space="preserve"> TEXT(FilmaxData[[#This Row],[Show_Date]],"DDD")</f>
        <v>Sun</v>
      </c>
      <c r="F1339" t="s">
        <v>16</v>
      </c>
      <c r="G1339" t="s">
        <v>17</v>
      </c>
      <c r="H1339">
        <v>2</v>
      </c>
      <c r="I1339">
        <v>12</v>
      </c>
      <c r="J1339" t="s">
        <v>13</v>
      </c>
      <c r="K1339" t="s">
        <v>14</v>
      </c>
      <c r="L1339">
        <v>24</v>
      </c>
    </row>
    <row r="1340" spans="1:12" x14ac:dyDescent="0.3">
      <c r="A1340">
        <v>1118</v>
      </c>
      <c r="B1340" t="s">
        <v>15</v>
      </c>
      <c r="C1340" s="1">
        <v>45917</v>
      </c>
      <c r="D1340" s="1" t="str">
        <f xml:space="preserve"> TEXT(FilmaxData[[#This Row],[Show_Date]],"MMM")</f>
        <v>Sep</v>
      </c>
      <c r="E1340" s="1" t="str">
        <f xml:space="preserve"> TEXT(FilmaxData[[#This Row],[Show_Date]],"DDD")</f>
        <v>Wed</v>
      </c>
      <c r="F1340" t="s">
        <v>20</v>
      </c>
      <c r="G1340" t="s">
        <v>17</v>
      </c>
      <c r="H1340">
        <v>1</v>
      </c>
      <c r="I1340">
        <v>12</v>
      </c>
      <c r="J1340" t="s">
        <v>13</v>
      </c>
      <c r="K1340" t="s">
        <v>27</v>
      </c>
      <c r="L1340">
        <v>12</v>
      </c>
    </row>
    <row r="1341" spans="1:12" x14ac:dyDescent="0.3">
      <c r="A1341">
        <v>933</v>
      </c>
      <c r="B1341" t="s">
        <v>24</v>
      </c>
      <c r="C1341" s="1">
        <v>45912</v>
      </c>
      <c r="D1341" s="1" t="str">
        <f xml:space="preserve"> TEXT(FilmaxData[[#This Row],[Show_Date]],"MMM")</f>
        <v>Sep</v>
      </c>
      <c r="E1341" s="1" t="str">
        <f xml:space="preserve"> TEXT(FilmaxData[[#This Row],[Show_Date]],"DDD")</f>
        <v>Fri</v>
      </c>
      <c r="F1341" t="s">
        <v>33</v>
      </c>
      <c r="G1341" t="s">
        <v>17</v>
      </c>
      <c r="H1341">
        <v>5</v>
      </c>
      <c r="I1341">
        <v>12</v>
      </c>
      <c r="J1341" t="s">
        <v>13</v>
      </c>
      <c r="K1341" t="s">
        <v>27</v>
      </c>
      <c r="L1341">
        <v>60</v>
      </c>
    </row>
    <row r="1342" spans="1:12" x14ac:dyDescent="0.3">
      <c r="A1342">
        <v>521</v>
      </c>
      <c r="B1342" t="s">
        <v>19</v>
      </c>
      <c r="C1342" s="1">
        <v>45924</v>
      </c>
      <c r="D1342" s="1" t="str">
        <f xml:space="preserve"> TEXT(FilmaxData[[#This Row],[Show_Date]],"MMM")</f>
        <v>Sep</v>
      </c>
      <c r="E1342" s="1" t="str">
        <f xml:space="preserve"> TEXT(FilmaxData[[#This Row],[Show_Date]],"DDD")</f>
        <v>Wed</v>
      </c>
      <c r="F1342" t="s">
        <v>33</v>
      </c>
      <c r="G1342" t="s">
        <v>30</v>
      </c>
      <c r="H1342">
        <v>4</v>
      </c>
      <c r="I1342">
        <v>8</v>
      </c>
      <c r="J1342" t="s">
        <v>23</v>
      </c>
      <c r="K1342" t="s">
        <v>14</v>
      </c>
      <c r="L1342">
        <v>32</v>
      </c>
    </row>
    <row r="1343" spans="1:12" x14ac:dyDescent="0.3">
      <c r="A1343">
        <v>72</v>
      </c>
      <c r="B1343" t="s">
        <v>26</v>
      </c>
      <c r="C1343" s="1">
        <v>45910</v>
      </c>
      <c r="D1343" s="1" t="str">
        <f xml:space="preserve"> TEXT(FilmaxData[[#This Row],[Show_Date]],"MMM")</f>
        <v>Sep</v>
      </c>
      <c r="E1343" s="1" t="str">
        <f xml:space="preserve"> TEXT(FilmaxData[[#This Row],[Show_Date]],"DDD")</f>
        <v>Wed</v>
      </c>
      <c r="F1343" t="s">
        <v>11</v>
      </c>
      <c r="G1343" t="s">
        <v>12</v>
      </c>
      <c r="H1343">
        <v>4</v>
      </c>
      <c r="I1343">
        <v>25</v>
      </c>
      <c r="J1343" t="s">
        <v>23</v>
      </c>
      <c r="K1343" t="s">
        <v>14</v>
      </c>
      <c r="L1343">
        <v>100</v>
      </c>
    </row>
    <row r="1344" spans="1:12" x14ac:dyDescent="0.3">
      <c r="A1344">
        <v>1932</v>
      </c>
      <c r="B1344" t="s">
        <v>31</v>
      </c>
      <c r="C1344" s="1">
        <v>45892</v>
      </c>
      <c r="D1344" s="1" t="str">
        <f xml:space="preserve"> TEXT(FilmaxData[[#This Row],[Show_Date]],"MMM")</f>
        <v>Aug</v>
      </c>
      <c r="E1344" s="1" t="str">
        <f xml:space="preserve"> TEXT(FilmaxData[[#This Row],[Show_Date]],"DDD")</f>
        <v>Sat</v>
      </c>
      <c r="F1344" t="s">
        <v>33</v>
      </c>
      <c r="G1344" t="s">
        <v>17</v>
      </c>
      <c r="H1344">
        <v>1</v>
      </c>
      <c r="I1344">
        <v>12</v>
      </c>
      <c r="J1344" t="s">
        <v>23</v>
      </c>
      <c r="K1344" t="s">
        <v>25</v>
      </c>
      <c r="L1344">
        <v>12</v>
      </c>
    </row>
    <row r="1345" spans="1:12" x14ac:dyDescent="0.3">
      <c r="A1345">
        <v>382</v>
      </c>
      <c r="B1345" t="s">
        <v>10</v>
      </c>
      <c r="C1345" s="1">
        <v>45844</v>
      </c>
      <c r="D1345" s="1" t="str">
        <f xml:space="preserve"> TEXT(FilmaxData[[#This Row],[Show_Date]],"MMM")</f>
        <v>Jul</v>
      </c>
      <c r="E1345" s="1" t="str">
        <f xml:space="preserve"> TEXT(FilmaxData[[#This Row],[Show_Date]],"DDD")</f>
        <v>Sun</v>
      </c>
      <c r="F1345" t="s">
        <v>33</v>
      </c>
      <c r="G1345" t="s">
        <v>22</v>
      </c>
      <c r="H1345">
        <v>3</v>
      </c>
      <c r="I1345">
        <v>20</v>
      </c>
      <c r="J1345" t="s">
        <v>21</v>
      </c>
      <c r="K1345" t="s">
        <v>18</v>
      </c>
      <c r="L1345">
        <v>60</v>
      </c>
    </row>
    <row r="1346" spans="1:12" x14ac:dyDescent="0.3">
      <c r="A1346">
        <v>1886</v>
      </c>
      <c r="B1346" t="s">
        <v>10</v>
      </c>
      <c r="C1346" s="1">
        <v>45845</v>
      </c>
      <c r="D1346" s="1" t="str">
        <f xml:space="preserve"> TEXT(FilmaxData[[#This Row],[Show_Date]],"MMM")</f>
        <v>Jul</v>
      </c>
      <c r="E1346" s="1" t="str">
        <f xml:space="preserve"> TEXT(FilmaxData[[#This Row],[Show_Date]],"DDD")</f>
        <v>Mon</v>
      </c>
      <c r="F1346" t="s">
        <v>20</v>
      </c>
      <c r="G1346" t="s">
        <v>29</v>
      </c>
      <c r="H1346">
        <v>4</v>
      </c>
      <c r="I1346">
        <v>30</v>
      </c>
      <c r="J1346" t="s">
        <v>21</v>
      </c>
      <c r="K1346" t="s">
        <v>25</v>
      </c>
      <c r="L1346">
        <v>120</v>
      </c>
    </row>
    <row r="1347" spans="1:12" x14ac:dyDescent="0.3">
      <c r="A1347">
        <v>347</v>
      </c>
      <c r="B1347" t="s">
        <v>32</v>
      </c>
      <c r="C1347" s="1">
        <v>45864</v>
      </c>
      <c r="D1347" s="1" t="str">
        <f xml:space="preserve"> TEXT(FilmaxData[[#This Row],[Show_Date]],"MMM")</f>
        <v>Jul</v>
      </c>
      <c r="E1347" s="1" t="str">
        <f xml:space="preserve"> TEXT(FilmaxData[[#This Row],[Show_Date]],"DDD")</f>
        <v>Sat</v>
      </c>
      <c r="F1347" t="s">
        <v>11</v>
      </c>
      <c r="G1347" t="s">
        <v>30</v>
      </c>
      <c r="H1347">
        <v>5</v>
      </c>
      <c r="I1347">
        <v>8</v>
      </c>
      <c r="J1347" t="s">
        <v>23</v>
      </c>
      <c r="K1347" t="s">
        <v>18</v>
      </c>
      <c r="L1347">
        <v>40</v>
      </c>
    </row>
    <row r="1348" spans="1:12" x14ac:dyDescent="0.3">
      <c r="A1348">
        <v>575</v>
      </c>
      <c r="B1348" t="s">
        <v>28</v>
      </c>
      <c r="C1348" s="1">
        <v>45871</v>
      </c>
      <c r="D1348" s="1" t="str">
        <f xml:space="preserve"> TEXT(FilmaxData[[#This Row],[Show_Date]],"MMM")</f>
        <v>Aug</v>
      </c>
      <c r="E1348" s="1" t="str">
        <f xml:space="preserve"> TEXT(FilmaxData[[#This Row],[Show_Date]],"DDD")</f>
        <v>Sat</v>
      </c>
      <c r="F1348" t="s">
        <v>33</v>
      </c>
      <c r="G1348" t="s">
        <v>17</v>
      </c>
      <c r="H1348">
        <v>4</v>
      </c>
      <c r="I1348">
        <v>12</v>
      </c>
      <c r="J1348" t="s">
        <v>23</v>
      </c>
      <c r="K1348" t="s">
        <v>14</v>
      </c>
      <c r="L1348">
        <v>48</v>
      </c>
    </row>
    <row r="1349" spans="1:12" x14ac:dyDescent="0.3">
      <c r="A1349">
        <v>1474</v>
      </c>
      <c r="B1349" t="s">
        <v>26</v>
      </c>
      <c r="C1349" s="1">
        <v>45880</v>
      </c>
      <c r="D1349" s="1" t="str">
        <f xml:space="preserve"> TEXT(FilmaxData[[#This Row],[Show_Date]],"MMM")</f>
        <v>Aug</v>
      </c>
      <c r="E1349" s="1" t="str">
        <f xml:space="preserve"> TEXT(FilmaxData[[#This Row],[Show_Date]],"DDD")</f>
        <v>Mon</v>
      </c>
      <c r="F1349" t="s">
        <v>16</v>
      </c>
      <c r="G1349" t="s">
        <v>30</v>
      </c>
      <c r="H1349">
        <v>4</v>
      </c>
      <c r="I1349">
        <v>8</v>
      </c>
      <c r="J1349" t="s">
        <v>21</v>
      </c>
      <c r="K1349" t="s">
        <v>18</v>
      </c>
      <c r="L1349">
        <v>32</v>
      </c>
    </row>
    <row r="1350" spans="1:12" x14ac:dyDescent="0.3">
      <c r="A1350">
        <v>475</v>
      </c>
      <c r="B1350" t="s">
        <v>32</v>
      </c>
      <c r="C1350" s="1">
        <v>45863</v>
      </c>
      <c r="D1350" s="1" t="str">
        <f xml:space="preserve"> TEXT(FilmaxData[[#This Row],[Show_Date]],"MMM")</f>
        <v>Jul</v>
      </c>
      <c r="E1350" s="1" t="str">
        <f xml:space="preserve"> TEXT(FilmaxData[[#This Row],[Show_Date]],"DDD")</f>
        <v>Fri</v>
      </c>
      <c r="F1350" t="s">
        <v>16</v>
      </c>
      <c r="G1350" t="s">
        <v>12</v>
      </c>
      <c r="H1350">
        <v>3</v>
      </c>
      <c r="I1350">
        <v>25</v>
      </c>
      <c r="J1350" t="s">
        <v>21</v>
      </c>
      <c r="K1350" t="s">
        <v>25</v>
      </c>
      <c r="L1350">
        <v>75</v>
      </c>
    </row>
    <row r="1351" spans="1:12" x14ac:dyDescent="0.3">
      <c r="A1351">
        <v>601</v>
      </c>
      <c r="B1351" t="s">
        <v>15</v>
      </c>
      <c r="C1351" s="1">
        <v>45872</v>
      </c>
      <c r="D1351" s="1" t="str">
        <f xml:space="preserve"> TEXT(FilmaxData[[#This Row],[Show_Date]],"MMM")</f>
        <v>Aug</v>
      </c>
      <c r="E1351" s="1" t="str">
        <f xml:space="preserve"> TEXT(FilmaxData[[#This Row],[Show_Date]],"DDD")</f>
        <v>Sun</v>
      </c>
      <c r="F1351" t="s">
        <v>20</v>
      </c>
      <c r="G1351" t="s">
        <v>12</v>
      </c>
      <c r="H1351">
        <v>2</v>
      </c>
      <c r="I1351">
        <v>25</v>
      </c>
      <c r="J1351" t="s">
        <v>21</v>
      </c>
      <c r="K1351" t="s">
        <v>14</v>
      </c>
      <c r="L1351">
        <v>50</v>
      </c>
    </row>
    <row r="1352" spans="1:12" x14ac:dyDescent="0.3">
      <c r="A1352">
        <v>311</v>
      </c>
      <c r="B1352" t="s">
        <v>19</v>
      </c>
      <c r="C1352" s="1">
        <v>45845</v>
      </c>
      <c r="D1352" s="1" t="str">
        <f xml:space="preserve"> TEXT(FilmaxData[[#This Row],[Show_Date]],"MMM")</f>
        <v>Jul</v>
      </c>
      <c r="E1352" s="1" t="str">
        <f xml:space="preserve"> TEXT(FilmaxData[[#This Row],[Show_Date]],"DDD")</f>
        <v>Mon</v>
      </c>
      <c r="F1352" t="s">
        <v>20</v>
      </c>
      <c r="G1352" t="s">
        <v>12</v>
      </c>
      <c r="H1352">
        <v>4</v>
      </c>
      <c r="I1352">
        <v>25</v>
      </c>
      <c r="J1352" t="s">
        <v>21</v>
      </c>
      <c r="K1352" t="s">
        <v>25</v>
      </c>
      <c r="L1352">
        <v>100</v>
      </c>
    </row>
    <row r="1353" spans="1:12" x14ac:dyDescent="0.3">
      <c r="A1353">
        <v>1486</v>
      </c>
      <c r="B1353" t="s">
        <v>28</v>
      </c>
      <c r="C1353" s="1">
        <v>45879</v>
      </c>
      <c r="D1353" s="1" t="str">
        <f xml:space="preserve"> TEXT(FilmaxData[[#This Row],[Show_Date]],"MMM")</f>
        <v>Aug</v>
      </c>
      <c r="E1353" s="1" t="str">
        <f xml:space="preserve"> TEXT(FilmaxData[[#This Row],[Show_Date]],"DDD")</f>
        <v>Sun</v>
      </c>
      <c r="F1353" t="s">
        <v>33</v>
      </c>
      <c r="G1353" t="s">
        <v>12</v>
      </c>
      <c r="H1353">
        <v>3</v>
      </c>
      <c r="I1353">
        <v>25</v>
      </c>
      <c r="J1353" t="s">
        <v>13</v>
      </c>
      <c r="K1353" t="s">
        <v>14</v>
      </c>
      <c r="L1353">
        <v>75</v>
      </c>
    </row>
    <row r="1354" spans="1:12" x14ac:dyDescent="0.3">
      <c r="A1354">
        <v>1521</v>
      </c>
      <c r="B1354" t="s">
        <v>10</v>
      </c>
      <c r="C1354" s="1">
        <v>45890</v>
      </c>
      <c r="D1354" s="1" t="str">
        <f xml:space="preserve"> TEXT(FilmaxData[[#This Row],[Show_Date]],"MMM")</f>
        <v>Aug</v>
      </c>
      <c r="E1354" s="1" t="str">
        <f xml:space="preserve"> TEXT(FilmaxData[[#This Row],[Show_Date]],"DDD")</f>
        <v>Thu</v>
      </c>
      <c r="F1354" t="s">
        <v>11</v>
      </c>
      <c r="G1354" t="s">
        <v>17</v>
      </c>
      <c r="H1354">
        <v>4</v>
      </c>
      <c r="I1354">
        <v>12</v>
      </c>
      <c r="J1354" t="s">
        <v>13</v>
      </c>
      <c r="K1354" t="s">
        <v>25</v>
      </c>
      <c r="L1354">
        <v>48</v>
      </c>
    </row>
    <row r="1355" spans="1:12" x14ac:dyDescent="0.3">
      <c r="A1355">
        <v>323</v>
      </c>
      <c r="B1355" t="s">
        <v>31</v>
      </c>
      <c r="C1355" s="1">
        <v>45927</v>
      </c>
      <c r="D1355" s="1" t="str">
        <f xml:space="preserve"> TEXT(FilmaxData[[#This Row],[Show_Date]],"MMM")</f>
        <v>Sep</v>
      </c>
      <c r="E1355" s="1" t="str">
        <f xml:space="preserve"> TEXT(FilmaxData[[#This Row],[Show_Date]],"DDD")</f>
        <v>Sat</v>
      </c>
      <c r="F1355" t="s">
        <v>20</v>
      </c>
      <c r="G1355" t="s">
        <v>12</v>
      </c>
      <c r="H1355">
        <v>4</v>
      </c>
      <c r="I1355">
        <v>25</v>
      </c>
      <c r="J1355" t="s">
        <v>21</v>
      </c>
      <c r="K1355" t="s">
        <v>27</v>
      </c>
      <c r="L1355">
        <v>100</v>
      </c>
    </row>
    <row r="1356" spans="1:12" x14ac:dyDescent="0.3">
      <c r="A1356">
        <v>146</v>
      </c>
      <c r="B1356" t="s">
        <v>28</v>
      </c>
      <c r="C1356" s="1">
        <v>45920</v>
      </c>
      <c r="D1356" s="1" t="str">
        <f xml:space="preserve"> TEXT(FilmaxData[[#This Row],[Show_Date]],"MMM")</f>
        <v>Sep</v>
      </c>
      <c r="E1356" s="1" t="str">
        <f xml:space="preserve"> TEXT(FilmaxData[[#This Row],[Show_Date]],"DDD")</f>
        <v>Sat</v>
      </c>
      <c r="F1356" t="s">
        <v>16</v>
      </c>
      <c r="G1356" t="s">
        <v>22</v>
      </c>
      <c r="H1356">
        <v>5</v>
      </c>
      <c r="I1356">
        <v>20</v>
      </c>
      <c r="J1356" t="s">
        <v>23</v>
      </c>
      <c r="K1356" t="s">
        <v>18</v>
      </c>
      <c r="L1356">
        <v>100</v>
      </c>
    </row>
    <row r="1357" spans="1:12" x14ac:dyDescent="0.3">
      <c r="A1357">
        <v>653</v>
      </c>
      <c r="B1357" t="s">
        <v>28</v>
      </c>
      <c r="C1357" s="1">
        <v>45903</v>
      </c>
      <c r="D1357" s="1" t="str">
        <f xml:space="preserve"> TEXT(FilmaxData[[#This Row],[Show_Date]],"MMM")</f>
        <v>Sep</v>
      </c>
      <c r="E1357" s="1" t="str">
        <f xml:space="preserve"> TEXT(FilmaxData[[#This Row],[Show_Date]],"DDD")</f>
        <v>Wed</v>
      </c>
      <c r="F1357" t="s">
        <v>16</v>
      </c>
      <c r="G1357" t="s">
        <v>17</v>
      </c>
      <c r="H1357">
        <v>3</v>
      </c>
      <c r="I1357">
        <v>12</v>
      </c>
      <c r="J1357" t="s">
        <v>23</v>
      </c>
      <c r="K1357" t="s">
        <v>25</v>
      </c>
      <c r="L1357">
        <v>36</v>
      </c>
    </row>
    <row r="1358" spans="1:12" x14ac:dyDescent="0.3">
      <c r="A1358">
        <v>682</v>
      </c>
      <c r="B1358" t="s">
        <v>15</v>
      </c>
      <c r="C1358" s="1">
        <v>45872</v>
      </c>
      <c r="D1358" s="1" t="str">
        <f xml:space="preserve"> TEXT(FilmaxData[[#This Row],[Show_Date]],"MMM")</f>
        <v>Aug</v>
      </c>
      <c r="E1358" s="1" t="str">
        <f xml:space="preserve"> TEXT(FilmaxData[[#This Row],[Show_Date]],"DDD")</f>
        <v>Sun</v>
      </c>
      <c r="F1358" t="s">
        <v>11</v>
      </c>
      <c r="G1358" t="s">
        <v>22</v>
      </c>
      <c r="H1358">
        <v>2</v>
      </c>
      <c r="I1358">
        <v>20</v>
      </c>
      <c r="J1358" t="s">
        <v>13</v>
      </c>
      <c r="K1358" t="s">
        <v>25</v>
      </c>
      <c r="L1358">
        <v>40</v>
      </c>
    </row>
    <row r="1359" spans="1:12" x14ac:dyDescent="0.3">
      <c r="A1359">
        <v>343</v>
      </c>
      <c r="B1359" t="s">
        <v>32</v>
      </c>
      <c r="C1359" s="1">
        <v>45852</v>
      </c>
      <c r="D1359" s="1" t="str">
        <f xml:space="preserve"> TEXT(FilmaxData[[#This Row],[Show_Date]],"MMM")</f>
        <v>Jul</v>
      </c>
      <c r="E1359" s="1" t="str">
        <f xml:space="preserve"> TEXT(FilmaxData[[#This Row],[Show_Date]],"DDD")</f>
        <v>Mon</v>
      </c>
      <c r="F1359" t="s">
        <v>33</v>
      </c>
      <c r="G1359" t="s">
        <v>17</v>
      </c>
      <c r="H1359">
        <v>1</v>
      </c>
      <c r="I1359">
        <v>12</v>
      </c>
      <c r="J1359" t="s">
        <v>23</v>
      </c>
      <c r="K1359" t="s">
        <v>25</v>
      </c>
      <c r="L1359">
        <v>12</v>
      </c>
    </row>
    <row r="1360" spans="1:12" x14ac:dyDescent="0.3">
      <c r="A1360">
        <v>707</v>
      </c>
      <c r="B1360" t="s">
        <v>31</v>
      </c>
      <c r="C1360" s="1">
        <v>45867</v>
      </c>
      <c r="D1360" s="1" t="str">
        <f xml:space="preserve"> TEXT(FilmaxData[[#This Row],[Show_Date]],"MMM")</f>
        <v>Jul</v>
      </c>
      <c r="E1360" s="1" t="str">
        <f xml:space="preserve"> TEXT(FilmaxData[[#This Row],[Show_Date]],"DDD")</f>
        <v>Tue</v>
      </c>
      <c r="F1360" t="s">
        <v>33</v>
      </c>
      <c r="G1360" t="s">
        <v>17</v>
      </c>
      <c r="H1360">
        <v>2</v>
      </c>
      <c r="I1360">
        <v>12</v>
      </c>
      <c r="J1360" t="s">
        <v>13</v>
      </c>
      <c r="K1360" t="s">
        <v>14</v>
      </c>
      <c r="L1360">
        <v>24</v>
      </c>
    </row>
    <row r="1361" spans="1:12" x14ac:dyDescent="0.3">
      <c r="A1361">
        <v>415</v>
      </c>
      <c r="B1361" t="s">
        <v>32</v>
      </c>
      <c r="C1361" s="1">
        <v>45909</v>
      </c>
      <c r="D1361" s="1" t="str">
        <f xml:space="preserve"> TEXT(FilmaxData[[#This Row],[Show_Date]],"MMM")</f>
        <v>Sep</v>
      </c>
      <c r="E1361" s="1" t="str">
        <f xml:space="preserve"> TEXT(FilmaxData[[#This Row],[Show_Date]],"DDD")</f>
        <v>Tue</v>
      </c>
      <c r="F1361" t="s">
        <v>20</v>
      </c>
      <c r="G1361" t="s">
        <v>12</v>
      </c>
      <c r="H1361">
        <v>3</v>
      </c>
      <c r="I1361">
        <v>25</v>
      </c>
      <c r="J1361" t="s">
        <v>13</v>
      </c>
      <c r="K1361" t="s">
        <v>25</v>
      </c>
      <c r="L1361">
        <v>75</v>
      </c>
    </row>
    <row r="1362" spans="1:12" x14ac:dyDescent="0.3">
      <c r="A1362">
        <v>1767</v>
      </c>
      <c r="B1362" t="s">
        <v>10</v>
      </c>
      <c r="C1362" s="1">
        <v>45872</v>
      </c>
      <c r="D1362" s="1" t="str">
        <f xml:space="preserve"> TEXT(FilmaxData[[#This Row],[Show_Date]],"MMM")</f>
        <v>Aug</v>
      </c>
      <c r="E1362" s="1" t="str">
        <f xml:space="preserve"> TEXT(FilmaxData[[#This Row],[Show_Date]],"DDD")</f>
        <v>Sun</v>
      </c>
      <c r="F1362" t="s">
        <v>16</v>
      </c>
      <c r="G1362" t="s">
        <v>12</v>
      </c>
      <c r="H1362">
        <v>4</v>
      </c>
      <c r="I1362">
        <v>25</v>
      </c>
      <c r="J1362" t="s">
        <v>13</v>
      </c>
      <c r="K1362" t="s">
        <v>14</v>
      </c>
      <c r="L1362">
        <v>100</v>
      </c>
    </row>
    <row r="1363" spans="1:12" x14ac:dyDescent="0.3">
      <c r="A1363">
        <v>662</v>
      </c>
      <c r="B1363" t="s">
        <v>32</v>
      </c>
      <c r="C1363" s="1">
        <v>45900</v>
      </c>
      <c r="D1363" s="1" t="str">
        <f xml:space="preserve"> TEXT(FilmaxData[[#This Row],[Show_Date]],"MMM")</f>
        <v>Aug</v>
      </c>
      <c r="E1363" s="1" t="str">
        <f xml:space="preserve"> TEXT(FilmaxData[[#This Row],[Show_Date]],"DDD")</f>
        <v>Sun</v>
      </c>
      <c r="F1363" t="s">
        <v>20</v>
      </c>
      <c r="G1363" t="s">
        <v>22</v>
      </c>
      <c r="H1363">
        <v>1</v>
      </c>
      <c r="I1363">
        <v>20</v>
      </c>
      <c r="J1363" t="s">
        <v>23</v>
      </c>
      <c r="K1363" t="s">
        <v>25</v>
      </c>
      <c r="L1363">
        <v>20</v>
      </c>
    </row>
    <row r="1364" spans="1:12" x14ac:dyDescent="0.3">
      <c r="A1364">
        <v>1281</v>
      </c>
      <c r="B1364" t="s">
        <v>26</v>
      </c>
      <c r="C1364" s="1">
        <v>45881</v>
      </c>
      <c r="D1364" s="1" t="str">
        <f xml:space="preserve"> TEXT(FilmaxData[[#This Row],[Show_Date]],"MMM")</f>
        <v>Aug</v>
      </c>
      <c r="E1364" s="1" t="str">
        <f xml:space="preserve"> TEXT(FilmaxData[[#This Row],[Show_Date]],"DDD")</f>
        <v>Tue</v>
      </c>
      <c r="F1364" t="s">
        <v>16</v>
      </c>
      <c r="G1364" t="s">
        <v>17</v>
      </c>
      <c r="H1364">
        <v>3</v>
      </c>
      <c r="I1364">
        <v>12</v>
      </c>
      <c r="J1364" t="s">
        <v>13</v>
      </c>
      <c r="K1364" t="s">
        <v>14</v>
      </c>
      <c r="L1364">
        <v>36</v>
      </c>
    </row>
    <row r="1365" spans="1:12" x14ac:dyDescent="0.3">
      <c r="A1365">
        <v>972</v>
      </c>
      <c r="B1365" t="s">
        <v>28</v>
      </c>
      <c r="C1365" s="1">
        <v>45920</v>
      </c>
      <c r="D1365" s="1" t="str">
        <f xml:space="preserve"> TEXT(FilmaxData[[#This Row],[Show_Date]],"MMM")</f>
        <v>Sep</v>
      </c>
      <c r="E1365" s="1" t="str">
        <f xml:space="preserve"> TEXT(FilmaxData[[#This Row],[Show_Date]],"DDD")</f>
        <v>Sat</v>
      </c>
      <c r="F1365" t="s">
        <v>20</v>
      </c>
      <c r="G1365" t="s">
        <v>17</v>
      </c>
      <c r="H1365">
        <v>4</v>
      </c>
      <c r="I1365">
        <v>12</v>
      </c>
      <c r="J1365" t="s">
        <v>21</v>
      </c>
      <c r="K1365" t="s">
        <v>14</v>
      </c>
      <c r="L1365">
        <v>48</v>
      </c>
    </row>
    <row r="1366" spans="1:12" x14ac:dyDescent="0.3">
      <c r="A1366">
        <v>1029</v>
      </c>
      <c r="B1366" t="s">
        <v>15</v>
      </c>
      <c r="C1366" s="1">
        <v>45882</v>
      </c>
      <c r="D1366" s="1" t="str">
        <f xml:space="preserve"> TEXT(FilmaxData[[#This Row],[Show_Date]],"MMM")</f>
        <v>Aug</v>
      </c>
      <c r="E1366" s="1" t="str">
        <f xml:space="preserve"> TEXT(FilmaxData[[#This Row],[Show_Date]],"DDD")</f>
        <v>Wed</v>
      </c>
      <c r="F1366" t="s">
        <v>11</v>
      </c>
      <c r="G1366" t="s">
        <v>30</v>
      </c>
      <c r="H1366">
        <v>1</v>
      </c>
      <c r="I1366">
        <v>8</v>
      </c>
      <c r="J1366" t="s">
        <v>13</v>
      </c>
      <c r="K1366" t="s">
        <v>27</v>
      </c>
      <c r="L1366">
        <v>8</v>
      </c>
    </row>
    <row r="1367" spans="1:12" x14ac:dyDescent="0.3">
      <c r="A1367">
        <v>1844</v>
      </c>
      <c r="B1367" t="s">
        <v>32</v>
      </c>
      <c r="C1367" s="1">
        <v>45850</v>
      </c>
      <c r="D1367" s="1" t="str">
        <f xml:space="preserve"> TEXT(FilmaxData[[#This Row],[Show_Date]],"MMM")</f>
        <v>Jul</v>
      </c>
      <c r="E1367" s="1" t="str">
        <f xml:space="preserve"> TEXT(FilmaxData[[#This Row],[Show_Date]],"DDD")</f>
        <v>Sat</v>
      </c>
      <c r="F1367" t="s">
        <v>20</v>
      </c>
      <c r="G1367" t="s">
        <v>17</v>
      </c>
      <c r="H1367">
        <v>4</v>
      </c>
      <c r="I1367">
        <v>12</v>
      </c>
      <c r="J1367" t="s">
        <v>23</v>
      </c>
      <c r="K1367" t="s">
        <v>14</v>
      </c>
      <c r="L1367">
        <v>48</v>
      </c>
    </row>
    <row r="1368" spans="1:12" x14ac:dyDescent="0.3">
      <c r="A1368">
        <v>1904</v>
      </c>
      <c r="B1368" t="s">
        <v>15</v>
      </c>
      <c r="C1368" s="1">
        <v>45874</v>
      </c>
      <c r="D1368" s="1" t="str">
        <f xml:space="preserve"> TEXT(FilmaxData[[#This Row],[Show_Date]],"MMM")</f>
        <v>Aug</v>
      </c>
      <c r="E1368" s="1" t="str">
        <f xml:space="preserve"> TEXT(FilmaxData[[#This Row],[Show_Date]],"DDD")</f>
        <v>Tue</v>
      </c>
      <c r="F1368" t="s">
        <v>33</v>
      </c>
      <c r="G1368" t="s">
        <v>17</v>
      </c>
      <c r="H1368">
        <v>3</v>
      </c>
      <c r="I1368">
        <v>12</v>
      </c>
      <c r="J1368" t="s">
        <v>23</v>
      </c>
      <c r="K1368" t="s">
        <v>14</v>
      </c>
      <c r="L1368">
        <v>36</v>
      </c>
    </row>
    <row r="1369" spans="1:12" x14ac:dyDescent="0.3">
      <c r="A1369">
        <v>137</v>
      </c>
      <c r="B1369" t="s">
        <v>24</v>
      </c>
      <c r="C1369" s="1">
        <v>45844</v>
      </c>
      <c r="D1369" s="1" t="str">
        <f xml:space="preserve"> TEXT(FilmaxData[[#This Row],[Show_Date]],"MMM")</f>
        <v>Jul</v>
      </c>
      <c r="E1369" s="1" t="str">
        <f xml:space="preserve"> TEXT(FilmaxData[[#This Row],[Show_Date]],"DDD")</f>
        <v>Sun</v>
      </c>
      <c r="F1369" t="s">
        <v>20</v>
      </c>
      <c r="G1369" t="s">
        <v>17</v>
      </c>
      <c r="H1369">
        <v>3</v>
      </c>
      <c r="I1369">
        <v>12</v>
      </c>
      <c r="J1369" t="s">
        <v>13</v>
      </c>
      <c r="K1369" t="s">
        <v>14</v>
      </c>
      <c r="L1369">
        <v>36</v>
      </c>
    </row>
    <row r="1370" spans="1:12" x14ac:dyDescent="0.3">
      <c r="A1370">
        <v>1202</v>
      </c>
      <c r="B1370" t="s">
        <v>26</v>
      </c>
      <c r="C1370" s="1">
        <v>45844</v>
      </c>
      <c r="D1370" s="1" t="str">
        <f xml:space="preserve"> TEXT(FilmaxData[[#This Row],[Show_Date]],"MMM")</f>
        <v>Jul</v>
      </c>
      <c r="E1370" s="1" t="str">
        <f xml:space="preserve"> TEXT(FilmaxData[[#This Row],[Show_Date]],"DDD")</f>
        <v>Sun</v>
      </c>
      <c r="F1370" t="s">
        <v>33</v>
      </c>
      <c r="G1370" t="s">
        <v>12</v>
      </c>
      <c r="H1370">
        <v>4</v>
      </c>
      <c r="I1370">
        <v>25</v>
      </c>
      <c r="J1370" t="s">
        <v>13</v>
      </c>
      <c r="K1370" t="s">
        <v>27</v>
      </c>
      <c r="L1370">
        <v>100</v>
      </c>
    </row>
    <row r="1371" spans="1:12" x14ac:dyDescent="0.3">
      <c r="A1371">
        <v>680</v>
      </c>
      <c r="B1371" t="s">
        <v>26</v>
      </c>
      <c r="C1371" s="1">
        <v>45865</v>
      </c>
      <c r="D1371" s="1" t="str">
        <f xml:space="preserve"> TEXT(FilmaxData[[#This Row],[Show_Date]],"MMM")</f>
        <v>Jul</v>
      </c>
      <c r="E1371" s="1" t="str">
        <f xml:space="preserve"> TEXT(FilmaxData[[#This Row],[Show_Date]],"DDD")</f>
        <v>Sun</v>
      </c>
      <c r="F1371" t="s">
        <v>11</v>
      </c>
      <c r="G1371" t="s">
        <v>12</v>
      </c>
      <c r="H1371">
        <v>5</v>
      </c>
      <c r="I1371">
        <v>25</v>
      </c>
      <c r="J1371" t="s">
        <v>13</v>
      </c>
      <c r="K1371" t="s">
        <v>18</v>
      </c>
      <c r="L1371">
        <v>125</v>
      </c>
    </row>
    <row r="1372" spans="1:12" x14ac:dyDescent="0.3">
      <c r="A1372">
        <v>867</v>
      </c>
      <c r="B1372" t="s">
        <v>15</v>
      </c>
      <c r="C1372" s="1">
        <v>45907</v>
      </c>
      <c r="D1372" s="1" t="str">
        <f xml:space="preserve"> TEXT(FilmaxData[[#This Row],[Show_Date]],"MMM")</f>
        <v>Sep</v>
      </c>
      <c r="E1372" s="1" t="str">
        <f xml:space="preserve"> TEXT(FilmaxData[[#This Row],[Show_Date]],"DDD")</f>
        <v>Sun</v>
      </c>
      <c r="F1372" t="s">
        <v>16</v>
      </c>
      <c r="G1372" t="s">
        <v>12</v>
      </c>
      <c r="H1372">
        <v>1</v>
      </c>
      <c r="I1372">
        <v>25</v>
      </c>
      <c r="J1372" t="s">
        <v>21</v>
      </c>
      <c r="K1372" t="s">
        <v>14</v>
      </c>
      <c r="L1372">
        <v>25</v>
      </c>
    </row>
    <row r="1373" spans="1:12" x14ac:dyDescent="0.3">
      <c r="A1373">
        <v>140</v>
      </c>
      <c r="B1373" t="s">
        <v>24</v>
      </c>
      <c r="C1373" s="1">
        <v>45914</v>
      </c>
      <c r="D1373" s="1" t="str">
        <f xml:space="preserve"> TEXT(FilmaxData[[#This Row],[Show_Date]],"MMM")</f>
        <v>Sep</v>
      </c>
      <c r="E1373" s="1" t="str">
        <f xml:space="preserve"> TEXT(FilmaxData[[#This Row],[Show_Date]],"DDD")</f>
        <v>Sun</v>
      </c>
      <c r="F1373" t="s">
        <v>20</v>
      </c>
      <c r="G1373" t="s">
        <v>22</v>
      </c>
      <c r="H1373">
        <v>3</v>
      </c>
      <c r="I1373">
        <v>20</v>
      </c>
      <c r="J1373" t="s">
        <v>13</v>
      </c>
      <c r="K1373" t="s">
        <v>25</v>
      </c>
      <c r="L1373">
        <v>60</v>
      </c>
    </row>
    <row r="1374" spans="1:12" x14ac:dyDescent="0.3">
      <c r="A1374">
        <v>37</v>
      </c>
      <c r="B1374" t="s">
        <v>31</v>
      </c>
      <c r="C1374" s="1">
        <v>45900</v>
      </c>
      <c r="D1374" s="1" t="str">
        <f xml:space="preserve"> TEXT(FilmaxData[[#This Row],[Show_Date]],"MMM")</f>
        <v>Aug</v>
      </c>
      <c r="E1374" s="1" t="str">
        <f xml:space="preserve"> TEXT(FilmaxData[[#This Row],[Show_Date]],"DDD")</f>
        <v>Sun</v>
      </c>
      <c r="F1374" t="s">
        <v>20</v>
      </c>
      <c r="G1374" t="s">
        <v>17</v>
      </c>
      <c r="H1374">
        <v>5</v>
      </c>
      <c r="I1374">
        <v>12</v>
      </c>
      <c r="J1374" t="s">
        <v>21</v>
      </c>
      <c r="K1374" t="s">
        <v>27</v>
      </c>
      <c r="L1374">
        <v>60</v>
      </c>
    </row>
    <row r="1375" spans="1:12" x14ac:dyDescent="0.3">
      <c r="A1375">
        <v>1444</v>
      </c>
      <c r="B1375" t="s">
        <v>32</v>
      </c>
      <c r="C1375" s="1">
        <v>45867</v>
      </c>
      <c r="D1375" s="1" t="str">
        <f xml:space="preserve"> TEXT(FilmaxData[[#This Row],[Show_Date]],"MMM")</f>
        <v>Jul</v>
      </c>
      <c r="E1375" s="1" t="str">
        <f xml:space="preserve"> TEXT(FilmaxData[[#This Row],[Show_Date]],"DDD")</f>
        <v>Tue</v>
      </c>
      <c r="F1375" t="s">
        <v>16</v>
      </c>
      <c r="G1375" t="s">
        <v>29</v>
      </c>
      <c r="H1375">
        <v>3</v>
      </c>
      <c r="I1375">
        <v>30</v>
      </c>
      <c r="J1375" t="s">
        <v>13</v>
      </c>
      <c r="K1375" t="s">
        <v>14</v>
      </c>
      <c r="L1375">
        <v>90</v>
      </c>
    </row>
    <row r="1376" spans="1:12" x14ac:dyDescent="0.3">
      <c r="A1376">
        <v>92</v>
      </c>
      <c r="B1376" t="s">
        <v>31</v>
      </c>
      <c r="C1376" s="1">
        <v>45890</v>
      </c>
      <c r="D1376" s="1" t="str">
        <f xml:space="preserve"> TEXT(FilmaxData[[#This Row],[Show_Date]],"MMM")</f>
        <v>Aug</v>
      </c>
      <c r="E1376" s="1" t="str">
        <f xml:space="preserve"> TEXT(FilmaxData[[#This Row],[Show_Date]],"DDD")</f>
        <v>Thu</v>
      </c>
      <c r="F1376" t="s">
        <v>16</v>
      </c>
      <c r="G1376" t="s">
        <v>29</v>
      </c>
      <c r="H1376">
        <v>3</v>
      </c>
      <c r="I1376">
        <v>30</v>
      </c>
      <c r="J1376" t="s">
        <v>23</v>
      </c>
      <c r="K1376" t="s">
        <v>27</v>
      </c>
      <c r="L1376">
        <v>90</v>
      </c>
    </row>
    <row r="1377" spans="1:12" x14ac:dyDescent="0.3">
      <c r="A1377">
        <v>1945</v>
      </c>
      <c r="B1377" t="s">
        <v>15</v>
      </c>
      <c r="C1377" s="1">
        <v>45919</v>
      </c>
      <c r="D1377" s="1" t="str">
        <f xml:space="preserve"> TEXT(FilmaxData[[#This Row],[Show_Date]],"MMM")</f>
        <v>Sep</v>
      </c>
      <c r="E1377" s="1" t="str">
        <f xml:space="preserve"> TEXT(FilmaxData[[#This Row],[Show_Date]],"DDD")</f>
        <v>Fri</v>
      </c>
      <c r="F1377" t="s">
        <v>33</v>
      </c>
      <c r="G1377" t="s">
        <v>17</v>
      </c>
      <c r="H1377">
        <v>2</v>
      </c>
      <c r="I1377">
        <v>12</v>
      </c>
      <c r="J1377" t="s">
        <v>23</v>
      </c>
      <c r="K1377" t="s">
        <v>18</v>
      </c>
      <c r="L1377">
        <v>24</v>
      </c>
    </row>
    <row r="1378" spans="1:12" x14ac:dyDescent="0.3">
      <c r="A1378">
        <v>1109</v>
      </c>
      <c r="B1378" t="s">
        <v>10</v>
      </c>
      <c r="C1378" s="1">
        <v>45843</v>
      </c>
      <c r="D1378" s="1" t="str">
        <f xml:space="preserve"> TEXT(FilmaxData[[#This Row],[Show_Date]],"MMM")</f>
        <v>Jul</v>
      </c>
      <c r="E1378" s="1" t="str">
        <f xml:space="preserve"> TEXT(FilmaxData[[#This Row],[Show_Date]],"DDD")</f>
        <v>Sat</v>
      </c>
      <c r="F1378" t="s">
        <v>33</v>
      </c>
      <c r="G1378" t="s">
        <v>12</v>
      </c>
      <c r="H1378">
        <v>1</v>
      </c>
      <c r="I1378">
        <v>25</v>
      </c>
      <c r="J1378" t="s">
        <v>23</v>
      </c>
      <c r="K1378" t="s">
        <v>18</v>
      </c>
      <c r="L1378">
        <v>25</v>
      </c>
    </row>
    <row r="1379" spans="1:12" x14ac:dyDescent="0.3">
      <c r="A1379">
        <v>1903</v>
      </c>
      <c r="B1379" t="s">
        <v>24</v>
      </c>
      <c r="C1379" s="1">
        <v>45873</v>
      </c>
      <c r="D1379" s="1" t="str">
        <f xml:space="preserve"> TEXT(FilmaxData[[#This Row],[Show_Date]],"MMM")</f>
        <v>Aug</v>
      </c>
      <c r="E1379" s="1" t="str">
        <f xml:space="preserve"> TEXT(FilmaxData[[#This Row],[Show_Date]],"DDD")</f>
        <v>Mon</v>
      </c>
      <c r="F1379" t="s">
        <v>16</v>
      </c>
      <c r="G1379" t="s">
        <v>29</v>
      </c>
      <c r="H1379">
        <v>5</v>
      </c>
      <c r="I1379">
        <v>30</v>
      </c>
      <c r="J1379" t="s">
        <v>21</v>
      </c>
      <c r="K1379" t="s">
        <v>25</v>
      </c>
      <c r="L1379">
        <v>150</v>
      </c>
    </row>
    <row r="1380" spans="1:12" x14ac:dyDescent="0.3">
      <c r="A1380">
        <v>1954</v>
      </c>
      <c r="B1380" t="s">
        <v>31</v>
      </c>
      <c r="C1380" s="1">
        <v>45913</v>
      </c>
      <c r="D1380" s="1" t="str">
        <f xml:space="preserve"> TEXT(FilmaxData[[#This Row],[Show_Date]],"MMM")</f>
        <v>Sep</v>
      </c>
      <c r="E1380" s="1" t="str">
        <f xml:space="preserve"> TEXT(FilmaxData[[#This Row],[Show_Date]],"DDD")</f>
        <v>Sat</v>
      </c>
      <c r="F1380" t="s">
        <v>11</v>
      </c>
      <c r="G1380" t="s">
        <v>17</v>
      </c>
      <c r="H1380">
        <v>1</v>
      </c>
      <c r="I1380">
        <v>12</v>
      </c>
      <c r="J1380" t="s">
        <v>23</v>
      </c>
      <c r="K1380" t="s">
        <v>14</v>
      </c>
      <c r="L1380">
        <v>12</v>
      </c>
    </row>
    <row r="1381" spans="1:12" x14ac:dyDescent="0.3">
      <c r="A1381">
        <v>1834</v>
      </c>
      <c r="B1381" t="s">
        <v>32</v>
      </c>
      <c r="C1381" s="1">
        <v>45881</v>
      </c>
      <c r="D1381" s="1" t="str">
        <f xml:space="preserve"> TEXT(FilmaxData[[#This Row],[Show_Date]],"MMM")</f>
        <v>Aug</v>
      </c>
      <c r="E1381" s="1" t="str">
        <f xml:space="preserve"> TEXT(FilmaxData[[#This Row],[Show_Date]],"DDD")</f>
        <v>Tue</v>
      </c>
      <c r="F1381" t="s">
        <v>20</v>
      </c>
      <c r="G1381" t="s">
        <v>17</v>
      </c>
      <c r="H1381">
        <v>1</v>
      </c>
      <c r="I1381">
        <v>12</v>
      </c>
      <c r="J1381" t="s">
        <v>23</v>
      </c>
      <c r="K1381" t="s">
        <v>25</v>
      </c>
      <c r="L1381">
        <v>12</v>
      </c>
    </row>
    <row r="1382" spans="1:12" x14ac:dyDescent="0.3">
      <c r="A1382">
        <v>1988</v>
      </c>
      <c r="B1382" t="s">
        <v>31</v>
      </c>
      <c r="C1382" s="1">
        <v>45888</v>
      </c>
      <c r="D1382" s="1" t="str">
        <f xml:space="preserve"> TEXT(FilmaxData[[#This Row],[Show_Date]],"MMM")</f>
        <v>Aug</v>
      </c>
      <c r="E1382" s="1" t="str">
        <f xml:space="preserve"> TEXT(FilmaxData[[#This Row],[Show_Date]],"DDD")</f>
        <v>Tue</v>
      </c>
      <c r="F1382" t="s">
        <v>33</v>
      </c>
      <c r="G1382" t="s">
        <v>17</v>
      </c>
      <c r="H1382">
        <v>4</v>
      </c>
      <c r="I1382">
        <v>12</v>
      </c>
      <c r="J1382" t="s">
        <v>21</v>
      </c>
      <c r="K1382" t="s">
        <v>27</v>
      </c>
      <c r="L1382">
        <v>48</v>
      </c>
    </row>
    <row r="1383" spans="1:12" x14ac:dyDescent="0.3">
      <c r="A1383">
        <v>626</v>
      </c>
      <c r="B1383" t="s">
        <v>26</v>
      </c>
      <c r="C1383" s="1">
        <v>45910</v>
      </c>
      <c r="D1383" s="1" t="str">
        <f xml:space="preserve"> TEXT(FilmaxData[[#This Row],[Show_Date]],"MMM")</f>
        <v>Sep</v>
      </c>
      <c r="E1383" s="1" t="str">
        <f xml:space="preserve"> TEXT(FilmaxData[[#This Row],[Show_Date]],"DDD")</f>
        <v>Wed</v>
      </c>
      <c r="F1383" t="s">
        <v>20</v>
      </c>
      <c r="G1383" t="s">
        <v>29</v>
      </c>
      <c r="H1383">
        <v>5</v>
      </c>
      <c r="I1383">
        <v>30</v>
      </c>
      <c r="J1383" t="s">
        <v>13</v>
      </c>
      <c r="K1383" t="s">
        <v>27</v>
      </c>
      <c r="L1383">
        <v>150</v>
      </c>
    </row>
    <row r="1384" spans="1:12" x14ac:dyDescent="0.3">
      <c r="A1384">
        <v>1590</v>
      </c>
      <c r="B1384" t="s">
        <v>19</v>
      </c>
      <c r="C1384" s="1">
        <v>45886</v>
      </c>
      <c r="D1384" s="1" t="str">
        <f xml:space="preserve"> TEXT(FilmaxData[[#This Row],[Show_Date]],"MMM")</f>
        <v>Aug</v>
      </c>
      <c r="E1384" s="1" t="str">
        <f xml:space="preserve"> TEXT(FilmaxData[[#This Row],[Show_Date]],"DDD")</f>
        <v>Sun</v>
      </c>
      <c r="F1384" t="s">
        <v>16</v>
      </c>
      <c r="G1384" t="s">
        <v>17</v>
      </c>
      <c r="H1384">
        <v>5</v>
      </c>
      <c r="I1384">
        <v>12</v>
      </c>
      <c r="J1384" t="s">
        <v>21</v>
      </c>
      <c r="K1384" t="s">
        <v>14</v>
      </c>
      <c r="L1384">
        <v>60</v>
      </c>
    </row>
    <row r="1385" spans="1:12" x14ac:dyDescent="0.3">
      <c r="A1385">
        <v>1043</v>
      </c>
      <c r="B1385" t="s">
        <v>28</v>
      </c>
      <c r="C1385" s="1">
        <v>45846</v>
      </c>
      <c r="D1385" s="1" t="str">
        <f xml:space="preserve"> TEXT(FilmaxData[[#This Row],[Show_Date]],"MMM")</f>
        <v>Jul</v>
      </c>
      <c r="E1385" s="1" t="str">
        <f xml:space="preserve"> TEXT(FilmaxData[[#This Row],[Show_Date]],"DDD")</f>
        <v>Tue</v>
      </c>
      <c r="F1385" t="s">
        <v>33</v>
      </c>
      <c r="G1385" t="s">
        <v>17</v>
      </c>
      <c r="H1385">
        <v>4</v>
      </c>
      <c r="I1385">
        <v>12</v>
      </c>
      <c r="J1385" t="s">
        <v>23</v>
      </c>
      <c r="K1385" t="s">
        <v>27</v>
      </c>
      <c r="L1385">
        <v>48</v>
      </c>
    </row>
    <row r="1386" spans="1:12" x14ac:dyDescent="0.3">
      <c r="A1386">
        <v>1687</v>
      </c>
      <c r="B1386" t="s">
        <v>31</v>
      </c>
      <c r="C1386" s="1">
        <v>45926</v>
      </c>
      <c r="D1386" s="1" t="str">
        <f xml:space="preserve"> TEXT(FilmaxData[[#This Row],[Show_Date]],"MMM")</f>
        <v>Sep</v>
      </c>
      <c r="E1386" s="1" t="str">
        <f xml:space="preserve"> TEXT(FilmaxData[[#This Row],[Show_Date]],"DDD")</f>
        <v>Fri</v>
      </c>
      <c r="F1386" t="s">
        <v>33</v>
      </c>
      <c r="G1386" t="s">
        <v>29</v>
      </c>
      <c r="H1386">
        <v>1</v>
      </c>
      <c r="I1386">
        <v>30</v>
      </c>
      <c r="J1386" t="s">
        <v>23</v>
      </c>
      <c r="K1386" t="s">
        <v>18</v>
      </c>
      <c r="L1386">
        <v>30</v>
      </c>
    </row>
    <row r="1387" spans="1:12" x14ac:dyDescent="0.3">
      <c r="A1387">
        <v>984</v>
      </c>
      <c r="B1387" t="s">
        <v>15</v>
      </c>
      <c r="C1387" s="1">
        <v>45879</v>
      </c>
      <c r="D1387" s="1" t="str">
        <f xml:space="preserve"> TEXT(FilmaxData[[#This Row],[Show_Date]],"MMM")</f>
        <v>Aug</v>
      </c>
      <c r="E1387" s="1" t="str">
        <f xml:space="preserve"> TEXT(FilmaxData[[#This Row],[Show_Date]],"DDD")</f>
        <v>Sun</v>
      </c>
      <c r="F1387" t="s">
        <v>11</v>
      </c>
      <c r="G1387" t="s">
        <v>22</v>
      </c>
      <c r="H1387">
        <v>2</v>
      </c>
      <c r="I1387">
        <v>20</v>
      </c>
      <c r="J1387" t="s">
        <v>13</v>
      </c>
      <c r="K1387" t="s">
        <v>25</v>
      </c>
      <c r="L1387">
        <v>40</v>
      </c>
    </row>
    <row r="1388" spans="1:12" x14ac:dyDescent="0.3">
      <c r="A1388">
        <v>941</v>
      </c>
      <c r="B1388" t="s">
        <v>31</v>
      </c>
      <c r="C1388" s="1">
        <v>45851</v>
      </c>
      <c r="D1388" s="1" t="str">
        <f xml:space="preserve"> TEXT(FilmaxData[[#This Row],[Show_Date]],"MMM")</f>
        <v>Jul</v>
      </c>
      <c r="E1388" s="1" t="str">
        <f xml:space="preserve"> TEXT(FilmaxData[[#This Row],[Show_Date]],"DDD")</f>
        <v>Sun</v>
      </c>
      <c r="F1388" t="s">
        <v>33</v>
      </c>
      <c r="G1388" t="s">
        <v>17</v>
      </c>
      <c r="H1388">
        <v>3</v>
      </c>
      <c r="I1388">
        <v>12</v>
      </c>
      <c r="J1388" t="s">
        <v>21</v>
      </c>
      <c r="K1388" t="s">
        <v>27</v>
      </c>
      <c r="L1388">
        <v>36</v>
      </c>
    </row>
    <row r="1389" spans="1:12" x14ac:dyDescent="0.3">
      <c r="A1389">
        <v>930</v>
      </c>
      <c r="B1389" t="s">
        <v>24</v>
      </c>
      <c r="C1389" s="1">
        <v>45904</v>
      </c>
      <c r="D1389" s="1" t="str">
        <f xml:space="preserve"> TEXT(FilmaxData[[#This Row],[Show_Date]],"MMM")</f>
        <v>Sep</v>
      </c>
      <c r="E1389" s="1" t="str">
        <f xml:space="preserve"> TEXT(FilmaxData[[#This Row],[Show_Date]],"DDD")</f>
        <v>Thu</v>
      </c>
      <c r="F1389" t="s">
        <v>16</v>
      </c>
      <c r="G1389" t="s">
        <v>17</v>
      </c>
      <c r="H1389">
        <v>1</v>
      </c>
      <c r="I1389">
        <v>12</v>
      </c>
      <c r="J1389" t="s">
        <v>23</v>
      </c>
      <c r="K1389" t="s">
        <v>18</v>
      </c>
      <c r="L1389">
        <v>12</v>
      </c>
    </row>
    <row r="1390" spans="1:12" x14ac:dyDescent="0.3">
      <c r="A1390">
        <v>353</v>
      </c>
      <c r="B1390" t="s">
        <v>24</v>
      </c>
      <c r="C1390" s="1">
        <v>45879</v>
      </c>
      <c r="D1390" s="1" t="str">
        <f xml:space="preserve"> TEXT(FilmaxData[[#This Row],[Show_Date]],"MMM")</f>
        <v>Aug</v>
      </c>
      <c r="E1390" s="1" t="str">
        <f xml:space="preserve"> TEXT(FilmaxData[[#This Row],[Show_Date]],"DDD")</f>
        <v>Sun</v>
      </c>
      <c r="F1390" t="s">
        <v>11</v>
      </c>
      <c r="G1390" t="s">
        <v>12</v>
      </c>
      <c r="H1390">
        <v>4</v>
      </c>
      <c r="I1390">
        <v>25</v>
      </c>
      <c r="J1390" t="s">
        <v>21</v>
      </c>
      <c r="K1390" t="s">
        <v>27</v>
      </c>
      <c r="L1390">
        <v>100</v>
      </c>
    </row>
    <row r="1391" spans="1:12" x14ac:dyDescent="0.3">
      <c r="A1391">
        <v>649</v>
      </c>
      <c r="B1391" t="s">
        <v>19</v>
      </c>
      <c r="C1391" s="1">
        <v>45875</v>
      </c>
      <c r="D1391" s="1" t="str">
        <f xml:space="preserve"> TEXT(FilmaxData[[#This Row],[Show_Date]],"MMM")</f>
        <v>Aug</v>
      </c>
      <c r="E1391" s="1" t="str">
        <f xml:space="preserve"> TEXT(FilmaxData[[#This Row],[Show_Date]],"DDD")</f>
        <v>Wed</v>
      </c>
      <c r="F1391" t="s">
        <v>11</v>
      </c>
      <c r="G1391" t="s">
        <v>17</v>
      </c>
      <c r="H1391">
        <v>1</v>
      </c>
      <c r="I1391">
        <v>12</v>
      </c>
      <c r="J1391" t="s">
        <v>23</v>
      </c>
      <c r="K1391" t="s">
        <v>25</v>
      </c>
      <c r="L1391">
        <v>12</v>
      </c>
    </row>
    <row r="1392" spans="1:12" x14ac:dyDescent="0.3">
      <c r="A1392">
        <v>785</v>
      </c>
      <c r="B1392" t="s">
        <v>26</v>
      </c>
      <c r="C1392" s="1">
        <v>45863</v>
      </c>
      <c r="D1392" s="1" t="str">
        <f xml:space="preserve"> TEXT(FilmaxData[[#This Row],[Show_Date]],"MMM")</f>
        <v>Jul</v>
      </c>
      <c r="E1392" s="1" t="str">
        <f xml:space="preserve"> TEXT(FilmaxData[[#This Row],[Show_Date]],"DDD")</f>
        <v>Fri</v>
      </c>
      <c r="F1392" t="s">
        <v>20</v>
      </c>
      <c r="G1392" t="s">
        <v>22</v>
      </c>
      <c r="H1392">
        <v>2</v>
      </c>
      <c r="I1392">
        <v>20</v>
      </c>
      <c r="J1392" t="s">
        <v>21</v>
      </c>
      <c r="K1392" t="s">
        <v>25</v>
      </c>
      <c r="L1392">
        <v>40</v>
      </c>
    </row>
    <row r="1393" spans="1:12" x14ac:dyDescent="0.3">
      <c r="A1393">
        <v>1900</v>
      </c>
      <c r="B1393" t="s">
        <v>26</v>
      </c>
      <c r="C1393" s="1">
        <v>45868</v>
      </c>
      <c r="D1393" s="1" t="str">
        <f xml:space="preserve"> TEXT(FilmaxData[[#This Row],[Show_Date]],"MMM")</f>
        <v>Jul</v>
      </c>
      <c r="E1393" s="1" t="str">
        <f xml:space="preserve"> TEXT(FilmaxData[[#This Row],[Show_Date]],"DDD")</f>
        <v>Wed</v>
      </c>
      <c r="F1393" t="s">
        <v>33</v>
      </c>
      <c r="G1393" t="s">
        <v>22</v>
      </c>
      <c r="H1393">
        <v>1</v>
      </c>
      <c r="I1393">
        <v>20</v>
      </c>
      <c r="J1393" t="s">
        <v>21</v>
      </c>
      <c r="K1393" t="s">
        <v>18</v>
      </c>
      <c r="L1393">
        <v>20</v>
      </c>
    </row>
    <row r="1394" spans="1:12" x14ac:dyDescent="0.3">
      <c r="A1394">
        <v>1618</v>
      </c>
      <c r="B1394" t="s">
        <v>24</v>
      </c>
      <c r="C1394" s="1">
        <v>45885</v>
      </c>
      <c r="D1394" s="1" t="str">
        <f xml:space="preserve"> TEXT(FilmaxData[[#This Row],[Show_Date]],"MMM")</f>
        <v>Aug</v>
      </c>
      <c r="E1394" s="1" t="str">
        <f xml:space="preserve"> TEXT(FilmaxData[[#This Row],[Show_Date]],"DDD")</f>
        <v>Sat</v>
      </c>
      <c r="F1394" t="s">
        <v>20</v>
      </c>
      <c r="G1394" t="s">
        <v>22</v>
      </c>
      <c r="H1394">
        <v>1</v>
      </c>
      <c r="I1394">
        <v>20</v>
      </c>
      <c r="J1394" t="s">
        <v>21</v>
      </c>
      <c r="K1394" t="s">
        <v>27</v>
      </c>
      <c r="L1394">
        <v>20</v>
      </c>
    </row>
    <row r="1395" spans="1:12" x14ac:dyDescent="0.3">
      <c r="A1395">
        <v>330</v>
      </c>
      <c r="B1395" t="s">
        <v>19</v>
      </c>
      <c r="C1395" s="1">
        <v>45920</v>
      </c>
      <c r="D1395" s="1" t="str">
        <f xml:space="preserve"> TEXT(FilmaxData[[#This Row],[Show_Date]],"MMM")</f>
        <v>Sep</v>
      </c>
      <c r="E1395" s="1" t="str">
        <f xml:space="preserve"> TEXT(FilmaxData[[#This Row],[Show_Date]],"DDD")</f>
        <v>Sat</v>
      </c>
      <c r="F1395" t="s">
        <v>20</v>
      </c>
      <c r="G1395" t="s">
        <v>17</v>
      </c>
      <c r="H1395">
        <v>5</v>
      </c>
      <c r="I1395">
        <v>12</v>
      </c>
      <c r="J1395" t="s">
        <v>23</v>
      </c>
      <c r="K1395" t="s">
        <v>14</v>
      </c>
      <c r="L1395">
        <v>60</v>
      </c>
    </row>
    <row r="1396" spans="1:12" x14ac:dyDescent="0.3">
      <c r="A1396">
        <v>688</v>
      </c>
      <c r="B1396" t="s">
        <v>15</v>
      </c>
      <c r="C1396" s="1">
        <v>45872</v>
      </c>
      <c r="D1396" s="1" t="str">
        <f xml:space="preserve"> TEXT(FilmaxData[[#This Row],[Show_Date]],"MMM")</f>
        <v>Aug</v>
      </c>
      <c r="E1396" s="1" t="str">
        <f xml:space="preserve"> TEXT(FilmaxData[[#This Row],[Show_Date]],"DDD")</f>
        <v>Sun</v>
      </c>
      <c r="F1396" t="s">
        <v>20</v>
      </c>
      <c r="G1396" t="s">
        <v>17</v>
      </c>
      <c r="H1396">
        <v>4</v>
      </c>
      <c r="I1396">
        <v>12</v>
      </c>
      <c r="J1396" t="s">
        <v>23</v>
      </c>
      <c r="K1396" t="s">
        <v>27</v>
      </c>
      <c r="L1396">
        <v>48</v>
      </c>
    </row>
    <row r="1397" spans="1:12" x14ac:dyDescent="0.3">
      <c r="A1397">
        <v>868</v>
      </c>
      <c r="B1397" t="s">
        <v>10</v>
      </c>
      <c r="C1397" s="1">
        <v>45871</v>
      </c>
      <c r="D1397" s="1" t="str">
        <f xml:space="preserve"> TEXT(FilmaxData[[#This Row],[Show_Date]],"MMM")</f>
        <v>Aug</v>
      </c>
      <c r="E1397" s="1" t="str">
        <f xml:space="preserve"> TEXT(FilmaxData[[#This Row],[Show_Date]],"DDD")</f>
        <v>Sat</v>
      </c>
      <c r="F1397" t="s">
        <v>20</v>
      </c>
      <c r="G1397" t="s">
        <v>30</v>
      </c>
      <c r="H1397">
        <v>3</v>
      </c>
      <c r="I1397">
        <v>8</v>
      </c>
      <c r="J1397" t="s">
        <v>13</v>
      </c>
      <c r="K1397" t="s">
        <v>25</v>
      </c>
      <c r="L1397">
        <v>24</v>
      </c>
    </row>
    <row r="1398" spans="1:12" x14ac:dyDescent="0.3">
      <c r="A1398">
        <v>841</v>
      </c>
      <c r="B1398" t="s">
        <v>28</v>
      </c>
      <c r="C1398" s="1">
        <v>45878</v>
      </c>
      <c r="D1398" s="1" t="str">
        <f xml:space="preserve"> TEXT(FilmaxData[[#This Row],[Show_Date]],"MMM")</f>
        <v>Aug</v>
      </c>
      <c r="E1398" s="1" t="str">
        <f xml:space="preserve"> TEXT(FilmaxData[[#This Row],[Show_Date]],"DDD")</f>
        <v>Sat</v>
      </c>
      <c r="F1398" t="s">
        <v>33</v>
      </c>
      <c r="G1398" t="s">
        <v>17</v>
      </c>
      <c r="H1398">
        <v>1</v>
      </c>
      <c r="I1398">
        <v>12</v>
      </c>
      <c r="J1398" t="s">
        <v>21</v>
      </c>
      <c r="K1398" t="s">
        <v>18</v>
      </c>
      <c r="L1398">
        <v>12</v>
      </c>
    </row>
    <row r="1399" spans="1:12" x14ac:dyDescent="0.3">
      <c r="A1399">
        <v>1529</v>
      </c>
      <c r="B1399" t="s">
        <v>10</v>
      </c>
      <c r="C1399" s="1">
        <v>45923</v>
      </c>
      <c r="D1399" s="1" t="str">
        <f xml:space="preserve"> TEXT(FilmaxData[[#This Row],[Show_Date]],"MMM")</f>
        <v>Sep</v>
      </c>
      <c r="E1399" s="1" t="str">
        <f xml:space="preserve"> TEXT(FilmaxData[[#This Row],[Show_Date]],"DDD")</f>
        <v>Tue</v>
      </c>
      <c r="F1399" t="s">
        <v>16</v>
      </c>
      <c r="G1399" t="s">
        <v>29</v>
      </c>
      <c r="H1399">
        <v>4</v>
      </c>
      <c r="I1399">
        <v>30</v>
      </c>
      <c r="J1399" t="s">
        <v>13</v>
      </c>
      <c r="K1399" t="s">
        <v>14</v>
      </c>
      <c r="L1399">
        <v>120</v>
      </c>
    </row>
    <row r="1400" spans="1:12" x14ac:dyDescent="0.3">
      <c r="A1400">
        <v>1785</v>
      </c>
      <c r="B1400" t="s">
        <v>32</v>
      </c>
      <c r="C1400" s="1">
        <v>45876</v>
      </c>
      <c r="D1400" s="1" t="str">
        <f xml:space="preserve"> TEXT(FilmaxData[[#This Row],[Show_Date]],"MMM")</f>
        <v>Aug</v>
      </c>
      <c r="E1400" s="1" t="str">
        <f xml:space="preserve"> TEXT(FilmaxData[[#This Row],[Show_Date]],"DDD")</f>
        <v>Thu</v>
      </c>
      <c r="F1400" t="s">
        <v>20</v>
      </c>
      <c r="G1400" t="s">
        <v>22</v>
      </c>
      <c r="H1400">
        <v>2</v>
      </c>
      <c r="I1400">
        <v>20</v>
      </c>
      <c r="J1400" t="s">
        <v>21</v>
      </c>
      <c r="K1400" t="s">
        <v>14</v>
      </c>
      <c r="L1400">
        <v>40</v>
      </c>
    </row>
    <row r="1401" spans="1:12" x14ac:dyDescent="0.3">
      <c r="A1401">
        <v>1053</v>
      </c>
      <c r="B1401" t="s">
        <v>32</v>
      </c>
      <c r="C1401" s="1">
        <v>45909</v>
      </c>
      <c r="D1401" s="1" t="str">
        <f xml:space="preserve"> TEXT(FilmaxData[[#This Row],[Show_Date]],"MMM")</f>
        <v>Sep</v>
      </c>
      <c r="E1401" s="1" t="str">
        <f xml:space="preserve"> TEXT(FilmaxData[[#This Row],[Show_Date]],"DDD")</f>
        <v>Tue</v>
      </c>
      <c r="F1401" t="s">
        <v>16</v>
      </c>
      <c r="G1401" t="s">
        <v>17</v>
      </c>
      <c r="H1401">
        <v>2</v>
      </c>
      <c r="I1401">
        <v>12</v>
      </c>
      <c r="J1401" t="s">
        <v>23</v>
      </c>
      <c r="K1401" t="s">
        <v>27</v>
      </c>
      <c r="L1401">
        <v>24</v>
      </c>
    </row>
    <row r="1402" spans="1:12" x14ac:dyDescent="0.3">
      <c r="A1402">
        <v>1358</v>
      </c>
      <c r="B1402" t="s">
        <v>32</v>
      </c>
      <c r="C1402" s="1">
        <v>45925</v>
      </c>
      <c r="D1402" s="1" t="str">
        <f xml:space="preserve"> TEXT(FilmaxData[[#This Row],[Show_Date]],"MMM")</f>
        <v>Sep</v>
      </c>
      <c r="E1402" s="1" t="str">
        <f xml:space="preserve"> TEXT(FilmaxData[[#This Row],[Show_Date]],"DDD")</f>
        <v>Thu</v>
      </c>
      <c r="F1402" t="s">
        <v>11</v>
      </c>
      <c r="G1402" t="s">
        <v>17</v>
      </c>
      <c r="H1402">
        <v>1</v>
      </c>
      <c r="I1402">
        <v>12</v>
      </c>
      <c r="J1402" t="s">
        <v>21</v>
      </c>
      <c r="K1402" t="s">
        <v>14</v>
      </c>
      <c r="L1402">
        <v>12</v>
      </c>
    </row>
    <row r="1403" spans="1:12" x14ac:dyDescent="0.3">
      <c r="A1403">
        <v>1206</v>
      </c>
      <c r="B1403" t="s">
        <v>10</v>
      </c>
      <c r="C1403" s="1">
        <v>45885</v>
      </c>
      <c r="D1403" s="1" t="str">
        <f xml:space="preserve"> TEXT(FilmaxData[[#This Row],[Show_Date]],"MMM")</f>
        <v>Aug</v>
      </c>
      <c r="E1403" s="1" t="str">
        <f xml:space="preserve"> TEXT(FilmaxData[[#This Row],[Show_Date]],"DDD")</f>
        <v>Sat</v>
      </c>
      <c r="F1403" t="s">
        <v>20</v>
      </c>
      <c r="G1403" t="s">
        <v>22</v>
      </c>
      <c r="H1403">
        <v>2</v>
      </c>
      <c r="I1403">
        <v>20</v>
      </c>
      <c r="J1403" t="s">
        <v>13</v>
      </c>
      <c r="K1403" t="s">
        <v>18</v>
      </c>
      <c r="L1403">
        <v>40</v>
      </c>
    </row>
    <row r="1404" spans="1:12" x14ac:dyDescent="0.3">
      <c r="A1404">
        <v>1351</v>
      </c>
      <c r="B1404" t="s">
        <v>31</v>
      </c>
      <c r="C1404" s="1">
        <v>45879</v>
      </c>
      <c r="D1404" s="1" t="str">
        <f xml:space="preserve"> TEXT(FilmaxData[[#This Row],[Show_Date]],"MMM")</f>
        <v>Aug</v>
      </c>
      <c r="E1404" s="1" t="str">
        <f xml:space="preserve"> TEXT(FilmaxData[[#This Row],[Show_Date]],"DDD")</f>
        <v>Sun</v>
      </c>
      <c r="F1404" t="s">
        <v>16</v>
      </c>
      <c r="G1404" t="s">
        <v>17</v>
      </c>
      <c r="H1404">
        <v>3</v>
      </c>
      <c r="I1404">
        <v>12</v>
      </c>
      <c r="J1404" t="s">
        <v>21</v>
      </c>
      <c r="K1404" t="s">
        <v>25</v>
      </c>
      <c r="L1404">
        <v>36</v>
      </c>
    </row>
    <row r="1405" spans="1:12" x14ac:dyDescent="0.3">
      <c r="A1405">
        <v>1257</v>
      </c>
      <c r="B1405" t="s">
        <v>10</v>
      </c>
      <c r="C1405" s="1">
        <v>45864</v>
      </c>
      <c r="D1405" s="1" t="str">
        <f xml:space="preserve"> TEXT(FilmaxData[[#This Row],[Show_Date]],"MMM")</f>
        <v>Jul</v>
      </c>
      <c r="E1405" s="1" t="str">
        <f xml:space="preserve"> TEXT(FilmaxData[[#This Row],[Show_Date]],"DDD")</f>
        <v>Sat</v>
      </c>
      <c r="F1405" t="s">
        <v>20</v>
      </c>
      <c r="G1405" t="s">
        <v>30</v>
      </c>
      <c r="H1405">
        <v>5</v>
      </c>
      <c r="I1405">
        <v>8</v>
      </c>
      <c r="J1405" t="s">
        <v>13</v>
      </c>
      <c r="K1405" t="s">
        <v>14</v>
      </c>
      <c r="L1405">
        <v>40</v>
      </c>
    </row>
    <row r="1406" spans="1:12" x14ac:dyDescent="0.3">
      <c r="A1406">
        <v>1328</v>
      </c>
      <c r="B1406" t="s">
        <v>15</v>
      </c>
      <c r="C1406" s="1">
        <v>45863</v>
      </c>
      <c r="D1406" s="1" t="str">
        <f xml:space="preserve"> TEXT(FilmaxData[[#This Row],[Show_Date]],"MMM")</f>
        <v>Jul</v>
      </c>
      <c r="E1406" s="1" t="str">
        <f xml:space="preserve"> TEXT(FilmaxData[[#This Row],[Show_Date]],"DDD")</f>
        <v>Fri</v>
      </c>
      <c r="F1406" t="s">
        <v>11</v>
      </c>
      <c r="G1406" t="s">
        <v>12</v>
      </c>
      <c r="H1406">
        <v>1</v>
      </c>
      <c r="I1406">
        <v>25</v>
      </c>
      <c r="J1406" t="s">
        <v>23</v>
      </c>
      <c r="K1406" t="s">
        <v>18</v>
      </c>
      <c r="L1406">
        <v>25</v>
      </c>
    </row>
    <row r="1407" spans="1:12" x14ac:dyDescent="0.3">
      <c r="A1407">
        <v>1381</v>
      </c>
      <c r="B1407" t="s">
        <v>10</v>
      </c>
      <c r="C1407" s="1">
        <v>45861</v>
      </c>
      <c r="D1407" s="1" t="str">
        <f xml:space="preserve"> TEXT(FilmaxData[[#This Row],[Show_Date]],"MMM")</f>
        <v>Jul</v>
      </c>
      <c r="E1407" s="1" t="str">
        <f xml:space="preserve"> TEXT(FilmaxData[[#This Row],[Show_Date]],"DDD")</f>
        <v>Wed</v>
      </c>
      <c r="F1407" t="s">
        <v>33</v>
      </c>
      <c r="G1407" t="s">
        <v>17</v>
      </c>
      <c r="H1407">
        <v>4</v>
      </c>
      <c r="I1407">
        <v>12</v>
      </c>
      <c r="J1407" t="s">
        <v>13</v>
      </c>
      <c r="K1407" t="s">
        <v>18</v>
      </c>
      <c r="L1407">
        <v>48</v>
      </c>
    </row>
    <row r="1408" spans="1:12" x14ac:dyDescent="0.3">
      <c r="A1408">
        <v>1965</v>
      </c>
      <c r="B1408" t="s">
        <v>15</v>
      </c>
      <c r="C1408" s="1">
        <v>45855</v>
      </c>
      <c r="D1408" s="1" t="str">
        <f xml:space="preserve"> TEXT(FilmaxData[[#This Row],[Show_Date]],"MMM")</f>
        <v>Jul</v>
      </c>
      <c r="E1408" s="1" t="str">
        <f xml:space="preserve"> TEXT(FilmaxData[[#This Row],[Show_Date]],"DDD")</f>
        <v>Thu</v>
      </c>
      <c r="F1408" t="s">
        <v>20</v>
      </c>
      <c r="G1408" t="s">
        <v>17</v>
      </c>
      <c r="H1408">
        <v>2</v>
      </c>
      <c r="I1408">
        <v>12</v>
      </c>
      <c r="J1408" t="s">
        <v>13</v>
      </c>
      <c r="K1408" t="s">
        <v>18</v>
      </c>
      <c r="L1408">
        <v>24</v>
      </c>
    </row>
    <row r="1409" spans="1:12" x14ac:dyDescent="0.3">
      <c r="A1409">
        <v>460</v>
      </c>
      <c r="B1409" t="s">
        <v>32</v>
      </c>
      <c r="C1409" s="1">
        <v>45923</v>
      </c>
      <c r="D1409" s="1" t="str">
        <f xml:space="preserve"> TEXT(FilmaxData[[#This Row],[Show_Date]],"MMM")</f>
        <v>Sep</v>
      </c>
      <c r="E1409" s="1" t="str">
        <f xml:space="preserve"> TEXT(FilmaxData[[#This Row],[Show_Date]],"DDD")</f>
        <v>Tue</v>
      </c>
      <c r="F1409" t="s">
        <v>20</v>
      </c>
      <c r="G1409" t="s">
        <v>17</v>
      </c>
      <c r="H1409">
        <v>5</v>
      </c>
      <c r="I1409">
        <v>12</v>
      </c>
      <c r="J1409" t="s">
        <v>21</v>
      </c>
      <c r="K1409" t="s">
        <v>18</v>
      </c>
      <c r="L1409">
        <v>60</v>
      </c>
    </row>
    <row r="1410" spans="1:12" x14ac:dyDescent="0.3">
      <c r="A1410">
        <v>1633</v>
      </c>
      <c r="B1410" t="s">
        <v>19</v>
      </c>
      <c r="C1410" s="1">
        <v>45853</v>
      </c>
      <c r="D1410" s="1" t="str">
        <f xml:space="preserve"> TEXT(FilmaxData[[#This Row],[Show_Date]],"MMM")</f>
        <v>Jul</v>
      </c>
      <c r="E1410" s="1" t="str">
        <f xml:space="preserve"> TEXT(FilmaxData[[#This Row],[Show_Date]],"DDD")</f>
        <v>Tue</v>
      </c>
      <c r="F1410" t="s">
        <v>11</v>
      </c>
      <c r="G1410" t="s">
        <v>17</v>
      </c>
      <c r="H1410">
        <v>3</v>
      </c>
      <c r="I1410">
        <v>12</v>
      </c>
      <c r="J1410" t="s">
        <v>21</v>
      </c>
      <c r="K1410" t="s">
        <v>14</v>
      </c>
      <c r="L1410">
        <v>36</v>
      </c>
    </row>
    <row r="1411" spans="1:12" x14ac:dyDescent="0.3">
      <c r="A1411">
        <v>586</v>
      </c>
      <c r="B1411" t="s">
        <v>28</v>
      </c>
      <c r="C1411" s="1">
        <v>45845</v>
      </c>
      <c r="D1411" s="1" t="str">
        <f xml:space="preserve"> TEXT(FilmaxData[[#This Row],[Show_Date]],"MMM")</f>
        <v>Jul</v>
      </c>
      <c r="E1411" s="1" t="str">
        <f xml:space="preserve"> TEXT(FilmaxData[[#This Row],[Show_Date]],"DDD")</f>
        <v>Mon</v>
      </c>
      <c r="F1411" t="s">
        <v>20</v>
      </c>
      <c r="G1411" t="s">
        <v>12</v>
      </c>
      <c r="H1411">
        <v>3</v>
      </c>
      <c r="I1411">
        <v>25</v>
      </c>
      <c r="J1411" t="s">
        <v>13</v>
      </c>
      <c r="K1411" t="s">
        <v>27</v>
      </c>
      <c r="L1411">
        <v>75</v>
      </c>
    </row>
    <row r="1412" spans="1:12" x14ac:dyDescent="0.3">
      <c r="A1412">
        <v>447</v>
      </c>
      <c r="B1412" t="s">
        <v>32</v>
      </c>
      <c r="C1412" s="1">
        <v>45907</v>
      </c>
      <c r="D1412" s="1" t="str">
        <f xml:space="preserve"> TEXT(FilmaxData[[#This Row],[Show_Date]],"MMM")</f>
        <v>Sep</v>
      </c>
      <c r="E1412" s="1" t="str">
        <f xml:space="preserve"> TEXT(FilmaxData[[#This Row],[Show_Date]],"DDD")</f>
        <v>Sun</v>
      </c>
      <c r="F1412" t="s">
        <v>33</v>
      </c>
      <c r="G1412" t="s">
        <v>17</v>
      </c>
      <c r="H1412">
        <v>4</v>
      </c>
      <c r="I1412">
        <v>12</v>
      </c>
      <c r="J1412" t="s">
        <v>23</v>
      </c>
      <c r="K1412" t="s">
        <v>18</v>
      </c>
      <c r="L1412">
        <v>48</v>
      </c>
    </row>
    <row r="1413" spans="1:12" x14ac:dyDescent="0.3">
      <c r="A1413">
        <v>211</v>
      </c>
      <c r="B1413" t="s">
        <v>28</v>
      </c>
      <c r="C1413" s="1">
        <v>45904</v>
      </c>
      <c r="D1413" s="1" t="str">
        <f xml:space="preserve"> TEXT(FilmaxData[[#This Row],[Show_Date]],"MMM")</f>
        <v>Sep</v>
      </c>
      <c r="E1413" s="1" t="str">
        <f xml:space="preserve"> TEXT(FilmaxData[[#This Row],[Show_Date]],"DDD")</f>
        <v>Thu</v>
      </c>
      <c r="F1413" t="s">
        <v>33</v>
      </c>
      <c r="G1413" t="s">
        <v>30</v>
      </c>
      <c r="H1413">
        <v>1</v>
      </c>
      <c r="I1413">
        <v>8</v>
      </c>
      <c r="J1413" t="s">
        <v>21</v>
      </c>
      <c r="K1413" t="s">
        <v>14</v>
      </c>
      <c r="L1413">
        <v>8</v>
      </c>
    </row>
    <row r="1414" spans="1:12" x14ac:dyDescent="0.3">
      <c r="A1414">
        <v>620</v>
      </c>
      <c r="B1414" t="s">
        <v>32</v>
      </c>
      <c r="C1414" s="1">
        <v>45872</v>
      </c>
      <c r="D1414" s="1" t="str">
        <f xml:space="preserve"> TEXT(FilmaxData[[#This Row],[Show_Date]],"MMM")</f>
        <v>Aug</v>
      </c>
      <c r="E1414" s="1" t="str">
        <f xml:space="preserve"> TEXT(FilmaxData[[#This Row],[Show_Date]],"DDD")</f>
        <v>Sun</v>
      </c>
      <c r="F1414" t="s">
        <v>11</v>
      </c>
      <c r="G1414" t="s">
        <v>17</v>
      </c>
      <c r="H1414">
        <v>5</v>
      </c>
      <c r="I1414">
        <v>12</v>
      </c>
      <c r="J1414" t="s">
        <v>23</v>
      </c>
      <c r="K1414" t="s">
        <v>27</v>
      </c>
      <c r="L1414">
        <v>60</v>
      </c>
    </row>
    <row r="1415" spans="1:12" x14ac:dyDescent="0.3">
      <c r="A1415">
        <v>176</v>
      </c>
      <c r="B1415" t="s">
        <v>10</v>
      </c>
      <c r="C1415" s="1">
        <v>45886</v>
      </c>
      <c r="D1415" s="1" t="str">
        <f xml:space="preserve"> TEXT(FilmaxData[[#This Row],[Show_Date]],"MMM")</f>
        <v>Aug</v>
      </c>
      <c r="E1415" s="1" t="str">
        <f xml:space="preserve"> TEXT(FilmaxData[[#This Row],[Show_Date]],"DDD")</f>
        <v>Sun</v>
      </c>
      <c r="F1415" t="s">
        <v>11</v>
      </c>
      <c r="G1415" t="s">
        <v>22</v>
      </c>
      <c r="H1415">
        <v>4</v>
      </c>
      <c r="I1415">
        <v>20</v>
      </c>
      <c r="J1415" t="s">
        <v>13</v>
      </c>
      <c r="K1415" t="s">
        <v>18</v>
      </c>
      <c r="L1415">
        <v>80</v>
      </c>
    </row>
    <row r="1416" spans="1:12" x14ac:dyDescent="0.3">
      <c r="A1416">
        <v>652</v>
      </c>
      <c r="B1416" t="s">
        <v>19</v>
      </c>
      <c r="C1416" s="1">
        <v>45905</v>
      </c>
      <c r="D1416" s="1" t="str">
        <f xml:space="preserve"> TEXT(FilmaxData[[#This Row],[Show_Date]],"MMM")</f>
        <v>Sep</v>
      </c>
      <c r="E1416" s="1" t="str">
        <f xml:space="preserve"> TEXT(FilmaxData[[#This Row],[Show_Date]],"DDD")</f>
        <v>Fri</v>
      </c>
      <c r="F1416" t="s">
        <v>33</v>
      </c>
      <c r="G1416" t="s">
        <v>17</v>
      </c>
      <c r="H1416">
        <v>5</v>
      </c>
      <c r="I1416">
        <v>12</v>
      </c>
      <c r="J1416" t="s">
        <v>13</v>
      </c>
      <c r="K1416" t="s">
        <v>14</v>
      </c>
      <c r="L1416">
        <v>60</v>
      </c>
    </row>
    <row r="1417" spans="1:12" x14ac:dyDescent="0.3">
      <c r="A1417">
        <v>159</v>
      </c>
      <c r="B1417" t="s">
        <v>24</v>
      </c>
      <c r="C1417" s="1">
        <v>45857</v>
      </c>
      <c r="D1417" s="1" t="str">
        <f xml:space="preserve"> TEXT(FilmaxData[[#This Row],[Show_Date]],"MMM")</f>
        <v>Jul</v>
      </c>
      <c r="E1417" s="1" t="str">
        <f xml:space="preserve"> TEXT(FilmaxData[[#This Row],[Show_Date]],"DDD")</f>
        <v>Sat</v>
      </c>
      <c r="F1417" t="s">
        <v>20</v>
      </c>
      <c r="G1417" t="s">
        <v>17</v>
      </c>
      <c r="H1417">
        <v>4</v>
      </c>
      <c r="I1417">
        <v>12</v>
      </c>
      <c r="J1417" t="s">
        <v>23</v>
      </c>
      <c r="K1417" t="s">
        <v>14</v>
      </c>
      <c r="L1417">
        <v>48</v>
      </c>
    </row>
    <row r="1418" spans="1:12" x14ac:dyDescent="0.3">
      <c r="A1418">
        <v>638</v>
      </c>
      <c r="B1418" t="s">
        <v>28</v>
      </c>
      <c r="C1418" s="1">
        <v>45921</v>
      </c>
      <c r="D1418" s="1" t="str">
        <f xml:space="preserve"> TEXT(FilmaxData[[#This Row],[Show_Date]],"MMM")</f>
        <v>Sep</v>
      </c>
      <c r="E1418" s="1" t="str">
        <f xml:space="preserve"> TEXT(FilmaxData[[#This Row],[Show_Date]],"DDD")</f>
        <v>Sun</v>
      </c>
      <c r="F1418" t="s">
        <v>20</v>
      </c>
      <c r="G1418" t="s">
        <v>30</v>
      </c>
      <c r="H1418">
        <v>1</v>
      </c>
      <c r="I1418">
        <v>8</v>
      </c>
      <c r="J1418" t="s">
        <v>23</v>
      </c>
      <c r="K1418" t="s">
        <v>18</v>
      </c>
      <c r="L1418">
        <v>8</v>
      </c>
    </row>
    <row r="1419" spans="1:12" x14ac:dyDescent="0.3">
      <c r="A1419">
        <v>568</v>
      </c>
      <c r="B1419" t="s">
        <v>19</v>
      </c>
      <c r="C1419" s="1">
        <v>45928</v>
      </c>
      <c r="D1419" s="1" t="str">
        <f xml:space="preserve"> TEXT(FilmaxData[[#This Row],[Show_Date]],"MMM")</f>
        <v>Sep</v>
      </c>
      <c r="E1419" s="1" t="str">
        <f xml:space="preserve"> TEXT(FilmaxData[[#This Row],[Show_Date]],"DDD")</f>
        <v>Sun</v>
      </c>
      <c r="F1419" t="s">
        <v>20</v>
      </c>
      <c r="G1419" t="s">
        <v>17</v>
      </c>
      <c r="H1419">
        <v>4</v>
      </c>
      <c r="I1419">
        <v>12</v>
      </c>
      <c r="J1419" t="s">
        <v>21</v>
      </c>
      <c r="K1419" t="s">
        <v>18</v>
      </c>
      <c r="L1419">
        <v>48</v>
      </c>
    </row>
    <row r="1420" spans="1:12" x14ac:dyDescent="0.3">
      <c r="A1420">
        <v>1625</v>
      </c>
      <c r="B1420" t="s">
        <v>10</v>
      </c>
      <c r="C1420" s="1">
        <v>45905</v>
      </c>
      <c r="D1420" s="1" t="str">
        <f xml:space="preserve"> TEXT(FilmaxData[[#This Row],[Show_Date]],"MMM")</f>
        <v>Sep</v>
      </c>
      <c r="E1420" s="1" t="str">
        <f xml:space="preserve"> TEXT(FilmaxData[[#This Row],[Show_Date]],"DDD")</f>
        <v>Fri</v>
      </c>
      <c r="F1420" t="s">
        <v>16</v>
      </c>
      <c r="G1420" t="s">
        <v>17</v>
      </c>
      <c r="H1420">
        <v>3</v>
      </c>
      <c r="I1420">
        <v>12</v>
      </c>
      <c r="J1420" t="s">
        <v>23</v>
      </c>
      <c r="K1420" t="s">
        <v>18</v>
      </c>
      <c r="L1420">
        <v>36</v>
      </c>
    </row>
    <row r="1421" spans="1:12" x14ac:dyDescent="0.3">
      <c r="A1421">
        <v>1152</v>
      </c>
      <c r="B1421" t="s">
        <v>15</v>
      </c>
      <c r="C1421" s="1">
        <v>45845</v>
      </c>
      <c r="D1421" s="1" t="str">
        <f xml:space="preserve"> TEXT(FilmaxData[[#This Row],[Show_Date]],"MMM")</f>
        <v>Jul</v>
      </c>
      <c r="E1421" s="1" t="str">
        <f xml:space="preserve"> TEXT(FilmaxData[[#This Row],[Show_Date]],"DDD")</f>
        <v>Mon</v>
      </c>
      <c r="F1421" t="s">
        <v>20</v>
      </c>
      <c r="G1421" t="s">
        <v>17</v>
      </c>
      <c r="H1421">
        <v>3</v>
      </c>
      <c r="I1421">
        <v>12</v>
      </c>
      <c r="J1421" t="s">
        <v>13</v>
      </c>
      <c r="K1421" t="s">
        <v>18</v>
      </c>
      <c r="L1421">
        <v>36</v>
      </c>
    </row>
    <row r="1422" spans="1:12" x14ac:dyDescent="0.3">
      <c r="A1422">
        <v>520</v>
      </c>
      <c r="B1422" t="s">
        <v>26</v>
      </c>
      <c r="C1422" s="1">
        <v>45904</v>
      </c>
      <c r="D1422" s="1" t="str">
        <f xml:space="preserve"> TEXT(FilmaxData[[#This Row],[Show_Date]],"MMM")</f>
        <v>Sep</v>
      </c>
      <c r="E1422" s="1" t="str">
        <f xml:space="preserve"> TEXT(FilmaxData[[#This Row],[Show_Date]],"DDD")</f>
        <v>Thu</v>
      </c>
      <c r="F1422" t="s">
        <v>33</v>
      </c>
      <c r="G1422" t="s">
        <v>30</v>
      </c>
      <c r="H1422">
        <v>3</v>
      </c>
      <c r="I1422">
        <v>8</v>
      </c>
      <c r="J1422" t="s">
        <v>13</v>
      </c>
      <c r="K1422" t="s">
        <v>25</v>
      </c>
      <c r="L1422">
        <v>24</v>
      </c>
    </row>
    <row r="1423" spans="1:12" x14ac:dyDescent="0.3">
      <c r="A1423">
        <v>1816</v>
      </c>
      <c r="B1423" t="s">
        <v>32</v>
      </c>
      <c r="C1423" s="1">
        <v>45924</v>
      </c>
      <c r="D1423" s="1" t="str">
        <f xml:space="preserve"> TEXT(FilmaxData[[#This Row],[Show_Date]],"MMM")</f>
        <v>Sep</v>
      </c>
      <c r="E1423" s="1" t="str">
        <f xml:space="preserve"> TEXT(FilmaxData[[#This Row],[Show_Date]],"DDD")</f>
        <v>Wed</v>
      </c>
      <c r="F1423" t="s">
        <v>16</v>
      </c>
      <c r="G1423" t="s">
        <v>12</v>
      </c>
      <c r="H1423">
        <v>2</v>
      </c>
      <c r="I1423">
        <v>25</v>
      </c>
      <c r="J1423" t="s">
        <v>21</v>
      </c>
      <c r="K1423" t="s">
        <v>14</v>
      </c>
      <c r="L1423">
        <v>50</v>
      </c>
    </row>
    <row r="1424" spans="1:12" x14ac:dyDescent="0.3">
      <c r="A1424">
        <v>1811</v>
      </c>
      <c r="B1424" t="s">
        <v>26</v>
      </c>
      <c r="C1424" s="1">
        <v>45839</v>
      </c>
      <c r="D1424" s="1" t="str">
        <f xml:space="preserve"> TEXT(FilmaxData[[#This Row],[Show_Date]],"MMM")</f>
        <v>Jul</v>
      </c>
      <c r="E1424" s="1" t="str">
        <f xml:space="preserve"> TEXT(FilmaxData[[#This Row],[Show_Date]],"DDD")</f>
        <v>Tue</v>
      </c>
      <c r="F1424" t="s">
        <v>20</v>
      </c>
      <c r="G1424" t="s">
        <v>30</v>
      </c>
      <c r="H1424">
        <v>5</v>
      </c>
      <c r="I1424">
        <v>8</v>
      </c>
      <c r="J1424" t="s">
        <v>13</v>
      </c>
      <c r="K1424" t="s">
        <v>25</v>
      </c>
      <c r="L1424">
        <v>40</v>
      </c>
    </row>
    <row r="1425" spans="1:12" x14ac:dyDescent="0.3">
      <c r="A1425">
        <v>1815</v>
      </c>
      <c r="B1425" t="s">
        <v>31</v>
      </c>
      <c r="C1425" s="1">
        <v>45876</v>
      </c>
      <c r="D1425" s="1" t="str">
        <f xml:space="preserve"> TEXT(FilmaxData[[#This Row],[Show_Date]],"MMM")</f>
        <v>Aug</v>
      </c>
      <c r="E1425" s="1" t="str">
        <f xml:space="preserve"> TEXT(FilmaxData[[#This Row],[Show_Date]],"DDD")</f>
        <v>Thu</v>
      </c>
      <c r="F1425" t="s">
        <v>33</v>
      </c>
      <c r="G1425" t="s">
        <v>17</v>
      </c>
      <c r="H1425">
        <v>5</v>
      </c>
      <c r="I1425">
        <v>12</v>
      </c>
      <c r="J1425" t="s">
        <v>23</v>
      </c>
      <c r="K1425" t="s">
        <v>18</v>
      </c>
      <c r="L1425">
        <v>60</v>
      </c>
    </row>
    <row r="1426" spans="1:12" x14ac:dyDescent="0.3">
      <c r="A1426">
        <v>960</v>
      </c>
      <c r="B1426" t="s">
        <v>28</v>
      </c>
      <c r="C1426" s="1">
        <v>45910</v>
      </c>
      <c r="D1426" s="1" t="str">
        <f xml:space="preserve"> TEXT(FilmaxData[[#This Row],[Show_Date]],"MMM")</f>
        <v>Sep</v>
      </c>
      <c r="E1426" s="1" t="str">
        <f xml:space="preserve"> TEXT(FilmaxData[[#This Row],[Show_Date]],"DDD")</f>
        <v>Wed</v>
      </c>
      <c r="F1426" t="s">
        <v>33</v>
      </c>
      <c r="G1426" t="s">
        <v>22</v>
      </c>
      <c r="H1426">
        <v>3</v>
      </c>
      <c r="I1426">
        <v>20</v>
      </c>
      <c r="J1426" t="s">
        <v>23</v>
      </c>
      <c r="K1426" t="s">
        <v>25</v>
      </c>
      <c r="L1426">
        <v>60</v>
      </c>
    </row>
    <row r="1427" spans="1:12" x14ac:dyDescent="0.3">
      <c r="A1427">
        <v>244</v>
      </c>
      <c r="B1427" t="s">
        <v>24</v>
      </c>
      <c r="C1427" s="1">
        <v>45895</v>
      </c>
      <c r="D1427" s="1" t="str">
        <f xml:space="preserve"> TEXT(FilmaxData[[#This Row],[Show_Date]],"MMM")</f>
        <v>Aug</v>
      </c>
      <c r="E1427" s="1" t="str">
        <f xml:space="preserve"> TEXT(FilmaxData[[#This Row],[Show_Date]],"DDD")</f>
        <v>Tue</v>
      </c>
      <c r="F1427" t="s">
        <v>20</v>
      </c>
      <c r="G1427" t="s">
        <v>29</v>
      </c>
      <c r="H1427">
        <v>3</v>
      </c>
      <c r="I1427">
        <v>30</v>
      </c>
      <c r="J1427" t="s">
        <v>21</v>
      </c>
      <c r="K1427" t="s">
        <v>18</v>
      </c>
      <c r="L1427">
        <v>90</v>
      </c>
    </row>
    <row r="1428" spans="1:12" x14ac:dyDescent="0.3">
      <c r="A1428">
        <v>890</v>
      </c>
      <c r="B1428" t="s">
        <v>24</v>
      </c>
      <c r="C1428" s="1">
        <v>45925</v>
      </c>
      <c r="D1428" s="1" t="str">
        <f xml:space="preserve"> TEXT(FilmaxData[[#This Row],[Show_Date]],"MMM")</f>
        <v>Sep</v>
      </c>
      <c r="E1428" s="1" t="str">
        <f xml:space="preserve"> TEXT(FilmaxData[[#This Row],[Show_Date]],"DDD")</f>
        <v>Thu</v>
      </c>
      <c r="F1428" t="s">
        <v>11</v>
      </c>
      <c r="G1428" t="s">
        <v>22</v>
      </c>
      <c r="H1428">
        <v>1</v>
      </c>
      <c r="I1428">
        <v>20</v>
      </c>
      <c r="J1428" t="s">
        <v>21</v>
      </c>
      <c r="K1428" t="s">
        <v>14</v>
      </c>
      <c r="L1428">
        <v>20</v>
      </c>
    </row>
    <row r="1429" spans="1:12" x14ac:dyDescent="0.3">
      <c r="A1429">
        <v>803</v>
      </c>
      <c r="B1429" t="s">
        <v>24</v>
      </c>
      <c r="C1429" s="1">
        <v>45901</v>
      </c>
      <c r="D1429" s="1" t="str">
        <f xml:space="preserve"> TEXT(FilmaxData[[#This Row],[Show_Date]],"MMM")</f>
        <v>Sep</v>
      </c>
      <c r="E1429" s="1" t="str">
        <f xml:space="preserve"> TEXT(FilmaxData[[#This Row],[Show_Date]],"DDD")</f>
        <v>Mon</v>
      </c>
      <c r="F1429" t="s">
        <v>16</v>
      </c>
      <c r="G1429" t="s">
        <v>29</v>
      </c>
      <c r="H1429">
        <v>5</v>
      </c>
      <c r="I1429">
        <v>30</v>
      </c>
      <c r="J1429" t="s">
        <v>13</v>
      </c>
      <c r="K1429" t="s">
        <v>25</v>
      </c>
      <c r="L1429">
        <v>150</v>
      </c>
    </row>
    <row r="1430" spans="1:12" x14ac:dyDescent="0.3">
      <c r="A1430">
        <v>485</v>
      </c>
      <c r="B1430" t="s">
        <v>15</v>
      </c>
      <c r="C1430" s="1">
        <v>45864</v>
      </c>
      <c r="D1430" s="1" t="str">
        <f xml:space="preserve"> TEXT(FilmaxData[[#This Row],[Show_Date]],"MMM")</f>
        <v>Jul</v>
      </c>
      <c r="E1430" s="1" t="str">
        <f xml:space="preserve"> TEXT(FilmaxData[[#This Row],[Show_Date]],"DDD")</f>
        <v>Sat</v>
      </c>
      <c r="F1430" t="s">
        <v>11</v>
      </c>
      <c r="G1430" t="s">
        <v>17</v>
      </c>
      <c r="H1430">
        <v>5</v>
      </c>
      <c r="I1430">
        <v>12</v>
      </c>
      <c r="J1430" t="s">
        <v>13</v>
      </c>
      <c r="K1430" t="s">
        <v>18</v>
      </c>
      <c r="L1430">
        <v>60</v>
      </c>
    </row>
    <row r="1431" spans="1:12" x14ac:dyDescent="0.3">
      <c r="A1431">
        <v>293</v>
      </c>
      <c r="B1431" t="s">
        <v>24</v>
      </c>
      <c r="C1431" s="1">
        <v>45894</v>
      </c>
      <c r="D1431" s="1" t="str">
        <f xml:space="preserve"> TEXT(FilmaxData[[#This Row],[Show_Date]],"MMM")</f>
        <v>Aug</v>
      </c>
      <c r="E1431" s="1" t="str">
        <f xml:space="preserve"> TEXT(FilmaxData[[#This Row],[Show_Date]],"DDD")</f>
        <v>Mon</v>
      </c>
      <c r="F1431" t="s">
        <v>11</v>
      </c>
      <c r="G1431" t="s">
        <v>17</v>
      </c>
      <c r="H1431">
        <v>2</v>
      </c>
      <c r="I1431">
        <v>12</v>
      </c>
      <c r="J1431" t="s">
        <v>21</v>
      </c>
      <c r="K1431" t="s">
        <v>14</v>
      </c>
      <c r="L1431">
        <v>24</v>
      </c>
    </row>
    <row r="1432" spans="1:12" x14ac:dyDescent="0.3">
      <c r="A1432">
        <v>1875</v>
      </c>
      <c r="B1432" t="s">
        <v>26</v>
      </c>
      <c r="C1432" s="1">
        <v>45894</v>
      </c>
      <c r="D1432" s="1" t="str">
        <f xml:space="preserve"> TEXT(FilmaxData[[#This Row],[Show_Date]],"MMM")</f>
        <v>Aug</v>
      </c>
      <c r="E1432" s="1" t="str">
        <f xml:space="preserve"> TEXT(FilmaxData[[#This Row],[Show_Date]],"DDD")</f>
        <v>Mon</v>
      </c>
      <c r="F1432" t="s">
        <v>16</v>
      </c>
      <c r="G1432" t="s">
        <v>17</v>
      </c>
      <c r="H1432">
        <v>1</v>
      </c>
      <c r="I1432">
        <v>12</v>
      </c>
      <c r="J1432" t="s">
        <v>21</v>
      </c>
      <c r="K1432" t="s">
        <v>25</v>
      </c>
      <c r="L1432">
        <v>12</v>
      </c>
    </row>
    <row r="1433" spans="1:12" x14ac:dyDescent="0.3">
      <c r="A1433">
        <v>1760</v>
      </c>
      <c r="B1433" t="s">
        <v>32</v>
      </c>
      <c r="C1433" s="1">
        <v>45906</v>
      </c>
      <c r="D1433" s="1" t="str">
        <f xml:space="preserve"> TEXT(FilmaxData[[#This Row],[Show_Date]],"MMM")</f>
        <v>Sep</v>
      </c>
      <c r="E1433" s="1" t="str">
        <f xml:space="preserve"> TEXT(FilmaxData[[#This Row],[Show_Date]],"DDD")</f>
        <v>Sat</v>
      </c>
      <c r="F1433" t="s">
        <v>11</v>
      </c>
      <c r="G1433" t="s">
        <v>22</v>
      </c>
      <c r="H1433">
        <v>3</v>
      </c>
      <c r="I1433">
        <v>20</v>
      </c>
      <c r="J1433" t="s">
        <v>21</v>
      </c>
      <c r="K1433" t="s">
        <v>18</v>
      </c>
      <c r="L1433">
        <v>60</v>
      </c>
    </row>
    <row r="1434" spans="1:12" x14ac:dyDescent="0.3">
      <c r="A1434">
        <v>399</v>
      </c>
      <c r="B1434" t="s">
        <v>19</v>
      </c>
      <c r="C1434" s="1">
        <v>45897</v>
      </c>
      <c r="D1434" s="1" t="str">
        <f xml:space="preserve"> TEXT(FilmaxData[[#This Row],[Show_Date]],"MMM")</f>
        <v>Aug</v>
      </c>
      <c r="E1434" s="1" t="str">
        <f xml:space="preserve"> TEXT(FilmaxData[[#This Row],[Show_Date]],"DDD")</f>
        <v>Thu</v>
      </c>
      <c r="F1434" t="s">
        <v>11</v>
      </c>
      <c r="G1434" t="s">
        <v>12</v>
      </c>
      <c r="H1434">
        <v>1</v>
      </c>
      <c r="I1434">
        <v>25</v>
      </c>
      <c r="J1434" t="s">
        <v>21</v>
      </c>
      <c r="K1434" t="s">
        <v>25</v>
      </c>
      <c r="L1434">
        <v>25</v>
      </c>
    </row>
    <row r="1435" spans="1:12" x14ac:dyDescent="0.3">
      <c r="A1435">
        <v>566</v>
      </c>
      <c r="B1435" t="s">
        <v>26</v>
      </c>
      <c r="C1435" s="1">
        <v>45928</v>
      </c>
      <c r="D1435" s="1" t="str">
        <f xml:space="preserve"> TEXT(FilmaxData[[#This Row],[Show_Date]],"MMM")</f>
        <v>Sep</v>
      </c>
      <c r="E1435" s="1" t="str">
        <f xml:space="preserve"> TEXT(FilmaxData[[#This Row],[Show_Date]],"DDD")</f>
        <v>Sun</v>
      </c>
      <c r="F1435" t="s">
        <v>16</v>
      </c>
      <c r="G1435" t="s">
        <v>17</v>
      </c>
      <c r="H1435">
        <v>4</v>
      </c>
      <c r="I1435">
        <v>12</v>
      </c>
      <c r="J1435" t="s">
        <v>21</v>
      </c>
      <c r="K1435" t="s">
        <v>14</v>
      </c>
      <c r="L1435">
        <v>48</v>
      </c>
    </row>
    <row r="1436" spans="1:12" x14ac:dyDescent="0.3">
      <c r="A1436">
        <v>1549</v>
      </c>
      <c r="B1436" t="s">
        <v>15</v>
      </c>
      <c r="C1436" s="1">
        <v>45865</v>
      </c>
      <c r="D1436" s="1" t="str">
        <f xml:space="preserve"> TEXT(FilmaxData[[#This Row],[Show_Date]],"MMM")</f>
        <v>Jul</v>
      </c>
      <c r="E1436" s="1" t="str">
        <f xml:space="preserve"> TEXT(FilmaxData[[#This Row],[Show_Date]],"DDD")</f>
        <v>Sun</v>
      </c>
      <c r="F1436" t="s">
        <v>33</v>
      </c>
      <c r="G1436" t="s">
        <v>17</v>
      </c>
      <c r="H1436">
        <v>3</v>
      </c>
      <c r="I1436">
        <v>12</v>
      </c>
      <c r="J1436" t="s">
        <v>23</v>
      </c>
      <c r="K1436" t="s">
        <v>27</v>
      </c>
      <c r="L1436">
        <v>36</v>
      </c>
    </row>
    <row r="1437" spans="1:12" x14ac:dyDescent="0.3">
      <c r="A1437">
        <v>909</v>
      </c>
      <c r="B1437" t="s">
        <v>28</v>
      </c>
      <c r="C1437" s="1">
        <v>45874</v>
      </c>
      <c r="D1437" s="1" t="str">
        <f xml:space="preserve"> TEXT(FilmaxData[[#This Row],[Show_Date]],"MMM")</f>
        <v>Aug</v>
      </c>
      <c r="E1437" s="1" t="str">
        <f xml:space="preserve"> TEXT(FilmaxData[[#This Row],[Show_Date]],"DDD")</f>
        <v>Tue</v>
      </c>
      <c r="F1437" t="s">
        <v>16</v>
      </c>
      <c r="G1437" t="s">
        <v>17</v>
      </c>
      <c r="H1437">
        <v>1</v>
      </c>
      <c r="I1437">
        <v>12</v>
      </c>
      <c r="J1437" t="s">
        <v>13</v>
      </c>
      <c r="K1437" t="s">
        <v>25</v>
      </c>
      <c r="L1437">
        <v>12</v>
      </c>
    </row>
    <row r="1438" spans="1:12" x14ac:dyDescent="0.3">
      <c r="A1438">
        <v>1346</v>
      </c>
      <c r="B1438" t="s">
        <v>32</v>
      </c>
      <c r="C1438" s="1">
        <v>45875</v>
      </c>
      <c r="D1438" s="1" t="str">
        <f xml:space="preserve"> TEXT(FilmaxData[[#This Row],[Show_Date]],"MMM")</f>
        <v>Aug</v>
      </c>
      <c r="E1438" s="1" t="str">
        <f xml:space="preserve"> TEXT(FilmaxData[[#This Row],[Show_Date]],"DDD")</f>
        <v>Wed</v>
      </c>
      <c r="F1438" t="s">
        <v>20</v>
      </c>
      <c r="G1438" t="s">
        <v>30</v>
      </c>
      <c r="H1438">
        <v>4</v>
      </c>
      <c r="I1438">
        <v>8</v>
      </c>
      <c r="J1438" t="s">
        <v>21</v>
      </c>
      <c r="K1438" t="s">
        <v>27</v>
      </c>
      <c r="L1438">
        <v>32</v>
      </c>
    </row>
    <row r="1439" spans="1:12" x14ac:dyDescent="0.3">
      <c r="A1439">
        <v>1208</v>
      </c>
      <c r="B1439" t="s">
        <v>10</v>
      </c>
      <c r="C1439" s="1">
        <v>45914</v>
      </c>
      <c r="D1439" s="1" t="str">
        <f xml:space="preserve"> TEXT(FilmaxData[[#This Row],[Show_Date]],"MMM")</f>
        <v>Sep</v>
      </c>
      <c r="E1439" s="1" t="str">
        <f xml:space="preserve"> TEXT(FilmaxData[[#This Row],[Show_Date]],"DDD")</f>
        <v>Sun</v>
      </c>
      <c r="F1439" t="s">
        <v>11</v>
      </c>
      <c r="G1439" t="s">
        <v>30</v>
      </c>
      <c r="H1439">
        <v>1</v>
      </c>
      <c r="I1439">
        <v>8</v>
      </c>
      <c r="J1439" t="s">
        <v>13</v>
      </c>
      <c r="K1439" t="s">
        <v>14</v>
      </c>
      <c r="L1439">
        <v>8</v>
      </c>
    </row>
    <row r="1440" spans="1:12" x14ac:dyDescent="0.3">
      <c r="A1440">
        <v>593</v>
      </c>
      <c r="B1440" t="s">
        <v>15</v>
      </c>
      <c r="C1440" s="1">
        <v>45913</v>
      </c>
      <c r="D1440" s="1" t="str">
        <f xml:space="preserve"> TEXT(FilmaxData[[#This Row],[Show_Date]],"MMM")</f>
        <v>Sep</v>
      </c>
      <c r="E1440" s="1" t="str">
        <f xml:space="preserve"> TEXT(FilmaxData[[#This Row],[Show_Date]],"DDD")</f>
        <v>Sat</v>
      </c>
      <c r="F1440" t="s">
        <v>11</v>
      </c>
      <c r="G1440" t="s">
        <v>12</v>
      </c>
      <c r="H1440">
        <v>1</v>
      </c>
      <c r="I1440">
        <v>25</v>
      </c>
      <c r="J1440" t="s">
        <v>23</v>
      </c>
      <c r="K1440" t="s">
        <v>25</v>
      </c>
      <c r="L1440">
        <v>25</v>
      </c>
    </row>
    <row r="1441" spans="1:12" x14ac:dyDescent="0.3">
      <c r="A1441">
        <v>1251</v>
      </c>
      <c r="B1441" t="s">
        <v>28</v>
      </c>
      <c r="C1441" s="1">
        <v>45842</v>
      </c>
      <c r="D1441" s="1" t="str">
        <f xml:space="preserve"> TEXT(FilmaxData[[#This Row],[Show_Date]],"MMM")</f>
        <v>Jul</v>
      </c>
      <c r="E1441" s="1" t="str">
        <f xml:space="preserve"> TEXT(FilmaxData[[#This Row],[Show_Date]],"DDD")</f>
        <v>Fri</v>
      </c>
      <c r="F1441" t="s">
        <v>11</v>
      </c>
      <c r="G1441" t="s">
        <v>12</v>
      </c>
      <c r="H1441">
        <v>5</v>
      </c>
      <c r="I1441">
        <v>25</v>
      </c>
      <c r="J1441" t="s">
        <v>23</v>
      </c>
      <c r="K1441" t="s">
        <v>14</v>
      </c>
      <c r="L1441">
        <v>125</v>
      </c>
    </row>
    <row r="1442" spans="1:12" x14ac:dyDescent="0.3">
      <c r="A1442">
        <v>786</v>
      </c>
      <c r="B1442" t="s">
        <v>24</v>
      </c>
      <c r="C1442" s="1">
        <v>45924</v>
      </c>
      <c r="D1442" s="1" t="str">
        <f xml:space="preserve"> TEXT(FilmaxData[[#This Row],[Show_Date]],"MMM")</f>
        <v>Sep</v>
      </c>
      <c r="E1442" s="1" t="str">
        <f xml:space="preserve"> TEXT(FilmaxData[[#This Row],[Show_Date]],"DDD")</f>
        <v>Wed</v>
      </c>
      <c r="F1442" t="s">
        <v>16</v>
      </c>
      <c r="G1442" t="s">
        <v>17</v>
      </c>
      <c r="H1442">
        <v>2</v>
      </c>
      <c r="I1442">
        <v>12</v>
      </c>
      <c r="J1442" t="s">
        <v>13</v>
      </c>
      <c r="K1442" t="s">
        <v>14</v>
      </c>
      <c r="L1442">
        <v>24</v>
      </c>
    </row>
    <row r="1443" spans="1:12" x14ac:dyDescent="0.3">
      <c r="A1443">
        <v>1110</v>
      </c>
      <c r="B1443" t="s">
        <v>32</v>
      </c>
      <c r="C1443" s="1">
        <v>45862</v>
      </c>
      <c r="D1443" s="1" t="str">
        <f xml:space="preserve"> TEXT(FilmaxData[[#This Row],[Show_Date]],"MMM")</f>
        <v>Jul</v>
      </c>
      <c r="E1443" s="1" t="str">
        <f xml:space="preserve"> TEXT(FilmaxData[[#This Row],[Show_Date]],"DDD")</f>
        <v>Thu</v>
      </c>
      <c r="F1443" t="s">
        <v>20</v>
      </c>
      <c r="G1443" t="s">
        <v>12</v>
      </c>
      <c r="H1443">
        <v>1</v>
      </c>
      <c r="I1443">
        <v>25</v>
      </c>
      <c r="J1443" t="s">
        <v>23</v>
      </c>
      <c r="K1443" t="s">
        <v>14</v>
      </c>
      <c r="L1443">
        <v>25</v>
      </c>
    </row>
    <row r="1444" spans="1:12" x14ac:dyDescent="0.3">
      <c r="A1444">
        <v>388</v>
      </c>
      <c r="B1444" t="s">
        <v>28</v>
      </c>
      <c r="C1444" s="1">
        <v>45846</v>
      </c>
      <c r="D1444" s="1" t="str">
        <f xml:space="preserve"> TEXT(FilmaxData[[#This Row],[Show_Date]],"MMM")</f>
        <v>Jul</v>
      </c>
      <c r="E1444" s="1" t="str">
        <f xml:space="preserve"> TEXT(FilmaxData[[#This Row],[Show_Date]],"DDD")</f>
        <v>Tue</v>
      </c>
      <c r="F1444" t="s">
        <v>16</v>
      </c>
      <c r="G1444" t="s">
        <v>12</v>
      </c>
      <c r="H1444">
        <v>1</v>
      </c>
      <c r="I1444">
        <v>25</v>
      </c>
      <c r="J1444" t="s">
        <v>23</v>
      </c>
      <c r="K1444" t="s">
        <v>14</v>
      </c>
      <c r="L1444">
        <v>25</v>
      </c>
    </row>
    <row r="1445" spans="1:12" x14ac:dyDescent="0.3">
      <c r="A1445">
        <v>1093</v>
      </c>
      <c r="B1445" t="s">
        <v>19</v>
      </c>
      <c r="C1445" s="1">
        <v>45886</v>
      </c>
      <c r="D1445" s="1" t="str">
        <f xml:space="preserve"> TEXT(FilmaxData[[#This Row],[Show_Date]],"MMM")</f>
        <v>Aug</v>
      </c>
      <c r="E1445" s="1" t="str">
        <f xml:space="preserve"> TEXT(FilmaxData[[#This Row],[Show_Date]],"DDD")</f>
        <v>Sun</v>
      </c>
      <c r="F1445" t="s">
        <v>11</v>
      </c>
      <c r="G1445" t="s">
        <v>17</v>
      </c>
      <c r="H1445">
        <v>2</v>
      </c>
      <c r="I1445">
        <v>12</v>
      </c>
      <c r="J1445" t="s">
        <v>21</v>
      </c>
      <c r="K1445" t="s">
        <v>18</v>
      </c>
      <c r="L1445">
        <v>24</v>
      </c>
    </row>
    <row r="1446" spans="1:12" x14ac:dyDescent="0.3">
      <c r="A1446">
        <v>1022</v>
      </c>
      <c r="B1446" t="s">
        <v>24</v>
      </c>
      <c r="C1446" s="1">
        <v>45864</v>
      </c>
      <c r="D1446" s="1" t="str">
        <f xml:space="preserve"> TEXT(FilmaxData[[#This Row],[Show_Date]],"MMM")</f>
        <v>Jul</v>
      </c>
      <c r="E1446" s="1" t="str">
        <f xml:space="preserve"> TEXT(FilmaxData[[#This Row],[Show_Date]],"DDD")</f>
        <v>Sat</v>
      </c>
      <c r="F1446" t="s">
        <v>20</v>
      </c>
      <c r="G1446" t="s">
        <v>17</v>
      </c>
      <c r="H1446">
        <v>5</v>
      </c>
      <c r="I1446">
        <v>12</v>
      </c>
      <c r="J1446" t="s">
        <v>13</v>
      </c>
      <c r="K1446" t="s">
        <v>27</v>
      </c>
      <c r="L1446">
        <v>60</v>
      </c>
    </row>
    <row r="1447" spans="1:12" x14ac:dyDescent="0.3">
      <c r="A1447">
        <v>1583</v>
      </c>
      <c r="B1447" t="s">
        <v>15</v>
      </c>
      <c r="C1447" s="1">
        <v>45922</v>
      </c>
      <c r="D1447" s="1" t="str">
        <f xml:space="preserve"> TEXT(FilmaxData[[#This Row],[Show_Date]],"MMM")</f>
        <v>Sep</v>
      </c>
      <c r="E1447" s="1" t="str">
        <f xml:space="preserve"> TEXT(FilmaxData[[#This Row],[Show_Date]],"DDD")</f>
        <v>Mon</v>
      </c>
      <c r="F1447" t="s">
        <v>16</v>
      </c>
      <c r="G1447" t="s">
        <v>17</v>
      </c>
      <c r="H1447">
        <v>5</v>
      </c>
      <c r="I1447">
        <v>12</v>
      </c>
      <c r="J1447" t="s">
        <v>21</v>
      </c>
      <c r="K1447" t="s">
        <v>14</v>
      </c>
      <c r="L1447">
        <v>60</v>
      </c>
    </row>
    <row r="1448" spans="1:12" x14ac:dyDescent="0.3">
      <c r="A1448">
        <v>1333</v>
      </c>
      <c r="B1448" t="s">
        <v>28</v>
      </c>
      <c r="C1448" s="1">
        <v>45850</v>
      </c>
      <c r="D1448" s="1" t="str">
        <f xml:space="preserve"> TEXT(FilmaxData[[#This Row],[Show_Date]],"MMM")</f>
        <v>Jul</v>
      </c>
      <c r="E1448" s="1" t="str">
        <f xml:space="preserve"> TEXT(FilmaxData[[#This Row],[Show_Date]],"DDD")</f>
        <v>Sat</v>
      </c>
      <c r="F1448" t="s">
        <v>20</v>
      </c>
      <c r="G1448" t="s">
        <v>17</v>
      </c>
      <c r="H1448">
        <v>2</v>
      </c>
      <c r="I1448">
        <v>12</v>
      </c>
      <c r="J1448" t="s">
        <v>21</v>
      </c>
      <c r="K1448" t="s">
        <v>27</v>
      </c>
      <c r="L1448">
        <v>24</v>
      </c>
    </row>
    <row r="1449" spans="1:12" x14ac:dyDescent="0.3">
      <c r="A1449">
        <v>800</v>
      </c>
      <c r="B1449" t="s">
        <v>32</v>
      </c>
      <c r="C1449" s="1">
        <v>45841</v>
      </c>
      <c r="D1449" s="1" t="str">
        <f xml:space="preserve"> TEXT(FilmaxData[[#This Row],[Show_Date]],"MMM")</f>
        <v>Jul</v>
      </c>
      <c r="E1449" s="1" t="str">
        <f xml:space="preserve"> TEXT(FilmaxData[[#This Row],[Show_Date]],"DDD")</f>
        <v>Thu</v>
      </c>
      <c r="F1449" t="s">
        <v>33</v>
      </c>
      <c r="G1449" t="s">
        <v>17</v>
      </c>
      <c r="H1449">
        <v>5</v>
      </c>
      <c r="I1449">
        <v>12</v>
      </c>
      <c r="J1449" t="s">
        <v>21</v>
      </c>
      <c r="K1449" t="s">
        <v>27</v>
      </c>
      <c r="L1449">
        <v>60</v>
      </c>
    </row>
    <row r="1450" spans="1:12" x14ac:dyDescent="0.3">
      <c r="A1450">
        <v>864</v>
      </c>
      <c r="B1450" t="s">
        <v>26</v>
      </c>
      <c r="C1450" s="1">
        <v>45901</v>
      </c>
      <c r="D1450" s="1" t="str">
        <f xml:space="preserve"> TEXT(FilmaxData[[#This Row],[Show_Date]],"MMM")</f>
        <v>Sep</v>
      </c>
      <c r="E1450" s="1" t="str">
        <f xml:space="preserve"> TEXT(FilmaxData[[#This Row],[Show_Date]],"DDD")</f>
        <v>Mon</v>
      </c>
      <c r="F1450" t="s">
        <v>11</v>
      </c>
      <c r="G1450" t="s">
        <v>12</v>
      </c>
      <c r="H1450">
        <v>2</v>
      </c>
      <c r="I1450">
        <v>25</v>
      </c>
      <c r="J1450" t="s">
        <v>13</v>
      </c>
      <c r="K1450" t="s">
        <v>25</v>
      </c>
      <c r="L1450">
        <v>50</v>
      </c>
    </row>
    <row r="1451" spans="1:12" x14ac:dyDescent="0.3">
      <c r="A1451">
        <v>766</v>
      </c>
      <c r="B1451" t="s">
        <v>32</v>
      </c>
      <c r="C1451" s="1">
        <v>45907</v>
      </c>
      <c r="D1451" s="1" t="str">
        <f xml:space="preserve"> TEXT(FilmaxData[[#This Row],[Show_Date]],"MMM")</f>
        <v>Sep</v>
      </c>
      <c r="E1451" s="1" t="str">
        <f xml:space="preserve"> TEXT(FilmaxData[[#This Row],[Show_Date]],"DDD")</f>
        <v>Sun</v>
      </c>
      <c r="F1451" t="s">
        <v>16</v>
      </c>
      <c r="G1451" t="s">
        <v>29</v>
      </c>
      <c r="H1451">
        <v>1</v>
      </c>
      <c r="I1451">
        <v>30</v>
      </c>
      <c r="J1451" t="s">
        <v>23</v>
      </c>
      <c r="K1451" t="s">
        <v>25</v>
      </c>
      <c r="L1451">
        <v>30</v>
      </c>
    </row>
    <row r="1452" spans="1:12" x14ac:dyDescent="0.3">
      <c r="A1452">
        <v>256</v>
      </c>
      <c r="B1452" t="s">
        <v>32</v>
      </c>
      <c r="C1452" s="1">
        <v>45859</v>
      </c>
      <c r="D1452" s="1" t="str">
        <f xml:space="preserve"> TEXT(FilmaxData[[#This Row],[Show_Date]],"MMM")</f>
        <v>Jul</v>
      </c>
      <c r="E1452" s="1" t="str">
        <f xml:space="preserve"> TEXT(FilmaxData[[#This Row],[Show_Date]],"DDD")</f>
        <v>Mon</v>
      </c>
      <c r="F1452" t="s">
        <v>16</v>
      </c>
      <c r="G1452" t="s">
        <v>12</v>
      </c>
      <c r="H1452">
        <v>5</v>
      </c>
      <c r="I1452">
        <v>25</v>
      </c>
      <c r="J1452" t="s">
        <v>23</v>
      </c>
      <c r="K1452" t="s">
        <v>14</v>
      </c>
      <c r="L1452">
        <v>125</v>
      </c>
    </row>
    <row r="1453" spans="1:12" x14ac:dyDescent="0.3">
      <c r="A1453">
        <v>605</v>
      </c>
      <c r="B1453" t="s">
        <v>28</v>
      </c>
      <c r="C1453" s="1">
        <v>45857</v>
      </c>
      <c r="D1453" s="1" t="str">
        <f xml:space="preserve"> TEXT(FilmaxData[[#This Row],[Show_Date]],"MMM")</f>
        <v>Jul</v>
      </c>
      <c r="E1453" s="1" t="str">
        <f xml:space="preserve"> TEXT(FilmaxData[[#This Row],[Show_Date]],"DDD")</f>
        <v>Sat</v>
      </c>
      <c r="F1453" t="s">
        <v>11</v>
      </c>
      <c r="G1453" t="s">
        <v>17</v>
      </c>
      <c r="H1453">
        <v>3</v>
      </c>
      <c r="I1453">
        <v>12</v>
      </c>
      <c r="J1453" t="s">
        <v>21</v>
      </c>
      <c r="K1453" t="s">
        <v>25</v>
      </c>
      <c r="L1453">
        <v>36</v>
      </c>
    </row>
    <row r="1454" spans="1:12" x14ac:dyDescent="0.3">
      <c r="A1454">
        <v>765</v>
      </c>
      <c r="B1454" t="s">
        <v>15</v>
      </c>
      <c r="C1454" s="1">
        <v>45898</v>
      </c>
      <c r="D1454" s="1" t="str">
        <f xml:space="preserve"> TEXT(FilmaxData[[#This Row],[Show_Date]],"MMM")</f>
        <v>Aug</v>
      </c>
      <c r="E1454" s="1" t="str">
        <f xml:space="preserve"> TEXT(FilmaxData[[#This Row],[Show_Date]],"DDD")</f>
        <v>Fri</v>
      </c>
      <c r="F1454" t="s">
        <v>33</v>
      </c>
      <c r="G1454" t="s">
        <v>17</v>
      </c>
      <c r="H1454">
        <v>4</v>
      </c>
      <c r="I1454">
        <v>12</v>
      </c>
      <c r="J1454" t="s">
        <v>23</v>
      </c>
      <c r="K1454" t="s">
        <v>14</v>
      </c>
      <c r="L1454">
        <v>48</v>
      </c>
    </row>
    <row r="1455" spans="1:12" x14ac:dyDescent="0.3">
      <c r="A1455">
        <v>121</v>
      </c>
      <c r="B1455" t="s">
        <v>19</v>
      </c>
      <c r="C1455" s="1">
        <v>45857</v>
      </c>
      <c r="D1455" s="1" t="str">
        <f xml:space="preserve"> TEXT(FilmaxData[[#This Row],[Show_Date]],"MMM")</f>
        <v>Jul</v>
      </c>
      <c r="E1455" s="1" t="str">
        <f xml:space="preserve"> TEXT(FilmaxData[[#This Row],[Show_Date]],"DDD")</f>
        <v>Sat</v>
      </c>
      <c r="F1455" t="s">
        <v>16</v>
      </c>
      <c r="G1455" t="s">
        <v>22</v>
      </c>
      <c r="H1455">
        <v>2</v>
      </c>
      <c r="I1455">
        <v>20</v>
      </c>
      <c r="J1455" t="s">
        <v>21</v>
      </c>
      <c r="K1455" t="s">
        <v>25</v>
      </c>
      <c r="L1455">
        <v>40</v>
      </c>
    </row>
    <row r="1456" spans="1:12" x14ac:dyDescent="0.3">
      <c r="A1456">
        <v>583</v>
      </c>
      <c r="B1456" t="s">
        <v>31</v>
      </c>
      <c r="C1456" s="1">
        <v>45921</v>
      </c>
      <c r="D1456" s="1" t="str">
        <f xml:space="preserve"> TEXT(FilmaxData[[#This Row],[Show_Date]],"MMM")</f>
        <v>Sep</v>
      </c>
      <c r="E1456" s="1" t="str">
        <f xml:space="preserve"> TEXT(FilmaxData[[#This Row],[Show_Date]],"DDD")</f>
        <v>Sun</v>
      </c>
      <c r="F1456" t="s">
        <v>20</v>
      </c>
      <c r="G1456" t="s">
        <v>12</v>
      </c>
      <c r="H1456">
        <v>5</v>
      </c>
      <c r="I1456">
        <v>25</v>
      </c>
      <c r="J1456" t="s">
        <v>13</v>
      </c>
      <c r="K1456" t="s">
        <v>14</v>
      </c>
      <c r="L1456">
        <v>125</v>
      </c>
    </row>
    <row r="1457" spans="1:12" x14ac:dyDescent="0.3">
      <c r="A1457">
        <v>149</v>
      </c>
      <c r="B1457" t="s">
        <v>24</v>
      </c>
      <c r="C1457" s="1">
        <v>45871</v>
      </c>
      <c r="D1457" s="1" t="str">
        <f xml:space="preserve"> TEXT(FilmaxData[[#This Row],[Show_Date]],"MMM")</f>
        <v>Aug</v>
      </c>
      <c r="E1457" s="1" t="str">
        <f xml:space="preserve"> TEXT(FilmaxData[[#This Row],[Show_Date]],"DDD")</f>
        <v>Sat</v>
      </c>
      <c r="F1457" t="s">
        <v>20</v>
      </c>
      <c r="G1457" t="s">
        <v>17</v>
      </c>
      <c r="H1457">
        <v>5</v>
      </c>
      <c r="I1457">
        <v>12</v>
      </c>
      <c r="J1457" t="s">
        <v>13</v>
      </c>
      <c r="K1457" t="s">
        <v>25</v>
      </c>
      <c r="L1457">
        <v>60</v>
      </c>
    </row>
    <row r="1458" spans="1:12" x14ac:dyDescent="0.3">
      <c r="A1458">
        <v>1758</v>
      </c>
      <c r="B1458" t="s">
        <v>24</v>
      </c>
      <c r="C1458" s="1">
        <v>45876</v>
      </c>
      <c r="D1458" s="1" t="str">
        <f xml:space="preserve"> TEXT(FilmaxData[[#This Row],[Show_Date]],"MMM")</f>
        <v>Aug</v>
      </c>
      <c r="E1458" s="1" t="str">
        <f xml:space="preserve"> TEXT(FilmaxData[[#This Row],[Show_Date]],"DDD")</f>
        <v>Thu</v>
      </c>
      <c r="F1458" t="s">
        <v>20</v>
      </c>
      <c r="G1458" t="s">
        <v>17</v>
      </c>
      <c r="H1458">
        <v>1</v>
      </c>
      <c r="I1458">
        <v>12</v>
      </c>
      <c r="J1458" t="s">
        <v>23</v>
      </c>
      <c r="K1458" t="s">
        <v>27</v>
      </c>
      <c r="L1458">
        <v>12</v>
      </c>
    </row>
    <row r="1459" spans="1:12" x14ac:dyDescent="0.3">
      <c r="A1459">
        <v>719</v>
      </c>
      <c r="B1459" t="s">
        <v>19</v>
      </c>
      <c r="C1459" s="1">
        <v>45846</v>
      </c>
      <c r="D1459" s="1" t="str">
        <f xml:space="preserve"> TEXT(FilmaxData[[#This Row],[Show_Date]],"MMM")</f>
        <v>Jul</v>
      </c>
      <c r="E1459" s="1" t="str">
        <f xml:space="preserve"> TEXT(FilmaxData[[#This Row],[Show_Date]],"DDD")</f>
        <v>Tue</v>
      </c>
      <c r="F1459" t="s">
        <v>11</v>
      </c>
      <c r="G1459" t="s">
        <v>22</v>
      </c>
      <c r="H1459">
        <v>5</v>
      </c>
      <c r="I1459">
        <v>20</v>
      </c>
      <c r="J1459" t="s">
        <v>21</v>
      </c>
      <c r="K1459" t="s">
        <v>25</v>
      </c>
      <c r="L1459">
        <v>100</v>
      </c>
    </row>
    <row r="1460" spans="1:12" x14ac:dyDescent="0.3">
      <c r="A1460">
        <v>1604</v>
      </c>
      <c r="B1460" t="s">
        <v>24</v>
      </c>
      <c r="C1460" s="1">
        <v>45899</v>
      </c>
      <c r="D1460" s="1" t="str">
        <f xml:space="preserve"> TEXT(FilmaxData[[#This Row],[Show_Date]],"MMM")</f>
        <v>Aug</v>
      </c>
      <c r="E1460" s="1" t="str">
        <f xml:space="preserve"> TEXT(FilmaxData[[#This Row],[Show_Date]],"DDD")</f>
        <v>Sat</v>
      </c>
      <c r="F1460" t="s">
        <v>16</v>
      </c>
      <c r="G1460" t="s">
        <v>17</v>
      </c>
      <c r="H1460">
        <v>5</v>
      </c>
      <c r="I1460">
        <v>12</v>
      </c>
      <c r="J1460" t="s">
        <v>13</v>
      </c>
      <c r="K1460" t="s">
        <v>27</v>
      </c>
      <c r="L1460">
        <v>60</v>
      </c>
    </row>
    <row r="1461" spans="1:12" x14ac:dyDescent="0.3">
      <c r="A1461">
        <v>390</v>
      </c>
      <c r="B1461" t="s">
        <v>24</v>
      </c>
      <c r="C1461" s="1">
        <v>45875</v>
      </c>
      <c r="D1461" s="1" t="str">
        <f xml:space="preserve"> TEXT(FilmaxData[[#This Row],[Show_Date]],"MMM")</f>
        <v>Aug</v>
      </c>
      <c r="E1461" s="1" t="str">
        <f xml:space="preserve"> TEXT(FilmaxData[[#This Row],[Show_Date]],"DDD")</f>
        <v>Wed</v>
      </c>
      <c r="F1461" t="s">
        <v>20</v>
      </c>
      <c r="G1461" t="s">
        <v>30</v>
      </c>
      <c r="H1461">
        <v>3</v>
      </c>
      <c r="I1461">
        <v>8</v>
      </c>
      <c r="J1461" t="s">
        <v>21</v>
      </c>
      <c r="K1461" t="s">
        <v>27</v>
      </c>
      <c r="L1461">
        <v>24</v>
      </c>
    </row>
    <row r="1462" spans="1:12" x14ac:dyDescent="0.3">
      <c r="A1462">
        <v>1831</v>
      </c>
      <c r="B1462" t="s">
        <v>26</v>
      </c>
      <c r="C1462" s="1">
        <v>45839</v>
      </c>
      <c r="D1462" s="1" t="str">
        <f xml:space="preserve"> TEXT(FilmaxData[[#This Row],[Show_Date]],"MMM")</f>
        <v>Jul</v>
      </c>
      <c r="E1462" s="1" t="str">
        <f xml:space="preserve"> TEXT(FilmaxData[[#This Row],[Show_Date]],"DDD")</f>
        <v>Tue</v>
      </c>
      <c r="F1462" t="s">
        <v>16</v>
      </c>
      <c r="G1462" t="s">
        <v>17</v>
      </c>
      <c r="H1462">
        <v>3</v>
      </c>
      <c r="I1462">
        <v>12</v>
      </c>
      <c r="J1462" t="s">
        <v>23</v>
      </c>
      <c r="K1462" t="s">
        <v>18</v>
      </c>
      <c r="L1462">
        <v>36</v>
      </c>
    </row>
    <row r="1463" spans="1:12" x14ac:dyDescent="0.3">
      <c r="A1463">
        <v>1721</v>
      </c>
      <c r="B1463" t="s">
        <v>10</v>
      </c>
      <c r="C1463" s="1">
        <v>45847</v>
      </c>
      <c r="D1463" s="1" t="str">
        <f xml:space="preserve"> TEXT(FilmaxData[[#This Row],[Show_Date]],"MMM")</f>
        <v>Jul</v>
      </c>
      <c r="E1463" s="1" t="str">
        <f xml:space="preserve"> TEXT(FilmaxData[[#This Row],[Show_Date]],"DDD")</f>
        <v>Wed</v>
      </c>
      <c r="F1463" t="s">
        <v>11</v>
      </c>
      <c r="G1463" t="s">
        <v>17</v>
      </c>
      <c r="H1463">
        <v>1</v>
      </c>
      <c r="I1463">
        <v>12</v>
      </c>
      <c r="J1463" t="s">
        <v>21</v>
      </c>
      <c r="K1463" t="s">
        <v>18</v>
      </c>
      <c r="L1463">
        <v>12</v>
      </c>
    </row>
    <row r="1464" spans="1:12" x14ac:dyDescent="0.3">
      <c r="A1464">
        <v>1275</v>
      </c>
      <c r="B1464" t="s">
        <v>28</v>
      </c>
      <c r="C1464" s="1">
        <v>45915</v>
      </c>
      <c r="D1464" s="1" t="str">
        <f xml:space="preserve"> TEXT(FilmaxData[[#This Row],[Show_Date]],"MMM")</f>
        <v>Sep</v>
      </c>
      <c r="E1464" s="1" t="str">
        <f xml:space="preserve"> TEXT(FilmaxData[[#This Row],[Show_Date]],"DDD")</f>
        <v>Mon</v>
      </c>
      <c r="F1464" t="s">
        <v>16</v>
      </c>
      <c r="G1464" t="s">
        <v>22</v>
      </c>
      <c r="H1464">
        <v>2</v>
      </c>
      <c r="I1464">
        <v>20</v>
      </c>
      <c r="J1464" t="s">
        <v>21</v>
      </c>
      <c r="K1464" t="s">
        <v>27</v>
      </c>
      <c r="L1464">
        <v>40</v>
      </c>
    </row>
    <row r="1465" spans="1:12" x14ac:dyDescent="0.3">
      <c r="A1465">
        <v>59</v>
      </c>
      <c r="B1465" t="s">
        <v>32</v>
      </c>
      <c r="C1465" s="1">
        <v>45886</v>
      </c>
      <c r="D1465" s="1" t="str">
        <f xml:space="preserve"> TEXT(FilmaxData[[#This Row],[Show_Date]],"MMM")</f>
        <v>Aug</v>
      </c>
      <c r="E1465" s="1" t="str">
        <f xml:space="preserve"> TEXT(FilmaxData[[#This Row],[Show_Date]],"DDD")</f>
        <v>Sun</v>
      </c>
      <c r="F1465" t="s">
        <v>20</v>
      </c>
      <c r="G1465" t="s">
        <v>30</v>
      </c>
      <c r="H1465">
        <v>2</v>
      </c>
      <c r="I1465">
        <v>8</v>
      </c>
      <c r="J1465" t="s">
        <v>23</v>
      </c>
      <c r="K1465" t="s">
        <v>14</v>
      </c>
      <c r="L1465">
        <v>16</v>
      </c>
    </row>
    <row r="1466" spans="1:12" x14ac:dyDescent="0.3">
      <c r="A1466">
        <v>1786</v>
      </c>
      <c r="B1466" t="s">
        <v>19</v>
      </c>
      <c r="C1466" s="1">
        <v>45862</v>
      </c>
      <c r="D1466" s="1" t="str">
        <f xml:space="preserve"> TEXT(FilmaxData[[#This Row],[Show_Date]],"MMM")</f>
        <v>Jul</v>
      </c>
      <c r="E1466" s="1" t="str">
        <f xml:space="preserve"> TEXT(FilmaxData[[#This Row],[Show_Date]],"DDD")</f>
        <v>Thu</v>
      </c>
      <c r="F1466" t="s">
        <v>20</v>
      </c>
      <c r="G1466" t="s">
        <v>17</v>
      </c>
      <c r="H1466">
        <v>2</v>
      </c>
      <c r="I1466">
        <v>12</v>
      </c>
      <c r="J1466" t="s">
        <v>21</v>
      </c>
      <c r="K1466" t="s">
        <v>27</v>
      </c>
      <c r="L1466">
        <v>24</v>
      </c>
    </row>
    <row r="1467" spans="1:12" x14ac:dyDescent="0.3">
      <c r="A1467">
        <v>537</v>
      </c>
      <c r="B1467" t="s">
        <v>19</v>
      </c>
      <c r="C1467" s="1">
        <v>45842</v>
      </c>
      <c r="D1467" s="1" t="str">
        <f xml:space="preserve"> TEXT(FilmaxData[[#This Row],[Show_Date]],"MMM")</f>
        <v>Jul</v>
      </c>
      <c r="E1467" s="1" t="str">
        <f xml:space="preserve"> TEXT(FilmaxData[[#This Row],[Show_Date]],"DDD")</f>
        <v>Fri</v>
      </c>
      <c r="F1467" t="s">
        <v>11</v>
      </c>
      <c r="G1467" t="s">
        <v>30</v>
      </c>
      <c r="H1467">
        <v>2</v>
      </c>
      <c r="I1467">
        <v>8</v>
      </c>
      <c r="J1467" t="s">
        <v>13</v>
      </c>
      <c r="K1467" t="s">
        <v>18</v>
      </c>
      <c r="L1467">
        <v>16</v>
      </c>
    </row>
    <row r="1468" spans="1:12" x14ac:dyDescent="0.3">
      <c r="A1468">
        <v>739</v>
      </c>
      <c r="B1468" t="s">
        <v>15</v>
      </c>
      <c r="C1468" s="1">
        <v>45925</v>
      </c>
      <c r="D1468" s="1" t="str">
        <f xml:space="preserve"> TEXT(FilmaxData[[#This Row],[Show_Date]],"MMM")</f>
        <v>Sep</v>
      </c>
      <c r="E1468" s="1" t="str">
        <f xml:space="preserve"> TEXT(FilmaxData[[#This Row],[Show_Date]],"DDD")</f>
        <v>Thu</v>
      </c>
      <c r="F1468" t="s">
        <v>16</v>
      </c>
      <c r="G1468" t="s">
        <v>29</v>
      </c>
      <c r="H1468">
        <v>3</v>
      </c>
      <c r="I1468">
        <v>30</v>
      </c>
      <c r="J1468" t="s">
        <v>21</v>
      </c>
      <c r="K1468" t="s">
        <v>18</v>
      </c>
      <c r="L1468">
        <v>90</v>
      </c>
    </row>
    <row r="1469" spans="1:12" x14ac:dyDescent="0.3">
      <c r="A1469">
        <v>271</v>
      </c>
      <c r="B1469" t="s">
        <v>10</v>
      </c>
      <c r="C1469" s="1">
        <v>45865</v>
      </c>
      <c r="D1469" s="1" t="str">
        <f xml:space="preserve"> TEXT(FilmaxData[[#This Row],[Show_Date]],"MMM")</f>
        <v>Jul</v>
      </c>
      <c r="E1469" s="1" t="str">
        <f xml:space="preserve"> TEXT(FilmaxData[[#This Row],[Show_Date]],"DDD")</f>
        <v>Sun</v>
      </c>
      <c r="F1469" t="s">
        <v>33</v>
      </c>
      <c r="G1469" t="s">
        <v>17</v>
      </c>
      <c r="H1469">
        <v>4</v>
      </c>
      <c r="I1469">
        <v>12</v>
      </c>
      <c r="J1469" t="s">
        <v>21</v>
      </c>
      <c r="K1469" t="s">
        <v>14</v>
      </c>
      <c r="L1469">
        <v>48</v>
      </c>
    </row>
    <row r="1470" spans="1:12" x14ac:dyDescent="0.3">
      <c r="A1470">
        <v>547</v>
      </c>
      <c r="B1470" t="s">
        <v>15</v>
      </c>
      <c r="C1470" s="1">
        <v>45903</v>
      </c>
      <c r="D1470" s="1" t="str">
        <f xml:space="preserve"> TEXT(FilmaxData[[#This Row],[Show_Date]],"MMM")</f>
        <v>Sep</v>
      </c>
      <c r="E1470" s="1" t="str">
        <f xml:space="preserve"> TEXT(FilmaxData[[#This Row],[Show_Date]],"DDD")</f>
        <v>Wed</v>
      </c>
      <c r="F1470" t="s">
        <v>16</v>
      </c>
      <c r="G1470" t="s">
        <v>17</v>
      </c>
      <c r="H1470">
        <v>5</v>
      </c>
      <c r="I1470">
        <v>12</v>
      </c>
      <c r="J1470" t="s">
        <v>13</v>
      </c>
      <c r="K1470" t="s">
        <v>27</v>
      </c>
      <c r="L1470">
        <v>60</v>
      </c>
    </row>
    <row r="1471" spans="1:12" x14ac:dyDescent="0.3">
      <c r="A1471">
        <v>365</v>
      </c>
      <c r="B1471" t="s">
        <v>28</v>
      </c>
      <c r="C1471" s="1">
        <v>45913</v>
      </c>
      <c r="D1471" s="1" t="str">
        <f xml:space="preserve"> TEXT(FilmaxData[[#This Row],[Show_Date]],"MMM")</f>
        <v>Sep</v>
      </c>
      <c r="E1471" s="1" t="str">
        <f xml:space="preserve"> TEXT(FilmaxData[[#This Row],[Show_Date]],"DDD")</f>
        <v>Sat</v>
      </c>
      <c r="F1471" t="s">
        <v>16</v>
      </c>
      <c r="G1471" t="s">
        <v>12</v>
      </c>
      <c r="H1471">
        <v>1</v>
      </c>
      <c r="I1471">
        <v>25</v>
      </c>
      <c r="J1471" t="s">
        <v>13</v>
      </c>
      <c r="K1471" t="s">
        <v>18</v>
      </c>
      <c r="L1471">
        <v>25</v>
      </c>
    </row>
    <row r="1472" spans="1:12" x14ac:dyDescent="0.3">
      <c r="A1472">
        <v>1489</v>
      </c>
      <c r="B1472" t="s">
        <v>24</v>
      </c>
      <c r="C1472" s="1">
        <v>45920</v>
      </c>
      <c r="D1472" s="1" t="str">
        <f xml:space="preserve"> TEXT(FilmaxData[[#This Row],[Show_Date]],"MMM")</f>
        <v>Sep</v>
      </c>
      <c r="E1472" s="1" t="str">
        <f xml:space="preserve"> TEXT(FilmaxData[[#This Row],[Show_Date]],"DDD")</f>
        <v>Sat</v>
      </c>
      <c r="F1472" t="s">
        <v>20</v>
      </c>
      <c r="G1472" t="s">
        <v>17</v>
      </c>
      <c r="H1472">
        <v>5</v>
      </c>
      <c r="I1472">
        <v>12</v>
      </c>
      <c r="J1472" t="s">
        <v>13</v>
      </c>
      <c r="K1472" t="s">
        <v>27</v>
      </c>
      <c r="L1472">
        <v>60</v>
      </c>
    </row>
    <row r="1473" spans="1:12" x14ac:dyDescent="0.3">
      <c r="A1473">
        <v>546</v>
      </c>
      <c r="B1473" t="s">
        <v>19</v>
      </c>
      <c r="C1473" s="1">
        <v>45843</v>
      </c>
      <c r="D1473" s="1" t="str">
        <f xml:space="preserve"> TEXT(FilmaxData[[#This Row],[Show_Date]],"MMM")</f>
        <v>Jul</v>
      </c>
      <c r="E1473" s="1" t="str">
        <f xml:space="preserve"> TEXT(FilmaxData[[#This Row],[Show_Date]],"DDD")</f>
        <v>Sat</v>
      </c>
      <c r="F1473" t="s">
        <v>33</v>
      </c>
      <c r="G1473" t="s">
        <v>17</v>
      </c>
      <c r="H1473">
        <v>2</v>
      </c>
      <c r="I1473">
        <v>12</v>
      </c>
      <c r="J1473" t="s">
        <v>23</v>
      </c>
      <c r="K1473" t="s">
        <v>27</v>
      </c>
      <c r="L1473">
        <v>24</v>
      </c>
    </row>
    <row r="1474" spans="1:12" x14ac:dyDescent="0.3">
      <c r="A1474">
        <v>509</v>
      </c>
      <c r="B1474" t="s">
        <v>19</v>
      </c>
      <c r="C1474" s="1">
        <v>45883</v>
      </c>
      <c r="D1474" s="1" t="str">
        <f xml:space="preserve"> TEXT(FilmaxData[[#This Row],[Show_Date]],"MMM")</f>
        <v>Aug</v>
      </c>
      <c r="E1474" s="1" t="str">
        <f xml:space="preserve"> TEXT(FilmaxData[[#This Row],[Show_Date]],"DDD")</f>
        <v>Thu</v>
      </c>
      <c r="F1474" t="s">
        <v>16</v>
      </c>
      <c r="G1474" t="s">
        <v>22</v>
      </c>
      <c r="H1474">
        <v>4</v>
      </c>
      <c r="I1474">
        <v>20</v>
      </c>
      <c r="J1474" t="s">
        <v>13</v>
      </c>
      <c r="K1474" t="s">
        <v>27</v>
      </c>
      <c r="L1474">
        <v>80</v>
      </c>
    </row>
    <row r="1475" spans="1:12" x14ac:dyDescent="0.3">
      <c r="A1475">
        <v>570</v>
      </c>
      <c r="B1475" t="s">
        <v>28</v>
      </c>
      <c r="C1475" s="1">
        <v>45900</v>
      </c>
      <c r="D1475" s="1" t="str">
        <f xml:space="preserve"> TEXT(FilmaxData[[#This Row],[Show_Date]],"MMM")</f>
        <v>Aug</v>
      </c>
      <c r="E1475" s="1" t="str">
        <f xml:space="preserve"> TEXT(FilmaxData[[#This Row],[Show_Date]],"DDD")</f>
        <v>Sun</v>
      </c>
      <c r="F1475" t="s">
        <v>33</v>
      </c>
      <c r="G1475" t="s">
        <v>29</v>
      </c>
      <c r="H1475">
        <v>3</v>
      </c>
      <c r="I1475">
        <v>30</v>
      </c>
      <c r="J1475" t="s">
        <v>21</v>
      </c>
      <c r="K1475" t="s">
        <v>25</v>
      </c>
      <c r="L1475">
        <v>90</v>
      </c>
    </row>
    <row r="1476" spans="1:12" x14ac:dyDescent="0.3">
      <c r="A1476">
        <v>1341</v>
      </c>
      <c r="B1476" t="s">
        <v>28</v>
      </c>
      <c r="C1476" s="1">
        <v>45850</v>
      </c>
      <c r="D1476" s="1" t="str">
        <f xml:space="preserve"> TEXT(FilmaxData[[#This Row],[Show_Date]],"MMM")</f>
        <v>Jul</v>
      </c>
      <c r="E1476" s="1" t="str">
        <f xml:space="preserve"> TEXT(FilmaxData[[#This Row],[Show_Date]],"DDD")</f>
        <v>Sat</v>
      </c>
      <c r="F1476" t="s">
        <v>11</v>
      </c>
      <c r="G1476" t="s">
        <v>22</v>
      </c>
      <c r="H1476">
        <v>5</v>
      </c>
      <c r="I1476">
        <v>20</v>
      </c>
      <c r="J1476" t="s">
        <v>23</v>
      </c>
      <c r="K1476" t="s">
        <v>27</v>
      </c>
      <c r="L1476">
        <v>100</v>
      </c>
    </row>
    <row r="1477" spans="1:12" x14ac:dyDescent="0.3">
      <c r="A1477">
        <v>298</v>
      </c>
      <c r="B1477" t="s">
        <v>28</v>
      </c>
      <c r="C1477" s="1">
        <v>45890</v>
      </c>
      <c r="D1477" s="1" t="str">
        <f xml:space="preserve"> TEXT(FilmaxData[[#This Row],[Show_Date]],"MMM")</f>
        <v>Aug</v>
      </c>
      <c r="E1477" s="1" t="str">
        <f xml:space="preserve"> TEXT(FilmaxData[[#This Row],[Show_Date]],"DDD")</f>
        <v>Thu</v>
      </c>
      <c r="F1477" t="s">
        <v>11</v>
      </c>
      <c r="G1477" t="s">
        <v>17</v>
      </c>
      <c r="H1477">
        <v>5</v>
      </c>
      <c r="I1477">
        <v>12</v>
      </c>
      <c r="J1477" t="s">
        <v>21</v>
      </c>
      <c r="K1477" t="s">
        <v>18</v>
      </c>
      <c r="L1477">
        <v>60</v>
      </c>
    </row>
    <row r="1478" spans="1:12" x14ac:dyDescent="0.3">
      <c r="A1478">
        <v>268</v>
      </c>
      <c r="B1478" t="s">
        <v>19</v>
      </c>
      <c r="C1478" s="1">
        <v>45904</v>
      </c>
      <c r="D1478" s="1" t="str">
        <f xml:space="preserve"> TEXT(FilmaxData[[#This Row],[Show_Date]],"MMM")</f>
        <v>Sep</v>
      </c>
      <c r="E1478" s="1" t="str">
        <f xml:space="preserve"> TEXT(FilmaxData[[#This Row],[Show_Date]],"DDD")</f>
        <v>Thu</v>
      </c>
      <c r="F1478" t="s">
        <v>16</v>
      </c>
      <c r="G1478" t="s">
        <v>30</v>
      </c>
      <c r="H1478">
        <v>4</v>
      </c>
      <c r="I1478">
        <v>8</v>
      </c>
      <c r="J1478" t="s">
        <v>23</v>
      </c>
      <c r="K1478" t="s">
        <v>27</v>
      </c>
      <c r="L1478">
        <v>32</v>
      </c>
    </row>
    <row r="1479" spans="1:12" x14ac:dyDescent="0.3">
      <c r="A1479">
        <v>751</v>
      </c>
      <c r="B1479" t="s">
        <v>19</v>
      </c>
      <c r="C1479" s="1">
        <v>45895</v>
      </c>
      <c r="D1479" s="1" t="str">
        <f xml:space="preserve"> TEXT(FilmaxData[[#This Row],[Show_Date]],"MMM")</f>
        <v>Aug</v>
      </c>
      <c r="E1479" s="1" t="str">
        <f xml:space="preserve"> TEXT(FilmaxData[[#This Row],[Show_Date]],"DDD")</f>
        <v>Tue</v>
      </c>
      <c r="F1479" t="s">
        <v>16</v>
      </c>
      <c r="G1479" t="s">
        <v>17</v>
      </c>
      <c r="H1479">
        <v>4</v>
      </c>
      <c r="I1479">
        <v>12</v>
      </c>
      <c r="J1479" t="s">
        <v>21</v>
      </c>
      <c r="K1479" t="s">
        <v>14</v>
      </c>
      <c r="L1479">
        <v>48</v>
      </c>
    </row>
    <row r="1480" spans="1:12" x14ac:dyDescent="0.3">
      <c r="A1480">
        <v>1586</v>
      </c>
      <c r="B1480" t="s">
        <v>26</v>
      </c>
      <c r="C1480" s="1">
        <v>45907</v>
      </c>
      <c r="D1480" s="1" t="str">
        <f xml:space="preserve"> TEXT(FilmaxData[[#This Row],[Show_Date]],"MMM")</f>
        <v>Sep</v>
      </c>
      <c r="E1480" s="1" t="str">
        <f xml:space="preserve"> TEXT(FilmaxData[[#This Row],[Show_Date]],"DDD")</f>
        <v>Sun</v>
      </c>
      <c r="F1480" t="s">
        <v>11</v>
      </c>
      <c r="G1480" t="s">
        <v>17</v>
      </c>
      <c r="H1480">
        <v>4</v>
      </c>
      <c r="I1480">
        <v>12</v>
      </c>
      <c r="J1480" t="s">
        <v>13</v>
      </c>
      <c r="K1480" t="s">
        <v>27</v>
      </c>
      <c r="L1480">
        <v>48</v>
      </c>
    </row>
    <row r="1481" spans="1:12" x14ac:dyDescent="0.3">
      <c r="A1481">
        <v>723</v>
      </c>
      <c r="B1481" t="s">
        <v>31</v>
      </c>
      <c r="C1481" s="1">
        <v>45921</v>
      </c>
      <c r="D1481" s="1" t="str">
        <f xml:space="preserve"> TEXT(FilmaxData[[#This Row],[Show_Date]],"MMM")</f>
        <v>Sep</v>
      </c>
      <c r="E1481" s="1" t="str">
        <f xml:space="preserve"> TEXT(FilmaxData[[#This Row],[Show_Date]],"DDD")</f>
        <v>Sun</v>
      </c>
      <c r="F1481" t="s">
        <v>16</v>
      </c>
      <c r="G1481" t="s">
        <v>30</v>
      </c>
      <c r="H1481">
        <v>5</v>
      </c>
      <c r="I1481">
        <v>8</v>
      </c>
      <c r="J1481" t="s">
        <v>23</v>
      </c>
      <c r="K1481" t="s">
        <v>25</v>
      </c>
      <c r="L1481">
        <v>40</v>
      </c>
    </row>
    <row r="1482" spans="1:12" x14ac:dyDescent="0.3">
      <c r="A1482">
        <v>1136</v>
      </c>
      <c r="B1482" t="s">
        <v>32</v>
      </c>
      <c r="C1482" s="1">
        <v>45876</v>
      </c>
      <c r="D1482" s="1" t="str">
        <f xml:space="preserve"> TEXT(FilmaxData[[#This Row],[Show_Date]],"MMM")</f>
        <v>Aug</v>
      </c>
      <c r="E1482" s="1" t="str">
        <f xml:space="preserve"> TEXT(FilmaxData[[#This Row],[Show_Date]],"DDD")</f>
        <v>Thu</v>
      </c>
      <c r="F1482" t="s">
        <v>11</v>
      </c>
      <c r="G1482" t="s">
        <v>12</v>
      </c>
      <c r="H1482">
        <v>2</v>
      </c>
      <c r="I1482">
        <v>25</v>
      </c>
      <c r="J1482" t="s">
        <v>21</v>
      </c>
      <c r="K1482" t="s">
        <v>14</v>
      </c>
      <c r="L1482">
        <v>50</v>
      </c>
    </row>
    <row r="1483" spans="1:12" x14ac:dyDescent="0.3">
      <c r="A1483">
        <v>1544</v>
      </c>
      <c r="B1483" t="s">
        <v>15</v>
      </c>
      <c r="C1483" s="1">
        <v>45925</v>
      </c>
      <c r="D1483" s="1" t="str">
        <f xml:space="preserve"> TEXT(FilmaxData[[#This Row],[Show_Date]],"MMM")</f>
        <v>Sep</v>
      </c>
      <c r="E1483" s="1" t="str">
        <f xml:space="preserve"> TEXT(FilmaxData[[#This Row],[Show_Date]],"DDD")</f>
        <v>Thu</v>
      </c>
      <c r="F1483" t="s">
        <v>20</v>
      </c>
      <c r="G1483" t="s">
        <v>17</v>
      </c>
      <c r="H1483">
        <v>3</v>
      </c>
      <c r="I1483">
        <v>12</v>
      </c>
      <c r="J1483" t="s">
        <v>13</v>
      </c>
      <c r="K1483" t="s">
        <v>14</v>
      </c>
      <c r="L1483">
        <v>36</v>
      </c>
    </row>
    <row r="1484" spans="1:12" x14ac:dyDescent="0.3">
      <c r="A1484">
        <v>1819</v>
      </c>
      <c r="B1484" t="s">
        <v>26</v>
      </c>
      <c r="C1484" s="1">
        <v>45888</v>
      </c>
      <c r="D1484" s="1" t="str">
        <f xml:space="preserve"> TEXT(FilmaxData[[#This Row],[Show_Date]],"MMM")</f>
        <v>Aug</v>
      </c>
      <c r="E1484" s="1" t="str">
        <f xml:space="preserve"> TEXT(FilmaxData[[#This Row],[Show_Date]],"DDD")</f>
        <v>Tue</v>
      </c>
      <c r="F1484" t="s">
        <v>11</v>
      </c>
      <c r="G1484" t="s">
        <v>22</v>
      </c>
      <c r="H1484">
        <v>1</v>
      </c>
      <c r="I1484">
        <v>20</v>
      </c>
      <c r="J1484" t="s">
        <v>21</v>
      </c>
      <c r="K1484" t="s">
        <v>25</v>
      </c>
      <c r="L1484">
        <v>20</v>
      </c>
    </row>
    <row r="1485" spans="1:12" x14ac:dyDescent="0.3">
      <c r="A1485">
        <v>401</v>
      </c>
      <c r="B1485" t="s">
        <v>19</v>
      </c>
      <c r="C1485" s="1">
        <v>45923</v>
      </c>
      <c r="D1485" s="1" t="str">
        <f xml:space="preserve"> TEXT(FilmaxData[[#This Row],[Show_Date]],"MMM")</f>
        <v>Sep</v>
      </c>
      <c r="E1485" s="1" t="str">
        <f xml:space="preserve"> TEXT(FilmaxData[[#This Row],[Show_Date]],"DDD")</f>
        <v>Tue</v>
      </c>
      <c r="F1485" t="s">
        <v>33</v>
      </c>
      <c r="G1485" t="s">
        <v>17</v>
      </c>
      <c r="H1485">
        <v>2</v>
      </c>
      <c r="I1485">
        <v>12</v>
      </c>
      <c r="J1485" t="s">
        <v>13</v>
      </c>
      <c r="K1485" t="s">
        <v>25</v>
      </c>
      <c r="L1485">
        <v>24</v>
      </c>
    </row>
    <row r="1486" spans="1:12" x14ac:dyDescent="0.3">
      <c r="A1486">
        <v>1739</v>
      </c>
      <c r="B1486" t="s">
        <v>28</v>
      </c>
      <c r="C1486" s="1">
        <v>45887</v>
      </c>
      <c r="D1486" s="1" t="str">
        <f xml:space="preserve"> TEXT(FilmaxData[[#This Row],[Show_Date]],"MMM")</f>
        <v>Aug</v>
      </c>
      <c r="E1486" s="1" t="str">
        <f xml:space="preserve"> TEXT(FilmaxData[[#This Row],[Show_Date]],"DDD")</f>
        <v>Mon</v>
      </c>
      <c r="F1486" t="s">
        <v>11</v>
      </c>
      <c r="G1486" t="s">
        <v>30</v>
      </c>
      <c r="H1486">
        <v>3</v>
      </c>
      <c r="I1486">
        <v>8</v>
      </c>
      <c r="J1486" t="s">
        <v>13</v>
      </c>
      <c r="K1486" t="s">
        <v>25</v>
      </c>
      <c r="L1486">
        <v>24</v>
      </c>
    </row>
    <row r="1487" spans="1:12" x14ac:dyDescent="0.3">
      <c r="A1487">
        <v>1276</v>
      </c>
      <c r="B1487" t="s">
        <v>19</v>
      </c>
      <c r="C1487" s="1">
        <v>45889</v>
      </c>
      <c r="D1487" s="1" t="str">
        <f xml:space="preserve"> TEXT(FilmaxData[[#This Row],[Show_Date]],"MMM")</f>
        <v>Aug</v>
      </c>
      <c r="E1487" s="1" t="str">
        <f xml:space="preserve"> TEXT(FilmaxData[[#This Row],[Show_Date]],"DDD")</f>
        <v>Wed</v>
      </c>
      <c r="F1487" t="s">
        <v>20</v>
      </c>
      <c r="G1487" t="s">
        <v>22</v>
      </c>
      <c r="H1487">
        <v>1</v>
      </c>
      <c r="I1487">
        <v>20</v>
      </c>
      <c r="J1487" t="s">
        <v>13</v>
      </c>
      <c r="K1487" t="s">
        <v>18</v>
      </c>
      <c r="L1487">
        <v>20</v>
      </c>
    </row>
    <row r="1488" spans="1:12" x14ac:dyDescent="0.3">
      <c r="A1488">
        <v>1979</v>
      </c>
      <c r="B1488" t="s">
        <v>32</v>
      </c>
      <c r="C1488" s="1">
        <v>45913</v>
      </c>
      <c r="D1488" s="1" t="str">
        <f xml:space="preserve"> TEXT(FilmaxData[[#This Row],[Show_Date]],"MMM")</f>
        <v>Sep</v>
      </c>
      <c r="E1488" s="1" t="str">
        <f xml:space="preserve"> TEXT(FilmaxData[[#This Row],[Show_Date]],"DDD")</f>
        <v>Sat</v>
      </c>
      <c r="F1488" t="s">
        <v>33</v>
      </c>
      <c r="G1488" t="s">
        <v>17</v>
      </c>
      <c r="H1488">
        <v>4</v>
      </c>
      <c r="I1488">
        <v>12</v>
      </c>
      <c r="J1488" t="s">
        <v>13</v>
      </c>
      <c r="K1488" t="s">
        <v>25</v>
      </c>
      <c r="L1488">
        <v>48</v>
      </c>
    </row>
    <row r="1489" spans="1:12" x14ac:dyDescent="0.3">
      <c r="A1489">
        <v>1104</v>
      </c>
      <c r="B1489" t="s">
        <v>24</v>
      </c>
      <c r="C1489" s="1">
        <v>45885</v>
      </c>
      <c r="D1489" s="1" t="str">
        <f xml:space="preserve"> TEXT(FilmaxData[[#This Row],[Show_Date]],"MMM")</f>
        <v>Aug</v>
      </c>
      <c r="E1489" s="1" t="str">
        <f xml:space="preserve"> TEXT(FilmaxData[[#This Row],[Show_Date]],"DDD")</f>
        <v>Sat</v>
      </c>
      <c r="F1489" t="s">
        <v>20</v>
      </c>
      <c r="G1489" t="s">
        <v>17</v>
      </c>
      <c r="H1489">
        <v>5</v>
      </c>
      <c r="I1489">
        <v>12</v>
      </c>
      <c r="J1489" t="s">
        <v>23</v>
      </c>
      <c r="K1489" t="s">
        <v>14</v>
      </c>
      <c r="L1489">
        <v>60</v>
      </c>
    </row>
    <row r="1490" spans="1:12" x14ac:dyDescent="0.3">
      <c r="A1490">
        <v>775</v>
      </c>
      <c r="B1490" t="s">
        <v>26</v>
      </c>
      <c r="C1490" s="1">
        <v>45864</v>
      </c>
      <c r="D1490" s="1" t="str">
        <f xml:space="preserve"> TEXT(FilmaxData[[#This Row],[Show_Date]],"MMM")</f>
        <v>Jul</v>
      </c>
      <c r="E1490" s="1" t="str">
        <f xml:space="preserve"> TEXT(FilmaxData[[#This Row],[Show_Date]],"DDD")</f>
        <v>Sat</v>
      </c>
      <c r="F1490" t="s">
        <v>16</v>
      </c>
      <c r="G1490" t="s">
        <v>12</v>
      </c>
      <c r="H1490">
        <v>3</v>
      </c>
      <c r="I1490">
        <v>25</v>
      </c>
      <c r="J1490" t="s">
        <v>21</v>
      </c>
      <c r="K1490" t="s">
        <v>14</v>
      </c>
      <c r="L1490">
        <v>75</v>
      </c>
    </row>
    <row r="1491" spans="1:12" x14ac:dyDescent="0.3">
      <c r="A1491">
        <v>724</v>
      </c>
      <c r="B1491" t="s">
        <v>24</v>
      </c>
      <c r="C1491" s="1">
        <v>45851</v>
      </c>
      <c r="D1491" s="1" t="str">
        <f xml:space="preserve"> TEXT(FilmaxData[[#This Row],[Show_Date]],"MMM")</f>
        <v>Jul</v>
      </c>
      <c r="E1491" s="1" t="str">
        <f xml:space="preserve"> TEXT(FilmaxData[[#This Row],[Show_Date]],"DDD")</f>
        <v>Sun</v>
      </c>
      <c r="F1491" t="s">
        <v>11</v>
      </c>
      <c r="G1491" t="s">
        <v>17</v>
      </c>
      <c r="H1491">
        <v>2</v>
      </c>
      <c r="I1491">
        <v>12</v>
      </c>
      <c r="J1491" t="s">
        <v>13</v>
      </c>
      <c r="K1491" t="s">
        <v>18</v>
      </c>
      <c r="L1491">
        <v>24</v>
      </c>
    </row>
    <row r="1492" spans="1:12" x14ac:dyDescent="0.3">
      <c r="A1492">
        <v>1591</v>
      </c>
      <c r="B1492" t="s">
        <v>31</v>
      </c>
      <c r="C1492" s="1">
        <v>45918</v>
      </c>
      <c r="D1492" s="1" t="str">
        <f xml:space="preserve"> TEXT(FilmaxData[[#This Row],[Show_Date]],"MMM")</f>
        <v>Sep</v>
      </c>
      <c r="E1492" s="1" t="str">
        <f xml:space="preserve"> TEXT(FilmaxData[[#This Row],[Show_Date]],"DDD")</f>
        <v>Thu</v>
      </c>
      <c r="F1492" t="s">
        <v>33</v>
      </c>
      <c r="G1492" t="s">
        <v>29</v>
      </c>
      <c r="H1492">
        <v>4</v>
      </c>
      <c r="I1492">
        <v>30</v>
      </c>
      <c r="J1492" t="s">
        <v>21</v>
      </c>
      <c r="K1492" t="s">
        <v>14</v>
      </c>
      <c r="L1492">
        <v>120</v>
      </c>
    </row>
    <row r="1493" spans="1:12" x14ac:dyDescent="0.3">
      <c r="A1493">
        <v>1568</v>
      </c>
      <c r="B1493" t="s">
        <v>31</v>
      </c>
      <c r="C1493" s="1">
        <v>45910</v>
      </c>
      <c r="D1493" s="1" t="str">
        <f xml:space="preserve"> TEXT(FilmaxData[[#This Row],[Show_Date]],"MMM")</f>
        <v>Sep</v>
      </c>
      <c r="E1493" s="1" t="str">
        <f xml:space="preserve"> TEXT(FilmaxData[[#This Row],[Show_Date]],"DDD")</f>
        <v>Wed</v>
      </c>
      <c r="F1493" t="s">
        <v>11</v>
      </c>
      <c r="G1493" t="s">
        <v>30</v>
      </c>
      <c r="H1493">
        <v>4</v>
      </c>
      <c r="I1493">
        <v>8</v>
      </c>
      <c r="J1493" t="s">
        <v>23</v>
      </c>
      <c r="K1493" t="s">
        <v>14</v>
      </c>
      <c r="L1493">
        <v>32</v>
      </c>
    </row>
    <row r="1494" spans="1:12" x14ac:dyDescent="0.3">
      <c r="A1494">
        <v>217</v>
      </c>
      <c r="B1494" t="s">
        <v>31</v>
      </c>
      <c r="C1494" s="1">
        <v>45843</v>
      </c>
      <c r="D1494" s="1" t="str">
        <f xml:space="preserve"> TEXT(FilmaxData[[#This Row],[Show_Date]],"MMM")</f>
        <v>Jul</v>
      </c>
      <c r="E1494" s="1" t="str">
        <f xml:space="preserve"> TEXT(FilmaxData[[#This Row],[Show_Date]],"DDD")</f>
        <v>Sat</v>
      </c>
      <c r="F1494" t="s">
        <v>20</v>
      </c>
      <c r="G1494" t="s">
        <v>22</v>
      </c>
      <c r="H1494">
        <v>2</v>
      </c>
      <c r="I1494">
        <v>20</v>
      </c>
      <c r="J1494" t="s">
        <v>23</v>
      </c>
      <c r="K1494" t="s">
        <v>25</v>
      </c>
      <c r="L1494">
        <v>40</v>
      </c>
    </row>
    <row r="1495" spans="1:12" x14ac:dyDescent="0.3">
      <c r="A1495">
        <v>1697</v>
      </c>
      <c r="B1495" t="s">
        <v>24</v>
      </c>
      <c r="C1495" s="1">
        <v>45898</v>
      </c>
      <c r="D1495" s="1" t="str">
        <f xml:space="preserve"> TEXT(FilmaxData[[#This Row],[Show_Date]],"MMM")</f>
        <v>Aug</v>
      </c>
      <c r="E1495" s="1" t="str">
        <f xml:space="preserve"> TEXT(FilmaxData[[#This Row],[Show_Date]],"DDD")</f>
        <v>Fri</v>
      </c>
      <c r="F1495" t="s">
        <v>20</v>
      </c>
      <c r="G1495" t="s">
        <v>29</v>
      </c>
      <c r="H1495">
        <v>3</v>
      </c>
      <c r="I1495">
        <v>30</v>
      </c>
      <c r="J1495" t="s">
        <v>23</v>
      </c>
      <c r="K1495" t="s">
        <v>18</v>
      </c>
      <c r="L1495">
        <v>90</v>
      </c>
    </row>
    <row r="1496" spans="1:12" x14ac:dyDescent="0.3">
      <c r="A1496">
        <v>1472</v>
      </c>
      <c r="B1496" t="s">
        <v>26</v>
      </c>
      <c r="C1496" s="1">
        <v>45915</v>
      </c>
      <c r="D1496" s="1" t="str">
        <f xml:space="preserve"> TEXT(FilmaxData[[#This Row],[Show_Date]],"MMM")</f>
        <v>Sep</v>
      </c>
      <c r="E1496" s="1" t="str">
        <f xml:space="preserve"> TEXT(FilmaxData[[#This Row],[Show_Date]],"DDD")</f>
        <v>Mon</v>
      </c>
      <c r="F1496" t="s">
        <v>11</v>
      </c>
      <c r="G1496" t="s">
        <v>30</v>
      </c>
      <c r="H1496">
        <v>4</v>
      </c>
      <c r="I1496">
        <v>8</v>
      </c>
      <c r="J1496" t="s">
        <v>23</v>
      </c>
      <c r="K1496" t="s">
        <v>27</v>
      </c>
      <c r="L1496">
        <v>32</v>
      </c>
    </row>
    <row r="1497" spans="1:12" x14ac:dyDescent="0.3">
      <c r="A1497">
        <v>1977</v>
      </c>
      <c r="B1497" t="s">
        <v>28</v>
      </c>
      <c r="C1497" s="1">
        <v>45871</v>
      </c>
      <c r="D1497" s="1" t="str">
        <f xml:space="preserve"> TEXT(FilmaxData[[#This Row],[Show_Date]],"MMM")</f>
        <v>Aug</v>
      </c>
      <c r="E1497" s="1" t="str">
        <f xml:space="preserve"> TEXT(FilmaxData[[#This Row],[Show_Date]],"DDD")</f>
        <v>Sat</v>
      </c>
      <c r="F1497" t="s">
        <v>33</v>
      </c>
      <c r="G1497" t="s">
        <v>17</v>
      </c>
      <c r="H1497">
        <v>3</v>
      </c>
      <c r="I1497">
        <v>12</v>
      </c>
      <c r="J1497" t="s">
        <v>23</v>
      </c>
      <c r="K1497" t="s">
        <v>14</v>
      </c>
      <c r="L1497">
        <v>36</v>
      </c>
    </row>
    <row r="1498" spans="1:12" x14ac:dyDescent="0.3">
      <c r="A1498">
        <v>1370</v>
      </c>
      <c r="B1498" t="s">
        <v>26</v>
      </c>
      <c r="C1498" s="1">
        <v>45891</v>
      </c>
      <c r="D1498" s="1" t="str">
        <f xml:space="preserve"> TEXT(FilmaxData[[#This Row],[Show_Date]],"MMM")</f>
        <v>Aug</v>
      </c>
      <c r="E1498" s="1" t="str">
        <f xml:space="preserve"> TEXT(FilmaxData[[#This Row],[Show_Date]],"DDD")</f>
        <v>Fri</v>
      </c>
      <c r="F1498" t="s">
        <v>33</v>
      </c>
      <c r="G1498" t="s">
        <v>30</v>
      </c>
      <c r="H1498">
        <v>2</v>
      </c>
      <c r="I1498">
        <v>8</v>
      </c>
      <c r="J1498" t="s">
        <v>21</v>
      </c>
      <c r="K1498" t="s">
        <v>18</v>
      </c>
      <c r="L1498">
        <v>16</v>
      </c>
    </row>
    <row r="1499" spans="1:12" x14ac:dyDescent="0.3">
      <c r="A1499">
        <v>741</v>
      </c>
      <c r="B1499" t="s">
        <v>28</v>
      </c>
      <c r="C1499" s="1">
        <v>45912</v>
      </c>
      <c r="D1499" s="1" t="str">
        <f xml:space="preserve"> TEXT(FilmaxData[[#This Row],[Show_Date]],"MMM")</f>
        <v>Sep</v>
      </c>
      <c r="E1499" s="1" t="str">
        <f xml:space="preserve"> TEXT(FilmaxData[[#This Row],[Show_Date]],"DDD")</f>
        <v>Fri</v>
      </c>
      <c r="F1499" t="s">
        <v>20</v>
      </c>
      <c r="G1499" t="s">
        <v>17</v>
      </c>
      <c r="H1499">
        <v>1</v>
      </c>
      <c r="I1499">
        <v>12</v>
      </c>
      <c r="J1499" t="s">
        <v>13</v>
      </c>
      <c r="K1499" t="s">
        <v>14</v>
      </c>
      <c r="L1499">
        <v>12</v>
      </c>
    </row>
    <row r="1500" spans="1:12" x14ac:dyDescent="0.3">
      <c r="A1500">
        <v>202</v>
      </c>
      <c r="B1500" t="s">
        <v>19</v>
      </c>
      <c r="C1500" s="1">
        <v>45914</v>
      </c>
      <c r="D1500" s="1" t="str">
        <f xml:space="preserve"> TEXT(FilmaxData[[#This Row],[Show_Date]],"MMM")</f>
        <v>Sep</v>
      </c>
      <c r="E1500" s="1" t="str">
        <f xml:space="preserve"> TEXT(FilmaxData[[#This Row],[Show_Date]],"DDD")</f>
        <v>Sun</v>
      </c>
      <c r="F1500" t="s">
        <v>20</v>
      </c>
      <c r="G1500" t="s">
        <v>17</v>
      </c>
      <c r="H1500">
        <v>1</v>
      </c>
      <c r="I1500">
        <v>12</v>
      </c>
      <c r="J1500" t="s">
        <v>23</v>
      </c>
      <c r="K1500" t="s">
        <v>25</v>
      </c>
      <c r="L1500">
        <v>12</v>
      </c>
    </row>
    <row r="1501" spans="1:12" x14ac:dyDescent="0.3">
      <c r="A1501">
        <v>1189</v>
      </c>
      <c r="B1501" t="s">
        <v>32</v>
      </c>
      <c r="C1501" s="1">
        <v>45881</v>
      </c>
      <c r="D1501" s="1" t="str">
        <f xml:space="preserve"> TEXT(FilmaxData[[#This Row],[Show_Date]],"MMM")</f>
        <v>Aug</v>
      </c>
      <c r="E1501" s="1" t="str">
        <f xml:space="preserve"> TEXT(FilmaxData[[#This Row],[Show_Date]],"DDD")</f>
        <v>Tue</v>
      </c>
      <c r="F1501" t="s">
        <v>20</v>
      </c>
      <c r="G1501" t="s">
        <v>22</v>
      </c>
      <c r="H1501">
        <v>4</v>
      </c>
      <c r="I1501">
        <v>20</v>
      </c>
      <c r="J1501" t="s">
        <v>13</v>
      </c>
      <c r="K1501" t="s">
        <v>25</v>
      </c>
      <c r="L1501">
        <v>80</v>
      </c>
    </row>
    <row r="1502" spans="1:12" x14ac:dyDescent="0.3">
      <c r="A1502">
        <v>18</v>
      </c>
      <c r="B1502" t="s">
        <v>19</v>
      </c>
      <c r="C1502" s="1">
        <v>45878</v>
      </c>
      <c r="D1502" s="1" t="str">
        <f xml:space="preserve"> TEXT(FilmaxData[[#This Row],[Show_Date]],"MMM")</f>
        <v>Aug</v>
      </c>
      <c r="E1502" s="1" t="str">
        <f xml:space="preserve"> TEXT(FilmaxData[[#This Row],[Show_Date]],"DDD")</f>
        <v>Sat</v>
      </c>
      <c r="F1502" t="s">
        <v>20</v>
      </c>
      <c r="G1502" t="s">
        <v>22</v>
      </c>
      <c r="H1502">
        <v>3</v>
      </c>
      <c r="I1502">
        <v>20</v>
      </c>
      <c r="J1502" t="s">
        <v>21</v>
      </c>
      <c r="K1502" t="s">
        <v>25</v>
      </c>
      <c r="L1502">
        <v>60</v>
      </c>
    </row>
    <row r="1503" spans="1:12" x14ac:dyDescent="0.3">
      <c r="A1503">
        <v>1736</v>
      </c>
      <c r="B1503" t="s">
        <v>19</v>
      </c>
      <c r="C1503" s="1">
        <v>45859</v>
      </c>
      <c r="D1503" s="1" t="str">
        <f xml:space="preserve"> TEXT(FilmaxData[[#This Row],[Show_Date]],"MMM")</f>
        <v>Jul</v>
      </c>
      <c r="E1503" s="1" t="str">
        <f xml:space="preserve"> TEXT(FilmaxData[[#This Row],[Show_Date]],"DDD")</f>
        <v>Mon</v>
      </c>
      <c r="F1503" t="s">
        <v>20</v>
      </c>
      <c r="G1503" t="s">
        <v>17</v>
      </c>
      <c r="H1503">
        <v>5</v>
      </c>
      <c r="I1503">
        <v>12</v>
      </c>
      <c r="J1503" t="s">
        <v>23</v>
      </c>
      <c r="K1503" t="s">
        <v>27</v>
      </c>
      <c r="L1503">
        <v>60</v>
      </c>
    </row>
    <row r="1504" spans="1:12" x14ac:dyDescent="0.3">
      <c r="A1504">
        <v>1792</v>
      </c>
      <c r="B1504" t="s">
        <v>10</v>
      </c>
      <c r="C1504" s="1">
        <v>45914</v>
      </c>
      <c r="D1504" s="1" t="str">
        <f xml:space="preserve"> TEXT(FilmaxData[[#This Row],[Show_Date]],"MMM")</f>
        <v>Sep</v>
      </c>
      <c r="E1504" s="1" t="str">
        <f xml:space="preserve"> TEXT(FilmaxData[[#This Row],[Show_Date]],"DDD")</f>
        <v>Sun</v>
      </c>
      <c r="F1504" t="s">
        <v>20</v>
      </c>
      <c r="G1504" t="s">
        <v>17</v>
      </c>
      <c r="H1504">
        <v>1</v>
      </c>
      <c r="I1504">
        <v>12</v>
      </c>
      <c r="J1504" t="s">
        <v>21</v>
      </c>
      <c r="K1504" t="s">
        <v>27</v>
      </c>
      <c r="L1504">
        <v>12</v>
      </c>
    </row>
    <row r="1505" spans="1:12" x14ac:dyDescent="0.3">
      <c r="A1505">
        <v>480</v>
      </c>
      <c r="B1505" t="s">
        <v>31</v>
      </c>
      <c r="C1505" s="1">
        <v>45878</v>
      </c>
      <c r="D1505" s="1" t="str">
        <f xml:space="preserve"> TEXT(FilmaxData[[#This Row],[Show_Date]],"MMM")</f>
        <v>Aug</v>
      </c>
      <c r="E1505" s="1" t="str">
        <f xml:space="preserve"> TEXT(FilmaxData[[#This Row],[Show_Date]],"DDD")</f>
        <v>Sat</v>
      </c>
      <c r="F1505" t="s">
        <v>33</v>
      </c>
      <c r="G1505" t="s">
        <v>30</v>
      </c>
      <c r="H1505">
        <v>3</v>
      </c>
      <c r="I1505">
        <v>8</v>
      </c>
      <c r="J1505" t="s">
        <v>13</v>
      </c>
      <c r="K1505" t="s">
        <v>25</v>
      </c>
      <c r="L1505">
        <v>24</v>
      </c>
    </row>
    <row r="1506" spans="1:12" x14ac:dyDescent="0.3">
      <c r="A1506">
        <v>80</v>
      </c>
      <c r="B1506" t="s">
        <v>31</v>
      </c>
      <c r="C1506" s="1">
        <v>45885</v>
      </c>
      <c r="D1506" s="1" t="str">
        <f xml:space="preserve"> TEXT(FilmaxData[[#This Row],[Show_Date]],"MMM")</f>
        <v>Aug</v>
      </c>
      <c r="E1506" s="1" t="str">
        <f xml:space="preserve"> TEXT(FilmaxData[[#This Row],[Show_Date]],"DDD")</f>
        <v>Sat</v>
      </c>
      <c r="F1506" t="s">
        <v>16</v>
      </c>
      <c r="G1506" t="s">
        <v>30</v>
      </c>
      <c r="H1506">
        <v>2</v>
      </c>
      <c r="I1506">
        <v>8</v>
      </c>
      <c r="J1506" t="s">
        <v>23</v>
      </c>
      <c r="K1506" t="s">
        <v>14</v>
      </c>
      <c r="L1506">
        <v>16</v>
      </c>
    </row>
    <row r="1507" spans="1:12" x14ac:dyDescent="0.3">
      <c r="A1507">
        <v>1240</v>
      </c>
      <c r="B1507" t="s">
        <v>32</v>
      </c>
      <c r="C1507" s="1">
        <v>45843</v>
      </c>
      <c r="D1507" s="1" t="str">
        <f xml:space="preserve"> TEXT(FilmaxData[[#This Row],[Show_Date]],"MMM")</f>
        <v>Jul</v>
      </c>
      <c r="E1507" s="1" t="str">
        <f xml:space="preserve"> TEXT(FilmaxData[[#This Row],[Show_Date]],"DDD")</f>
        <v>Sat</v>
      </c>
      <c r="F1507" t="s">
        <v>11</v>
      </c>
      <c r="G1507" t="s">
        <v>12</v>
      </c>
      <c r="H1507">
        <v>2</v>
      </c>
      <c r="I1507">
        <v>25</v>
      </c>
      <c r="J1507" t="s">
        <v>23</v>
      </c>
      <c r="K1507" t="s">
        <v>25</v>
      </c>
      <c r="L1507">
        <v>50</v>
      </c>
    </row>
    <row r="1508" spans="1:12" x14ac:dyDescent="0.3">
      <c r="A1508">
        <v>1440</v>
      </c>
      <c r="B1508" t="s">
        <v>32</v>
      </c>
      <c r="C1508" s="1">
        <v>45859</v>
      </c>
      <c r="D1508" s="1" t="str">
        <f xml:space="preserve"> TEXT(FilmaxData[[#This Row],[Show_Date]],"MMM")</f>
        <v>Jul</v>
      </c>
      <c r="E1508" s="1" t="str">
        <f xml:space="preserve"> TEXT(FilmaxData[[#This Row],[Show_Date]],"DDD")</f>
        <v>Mon</v>
      </c>
      <c r="F1508" t="s">
        <v>33</v>
      </c>
      <c r="G1508" t="s">
        <v>29</v>
      </c>
      <c r="H1508">
        <v>5</v>
      </c>
      <c r="I1508">
        <v>30</v>
      </c>
      <c r="J1508" t="s">
        <v>23</v>
      </c>
      <c r="K1508" t="s">
        <v>18</v>
      </c>
      <c r="L1508">
        <v>150</v>
      </c>
    </row>
    <row r="1509" spans="1:12" x14ac:dyDescent="0.3">
      <c r="A1509">
        <v>717</v>
      </c>
      <c r="B1509" t="s">
        <v>32</v>
      </c>
      <c r="C1509" s="1">
        <v>45886</v>
      </c>
      <c r="D1509" s="1" t="str">
        <f xml:space="preserve"> TEXT(FilmaxData[[#This Row],[Show_Date]],"MMM")</f>
        <v>Aug</v>
      </c>
      <c r="E1509" s="1" t="str">
        <f xml:space="preserve"> TEXT(FilmaxData[[#This Row],[Show_Date]],"DDD")</f>
        <v>Sun</v>
      </c>
      <c r="F1509" t="s">
        <v>20</v>
      </c>
      <c r="G1509" t="s">
        <v>12</v>
      </c>
      <c r="H1509">
        <v>3</v>
      </c>
      <c r="I1509">
        <v>25</v>
      </c>
      <c r="J1509" t="s">
        <v>13</v>
      </c>
      <c r="K1509" t="s">
        <v>18</v>
      </c>
      <c r="L1509">
        <v>75</v>
      </c>
    </row>
    <row r="1510" spans="1:12" x14ac:dyDescent="0.3">
      <c r="A1510">
        <v>728</v>
      </c>
      <c r="B1510" t="s">
        <v>32</v>
      </c>
      <c r="C1510" s="1">
        <v>45851</v>
      </c>
      <c r="D1510" s="1" t="str">
        <f xml:space="preserve"> TEXT(FilmaxData[[#This Row],[Show_Date]],"MMM")</f>
        <v>Jul</v>
      </c>
      <c r="E1510" s="1" t="str">
        <f xml:space="preserve"> TEXT(FilmaxData[[#This Row],[Show_Date]],"DDD")</f>
        <v>Sun</v>
      </c>
      <c r="F1510" t="s">
        <v>33</v>
      </c>
      <c r="G1510" t="s">
        <v>17</v>
      </c>
      <c r="H1510">
        <v>4</v>
      </c>
      <c r="I1510">
        <v>12</v>
      </c>
      <c r="J1510" t="s">
        <v>23</v>
      </c>
      <c r="K1510" t="s">
        <v>25</v>
      </c>
      <c r="L1510">
        <v>48</v>
      </c>
    </row>
    <row r="1511" spans="1:12" x14ac:dyDescent="0.3">
      <c r="A1511">
        <v>712</v>
      </c>
      <c r="B1511" t="s">
        <v>26</v>
      </c>
      <c r="C1511" s="1">
        <v>45858</v>
      </c>
      <c r="D1511" s="1" t="str">
        <f xml:space="preserve"> TEXT(FilmaxData[[#This Row],[Show_Date]],"MMM")</f>
        <v>Jul</v>
      </c>
      <c r="E1511" s="1" t="str">
        <f xml:space="preserve"> TEXT(FilmaxData[[#This Row],[Show_Date]],"DDD")</f>
        <v>Sun</v>
      </c>
      <c r="F1511" t="s">
        <v>11</v>
      </c>
      <c r="G1511" t="s">
        <v>12</v>
      </c>
      <c r="H1511">
        <v>2</v>
      </c>
      <c r="I1511">
        <v>25</v>
      </c>
      <c r="J1511" t="s">
        <v>21</v>
      </c>
      <c r="K1511" t="s">
        <v>18</v>
      </c>
      <c r="L1511">
        <v>50</v>
      </c>
    </row>
    <row r="1512" spans="1:12" x14ac:dyDescent="0.3">
      <c r="A1512">
        <v>1933</v>
      </c>
      <c r="B1512" t="s">
        <v>24</v>
      </c>
      <c r="C1512" s="1">
        <v>45911</v>
      </c>
      <c r="D1512" s="1" t="str">
        <f xml:space="preserve"> TEXT(FilmaxData[[#This Row],[Show_Date]],"MMM")</f>
        <v>Sep</v>
      </c>
      <c r="E1512" s="1" t="str">
        <f xml:space="preserve"> TEXT(FilmaxData[[#This Row],[Show_Date]],"DDD")</f>
        <v>Thu</v>
      </c>
      <c r="F1512" t="s">
        <v>33</v>
      </c>
      <c r="G1512" t="s">
        <v>12</v>
      </c>
      <c r="H1512">
        <v>3</v>
      </c>
      <c r="I1512">
        <v>25</v>
      </c>
      <c r="J1512" t="s">
        <v>13</v>
      </c>
      <c r="K1512" t="s">
        <v>25</v>
      </c>
      <c r="L1512">
        <v>75</v>
      </c>
    </row>
    <row r="1513" spans="1:12" x14ac:dyDescent="0.3">
      <c r="A1513">
        <v>886</v>
      </c>
      <c r="B1513" t="s">
        <v>15</v>
      </c>
      <c r="C1513" s="1">
        <v>45888</v>
      </c>
      <c r="D1513" s="1" t="str">
        <f xml:space="preserve"> TEXT(FilmaxData[[#This Row],[Show_Date]],"MMM")</f>
        <v>Aug</v>
      </c>
      <c r="E1513" s="1" t="str">
        <f xml:space="preserve"> TEXT(FilmaxData[[#This Row],[Show_Date]],"DDD")</f>
        <v>Tue</v>
      </c>
      <c r="F1513" t="s">
        <v>33</v>
      </c>
      <c r="G1513" t="s">
        <v>29</v>
      </c>
      <c r="H1513">
        <v>2</v>
      </c>
      <c r="I1513">
        <v>30</v>
      </c>
      <c r="J1513" t="s">
        <v>13</v>
      </c>
      <c r="K1513" t="s">
        <v>25</v>
      </c>
      <c r="L1513">
        <v>60</v>
      </c>
    </row>
    <row r="1514" spans="1:12" x14ac:dyDescent="0.3">
      <c r="A1514">
        <v>753</v>
      </c>
      <c r="B1514" t="s">
        <v>26</v>
      </c>
      <c r="C1514" s="1">
        <v>45910</v>
      </c>
      <c r="D1514" s="1" t="str">
        <f xml:space="preserve"> TEXT(FilmaxData[[#This Row],[Show_Date]],"MMM")</f>
        <v>Sep</v>
      </c>
      <c r="E1514" s="1" t="str">
        <f xml:space="preserve"> TEXT(FilmaxData[[#This Row],[Show_Date]],"DDD")</f>
        <v>Wed</v>
      </c>
      <c r="F1514" t="s">
        <v>11</v>
      </c>
      <c r="G1514" t="s">
        <v>17</v>
      </c>
      <c r="H1514">
        <v>3</v>
      </c>
      <c r="I1514">
        <v>12</v>
      </c>
      <c r="J1514" t="s">
        <v>13</v>
      </c>
      <c r="K1514" t="s">
        <v>14</v>
      </c>
      <c r="L1514">
        <v>36</v>
      </c>
    </row>
    <row r="1515" spans="1:12" x14ac:dyDescent="0.3">
      <c r="A1515">
        <v>1234</v>
      </c>
      <c r="B1515" t="s">
        <v>24</v>
      </c>
      <c r="C1515" s="1">
        <v>45844</v>
      </c>
      <c r="D1515" s="1" t="str">
        <f xml:space="preserve"> TEXT(FilmaxData[[#This Row],[Show_Date]],"MMM")</f>
        <v>Jul</v>
      </c>
      <c r="E1515" s="1" t="str">
        <f xml:space="preserve"> TEXT(FilmaxData[[#This Row],[Show_Date]],"DDD")</f>
        <v>Sun</v>
      </c>
      <c r="F1515" t="s">
        <v>16</v>
      </c>
      <c r="G1515" t="s">
        <v>17</v>
      </c>
      <c r="H1515">
        <v>3</v>
      </c>
      <c r="I1515">
        <v>12</v>
      </c>
      <c r="J1515" t="s">
        <v>23</v>
      </c>
      <c r="K1515" t="s">
        <v>25</v>
      </c>
      <c r="L1515">
        <v>36</v>
      </c>
    </row>
    <row r="1516" spans="1:12" x14ac:dyDescent="0.3">
      <c r="A1516">
        <v>1330</v>
      </c>
      <c r="B1516" t="s">
        <v>15</v>
      </c>
      <c r="C1516" s="1">
        <v>45924</v>
      </c>
      <c r="D1516" s="1" t="str">
        <f xml:space="preserve"> TEXT(FilmaxData[[#This Row],[Show_Date]],"MMM")</f>
        <v>Sep</v>
      </c>
      <c r="E1516" s="1" t="str">
        <f xml:space="preserve"> TEXT(FilmaxData[[#This Row],[Show_Date]],"DDD")</f>
        <v>Wed</v>
      </c>
      <c r="F1516" t="s">
        <v>16</v>
      </c>
      <c r="G1516" t="s">
        <v>30</v>
      </c>
      <c r="H1516">
        <v>5</v>
      </c>
      <c r="I1516">
        <v>8</v>
      </c>
      <c r="J1516" t="s">
        <v>13</v>
      </c>
      <c r="K1516" t="s">
        <v>25</v>
      </c>
      <c r="L1516">
        <v>40</v>
      </c>
    </row>
    <row r="1517" spans="1:12" x14ac:dyDescent="0.3">
      <c r="A1517">
        <v>1297</v>
      </c>
      <c r="B1517" t="s">
        <v>32</v>
      </c>
      <c r="C1517" s="1">
        <v>45912</v>
      </c>
      <c r="D1517" s="1" t="str">
        <f xml:space="preserve"> TEXT(FilmaxData[[#This Row],[Show_Date]],"MMM")</f>
        <v>Sep</v>
      </c>
      <c r="E1517" s="1" t="str">
        <f xml:space="preserve"> TEXT(FilmaxData[[#This Row],[Show_Date]],"DDD")</f>
        <v>Fri</v>
      </c>
      <c r="F1517" t="s">
        <v>20</v>
      </c>
      <c r="G1517" t="s">
        <v>12</v>
      </c>
      <c r="H1517">
        <v>4</v>
      </c>
      <c r="I1517">
        <v>25</v>
      </c>
      <c r="J1517" t="s">
        <v>13</v>
      </c>
      <c r="K1517" t="s">
        <v>14</v>
      </c>
      <c r="L1517">
        <v>100</v>
      </c>
    </row>
    <row r="1518" spans="1:12" x14ac:dyDescent="0.3">
      <c r="A1518">
        <v>1769</v>
      </c>
      <c r="B1518" t="s">
        <v>28</v>
      </c>
      <c r="C1518" s="1">
        <v>45840</v>
      </c>
      <c r="D1518" s="1" t="str">
        <f xml:space="preserve"> TEXT(FilmaxData[[#This Row],[Show_Date]],"MMM")</f>
        <v>Jul</v>
      </c>
      <c r="E1518" s="1" t="str">
        <f xml:space="preserve"> TEXT(FilmaxData[[#This Row],[Show_Date]],"DDD")</f>
        <v>Wed</v>
      </c>
      <c r="F1518" t="s">
        <v>11</v>
      </c>
      <c r="G1518" t="s">
        <v>17</v>
      </c>
      <c r="H1518">
        <v>2</v>
      </c>
      <c r="I1518">
        <v>12</v>
      </c>
      <c r="J1518" t="s">
        <v>21</v>
      </c>
      <c r="K1518" t="s">
        <v>25</v>
      </c>
      <c r="L1518">
        <v>24</v>
      </c>
    </row>
    <row r="1519" spans="1:12" x14ac:dyDescent="0.3">
      <c r="A1519">
        <v>1340</v>
      </c>
      <c r="B1519" t="s">
        <v>10</v>
      </c>
      <c r="C1519" s="1">
        <v>45844</v>
      </c>
      <c r="D1519" s="1" t="str">
        <f xml:space="preserve"> TEXT(FilmaxData[[#This Row],[Show_Date]],"MMM")</f>
        <v>Jul</v>
      </c>
      <c r="E1519" s="1" t="str">
        <f xml:space="preserve"> TEXT(FilmaxData[[#This Row],[Show_Date]],"DDD")</f>
        <v>Sun</v>
      </c>
      <c r="F1519" t="s">
        <v>33</v>
      </c>
      <c r="G1519" t="s">
        <v>30</v>
      </c>
      <c r="H1519">
        <v>5</v>
      </c>
      <c r="I1519">
        <v>8</v>
      </c>
      <c r="J1519" t="s">
        <v>23</v>
      </c>
      <c r="K1519" t="s">
        <v>18</v>
      </c>
      <c r="L1519">
        <v>40</v>
      </c>
    </row>
    <row r="1520" spans="1:12" x14ac:dyDescent="0.3">
      <c r="A1520">
        <v>10</v>
      </c>
      <c r="B1520" t="s">
        <v>26</v>
      </c>
      <c r="C1520" s="1">
        <v>45848</v>
      </c>
      <c r="D1520" s="1" t="str">
        <f xml:space="preserve"> TEXT(FilmaxData[[#This Row],[Show_Date]],"MMM")</f>
        <v>Jul</v>
      </c>
      <c r="E1520" s="1" t="str">
        <f xml:space="preserve"> TEXT(FilmaxData[[#This Row],[Show_Date]],"DDD")</f>
        <v>Thu</v>
      </c>
      <c r="F1520" t="s">
        <v>33</v>
      </c>
      <c r="G1520" t="s">
        <v>17</v>
      </c>
      <c r="H1520">
        <v>2</v>
      </c>
      <c r="I1520">
        <v>12</v>
      </c>
      <c r="J1520" t="s">
        <v>21</v>
      </c>
      <c r="K1520" t="s">
        <v>14</v>
      </c>
      <c r="L1520">
        <v>24</v>
      </c>
    </row>
    <row r="1521" spans="1:12" x14ac:dyDescent="0.3">
      <c r="A1521">
        <v>1540</v>
      </c>
      <c r="B1521" t="s">
        <v>15</v>
      </c>
      <c r="C1521" s="1">
        <v>45864</v>
      </c>
      <c r="D1521" s="1" t="str">
        <f xml:space="preserve"> TEXT(FilmaxData[[#This Row],[Show_Date]],"MMM")</f>
        <v>Jul</v>
      </c>
      <c r="E1521" s="1" t="str">
        <f xml:space="preserve"> TEXT(FilmaxData[[#This Row],[Show_Date]],"DDD")</f>
        <v>Sat</v>
      </c>
      <c r="F1521" t="s">
        <v>33</v>
      </c>
      <c r="G1521" t="s">
        <v>17</v>
      </c>
      <c r="H1521">
        <v>2</v>
      </c>
      <c r="I1521">
        <v>12</v>
      </c>
      <c r="J1521" t="s">
        <v>21</v>
      </c>
      <c r="K1521" t="s">
        <v>18</v>
      </c>
      <c r="L1521">
        <v>24</v>
      </c>
    </row>
    <row r="1522" spans="1:12" x14ac:dyDescent="0.3">
      <c r="A1522">
        <v>122</v>
      </c>
      <c r="B1522" t="s">
        <v>15</v>
      </c>
      <c r="C1522" s="1">
        <v>45918</v>
      </c>
      <c r="D1522" s="1" t="str">
        <f xml:space="preserve"> TEXT(FilmaxData[[#This Row],[Show_Date]],"MMM")</f>
        <v>Sep</v>
      </c>
      <c r="E1522" s="1" t="str">
        <f xml:space="preserve"> TEXT(FilmaxData[[#This Row],[Show_Date]],"DDD")</f>
        <v>Thu</v>
      </c>
      <c r="F1522" t="s">
        <v>16</v>
      </c>
      <c r="G1522" t="s">
        <v>12</v>
      </c>
      <c r="H1522">
        <v>2</v>
      </c>
      <c r="I1522">
        <v>25</v>
      </c>
      <c r="J1522" t="s">
        <v>21</v>
      </c>
      <c r="K1522" t="s">
        <v>18</v>
      </c>
      <c r="L1522">
        <v>50</v>
      </c>
    </row>
    <row r="1523" spans="1:12" x14ac:dyDescent="0.3">
      <c r="A1523">
        <v>1277</v>
      </c>
      <c r="B1523" t="s">
        <v>24</v>
      </c>
      <c r="C1523" s="1">
        <v>45867</v>
      </c>
      <c r="D1523" s="1" t="str">
        <f xml:space="preserve"> TEXT(FilmaxData[[#This Row],[Show_Date]],"MMM")</f>
        <v>Jul</v>
      </c>
      <c r="E1523" s="1" t="str">
        <f xml:space="preserve"> TEXT(FilmaxData[[#This Row],[Show_Date]],"DDD")</f>
        <v>Tue</v>
      </c>
      <c r="F1523" t="s">
        <v>33</v>
      </c>
      <c r="G1523" t="s">
        <v>22</v>
      </c>
      <c r="H1523">
        <v>2</v>
      </c>
      <c r="I1523">
        <v>20</v>
      </c>
      <c r="J1523" t="s">
        <v>23</v>
      </c>
      <c r="K1523" t="s">
        <v>14</v>
      </c>
      <c r="L1523">
        <v>40</v>
      </c>
    </row>
    <row r="1524" spans="1:12" x14ac:dyDescent="0.3">
      <c r="A1524">
        <v>1688</v>
      </c>
      <c r="B1524" t="s">
        <v>24</v>
      </c>
      <c r="C1524" s="1">
        <v>45885</v>
      </c>
      <c r="D1524" s="1" t="str">
        <f xml:space="preserve"> TEXT(FilmaxData[[#This Row],[Show_Date]],"MMM")</f>
        <v>Aug</v>
      </c>
      <c r="E1524" s="1" t="str">
        <f xml:space="preserve"> TEXT(FilmaxData[[#This Row],[Show_Date]],"DDD")</f>
        <v>Sat</v>
      </c>
      <c r="F1524" t="s">
        <v>20</v>
      </c>
      <c r="G1524" t="s">
        <v>17</v>
      </c>
      <c r="H1524">
        <v>1</v>
      </c>
      <c r="I1524">
        <v>12</v>
      </c>
      <c r="J1524" t="s">
        <v>21</v>
      </c>
      <c r="K1524" t="s">
        <v>14</v>
      </c>
      <c r="L1524">
        <v>12</v>
      </c>
    </row>
    <row r="1525" spans="1:12" x14ac:dyDescent="0.3">
      <c r="A1525">
        <v>632</v>
      </c>
      <c r="B1525" t="s">
        <v>31</v>
      </c>
      <c r="C1525" s="1">
        <v>45874</v>
      </c>
      <c r="D1525" s="1" t="str">
        <f xml:space="preserve"> TEXT(FilmaxData[[#This Row],[Show_Date]],"MMM")</f>
        <v>Aug</v>
      </c>
      <c r="E1525" s="1" t="str">
        <f xml:space="preserve"> TEXT(FilmaxData[[#This Row],[Show_Date]],"DDD")</f>
        <v>Tue</v>
      </c>
      <c r="F1525" t="s">
        <v>11</v>
      </c>
      <c r="G1525" t="s">
        <v>30</v>
      </c>
      <c r="H1525">
        <v>2</v>
      </c>
      <c r="I1525">
        <v>8</v>
      </c>
      <c r="J1525" t="s">
        <v>23</v>
      </c>
      <c r="K1525" t="s">
        <v>18</v>
      </c>
      <c r="L1525">
        <v>16</v>
      </c>
    </row>
    <row r="1526" spans="1:12" x14ac:dyDescent="0.3">
      <c r="A1526">
        <v>1441</v>
      </c>
      <c r="B1526" t="s">
        <v>24</v>
      </c>
      <c r="C1526" s="1">
        <v>45873</v>
      </c>
      <c r="D1526" s="1" t="str">
        <f xml:space="preserve"> TEXT(FilmaxData[[#This Row],[Show_Date]],"MMM")</f>
        <v>Aug</v>
      </c>
      <c r="E1526" s="1" t="str">
        <f xml:space="preserve"> TEXT(FilmaxData[[#This Row],[Show_Date]],"DDD")</f>
        <v>Mon</v>
      </c>
      <c r="F1526" t="s">
        <v>11</v>
      </c>
      <c r="G1526" t="s">
        <v>17</v>
      </c>
      <c r="H1526">
        <v>2</v>
      </c>
      <c r="I1526">
        <v>12</v>
      </c>
      <c r="J1526" t="s">
        <v>23</v>
      </c>
      <c r="K1526" t="s">
        <v>27</v>
      </c>
      <c r="L1526">
        <v>24</v>
      </c>
    </row>
    <row r="1527" spans="1:12" x14ac:dyDescent="0.3">
      <c r="A1527">
        <v>1292</v>
      </c>
      <c r="B1527" t="s">
        <v>15</v>
      </c>
      <c r="C1527" s="1">
        <v>45913</v>
      </c>
      <c r="D1527" s="1" t="str">
        <f xml:space="preserve"> TEXT(FilmaxData[[#This Row],[Show_Date]],"MMM")</f>
        <v>Sep</v>
      </c>
      <c r="E1527" s="1" t="str">
        <f xml:space="preserve"> TEXT(FilmaxData[[#This Row],[Show_Date]],"DDD")</f>
        <v>Sat</v>
      </c>
      <c r="F1527" t="s">
        <v>16</v>
      </c>
      <c r="G1527" t="s">
        <v>22</v>
      </c>
      <c r="H1527">
        <v>4</v>
      </c>
      <c r="I1527">
        <v>20</v>
      </c>
      <c r="J1527" t="s">
        <v>21</v>
      </c>
      <c r="K1527" t="s">
        <v>18</v>
      </c>
      <c r="L1527">
        <v>80</v>
      </c>
    </row>
    <row r="1528" spans="1:12" x14ac:dyDescent="0.3">
      <c r="A1528">
        <v>824</v>
      </c>
      <c r="B1528" t="s">
        <v>28</v>
      </c>
      <c r="C1528" s="1">
        <v>45900</v>
      </c>
      <c r="D1528" s="1" t="str">
        <f xml:space="preserve"> TEXT(FilmaxData[[#This Row],[Show_Date]],"MMM")</f>
        <v>Aug</v>
      </c>
      <c r="E1528" s="1" t="str">
        <f xml:space="preserve"> TEXT(FilmaxData[[#This Row],[Show_Date]],"DDD")</f>
        <v>Sun</v>
      </c>
      <c r="F1528" t="s">
        <v>16</v>
      </c>
      <c r="G1528" t="s">
        <v>17</v>
      </c>
      <c r="H1528">
        <v>2</v>
      </c>
      <c r="I1528">
        <v>12</v>
      </c>
      <c r="J1528" t="s">
        <v>21</v>
      </c>
      <c r="K1528" t="s">
        <v>18</v>
      </c>
      <c r="L1528">
        <v>24</v>
      </c>
    </row>
    <row r="1529" spans="1:12" x14ac:dyDescent="0.3">
      <c r="A1529">
        <v>1847</v>
      </c>
      <c r="B1529" t="s">
        <v>19</v>
      </c>
      <c r="C1529" s="1">
        <v>45870</v>
      </c>
      <c r="D1529" s="1" t="str">
        <f xml:space="preserve"> TEXT(FilmaxData[[#This Row],[Show_Date]],"MMM")</f>
        <v>Aug</v>
      </c>
      <c r="E1529" s="1" t="str">
        <f xml:space="preserve"> TEXT(FilmaxData[[#This Row],[Show_Date]],"DDD")</f>
        <v>Fri</v>
      </c>
      <c r="F1529" t="s">
        <v>16</v>
      </c>
      <c r="G1529" t="s">
        <v>29</v>
      </c>
      <c r="H1529">
        <v>1</v>
      </c>
      <c r="I1529">
        <v>30</v>
      </c>
      <c r="J1529" t="s">
        <v>23</v>
      </c>
      <c r="K1529" t="s">
        <v>27</v>
      </c>
      <c r="L1529">
        <v>30</v>
      </c>
    </row>
    <row r="1530" spans="1:12" x14ac:dyDescent="0.3">
      <c r="A1530">
        <v>1876</v>
      </c>
      <c r="B1530" t="s">
        <v>19</v>
      </c>
      <c r="C1530" s="1">
        <v>45927</v>
      </c>
      <c r="D1530" s="1" t="str">
        <f xml:space="preserve"> TEXT(FilmaxData[[#This Row],[Show_Date]],"MMM")</f>
        <v>Sep</v>
      </c>
      <c r="E1530" s="1" t="str">
        <f xml:space="preserve"> TEXT(FilmaxData[[#This Row],[Show_Date]],"DDD")</f>
        <v>Sat</v>
      </c>
      <c r="F1530" t="s">
        <v>11</v>
      </c>
      <c r="G1530" t="s">
        <v>17</v>
      </c>
      <c r="H1530">
        <v>1</v>
      </c>
      <c r="I1530">
        <v>12</v>
      </c>
      <c r="J1530" t="s">
        <v>21</v>
      </c>
      <c r="K1530" t="s">
        <v>18</v>
      </c>
      <c r="L1530">
        <v>12</v>
      </c>
    </row>
    <row r="1531" spans="1:12" x14ac:dyDescent="0.3">
      <c r="A1531">
        <v>1107</v>
      </c>
      <c r="B1531" t="s">
        <v>15</v>
      </c>
      <c r="C1531" s="1">
        <v>45866</v>
      </c>
      <c r="D1531" s="1" t="str">
        <f xml:space="preserve"> TEXT(FilmaxData[[#This Row],[Show_Date]],"MMM")</f>
        <v>Jul</v>
      </c>
      <c r="E1531" s="1" t="str">
        <f xml:space="preserve"> TEXT(FilmaxData[[#This Row],[Show_Date]],"DDD")</f>
        <v>Mon</v>
      </c>
      <c r="F1531" t="s">
        <v>20</v>
      </c>
      <c r="G1531" t="s">
        <v>30</v>
      </c>
      <c r="H1531">
        <v>1</v>
      </c>
      <c r="I1531">
        <v>8</v>
      </c>
      <c r="J1531" t="s">
        <v>23</v>
      </c>
      <c r="K1531" t="s">
        <v>18</v>
      </c>
      <c r="L1531">
        <v>8</v>
      </c>
    </row>
    <row r="1532" spans="1:12" x14ac:dyDescent="0.3">
      <c r="A1532">
        <v>1975</v>
      </c>
      <c r="B1532" t="s">
        <v>26</v>
      </c>
      <c r="C1532" s="1">
        <v>45907</v>
      </c>
      <c r="D1532" s="1" t="str">
        <f xml:space="preserve"> TEXT(FilmaxData[[#This Row],[Show_Date]],"MMM")</f>
        <v>Sep</v>
      </c>
      <c r="E1532" s="1" t="str">
        <f xml:space="preserve"> TEXT(FilmaxData[[#This Row],[Show_Date]],"DDD")</f>
        <v>Sun</v>
      </c>
      <c r="F1532" t="s">
        <v>20</v>
      </c>
      <c r="G1532" t="s">
        <v>17</v>
      </c>
      <c r="H1532">
        <v>3</v>
      </c>
      <c r="I1532">
        <v>12</v>
      </c>
      <c r="J1532" t="s">
        <v>21</v>
      </c>
      <c r="K1532" t="s">
        <v>25</v>
      </c>
      <c r="L1532">
        <v>36</v>
      </c>
    </row>
    <row r="1533" spans="1:12" x14ac:dyDescent="0.3">
      <c r="A1533">
        <v>249</v>
      </c>
      <c r="B1533" t="s">
        <v>24</v>
      </c>
      <c r="C1533" s="1">
        <v>45850</v>
      </c>
      <c r="D1533" s="1" t="str">
        <f xml:space="preserve"> TEXT(FilmaxData[[#This Row],[Show_Date]],"MMM")</f>
        <v>Jul</v>
      </c>
      <c r="E1533" s="1" t="str">
        <f xml:space="preserve"> TEXT(FilmaxData[[#This Row],[Show_Date]],"DDD")</f>
        <v>Sat</v>
      </c>
      <c r="F1533" t="s">
        <v>16</v>
      </c>
      <c r="G1533" t="s">
        <v>12</v>
      </c>
      <c r="H1533">
        <v>5</v>
      </c>
      <c r="I1533">
        <v>25</v>
      </c>
      <c r="J1533" t="s">
        <v>23</v>
      </c>
      <c r="K1533" t="s">
        <v>25</v>
      </c>
      <c r="L1533">
        <v>125</v>
      </c>
    </row>
    <row r="1534" spans="1:12" x14ac:dyDescent="0.3">
      <c r="A1534">
        <v>472</v>
      </c>
      <c r="B1534" t="s">
        <v>19</v>
      </c>
      <c r="C1534" s="1">
        <v>45914</v>
      </c>
      <c r="D1534" s="1" t="str">
        <f xml:space="preserve"> TEXT(FilmaxData[[#This Row],[Show_Date]],"MMM")</f>
        <v>Sep</v>
      </c>
      <c r="E1534" s="1" t="str">
        <f xml:space="preserve"> TEXT(FilmaxData[[#This Row],[Show_Date]],"DDD")</f>
        <v>Sun</v>
      </c>
      <c r="F1534" t="s">
        <v>20</v>
      </c>
      <c r="G1534" t="s">
        <v>29</v>
      </c>
      <c r="H1534">
        <v>2</v>
      </c>
      <c r="I1534">
        <v>30</v>
      </c>
      <c r="J1534" t="s">
        <v>21</v>
      </c>
      <c r="K1534" t="s">
        <v>14</v>
      </c>
      <c r="L1534">
        <v>60</v>
      </c>
    </row>
    <row r="1535" spans="1:12" x14ac:dyDescent="0.3">
      <c r="A1535">
        <v>341</v>
      </c>
      <c r="B1535" t="s">
        <v>32</v>
      </c>
      <c r="C1535" s="1">
        <v>45892</v>
      </c>
      <c r="D1535" s="1" t="str">
        <f xml:space="preserve"> TEXT(FilmaxData[[#This Row],[Show_Date]],"MMM")</f>
        <v>Aug</v>
      </c>
      <c r="E1535" s="1" t="str">
        <f xml:space="preserve"> TEXT(FilmaxData[[#This Row],[Show_Date]],"DDD")</f>
        <v>Sat</v>
      </c>
      <c r="F1535" t="s">
        <v>20</v>
      </c>
      <c r="G1535" t="s">
        <v>30</v>
      </c>
      <c r="H1535">
        <v>2</v>
      </c>
      <c r="I1535">
        <v>8</v>
      </c>
      <c r="J1535" t="s">
        <v>13</v>
      </c>
      <c r="K1535" t="s">
        <v>27</v>
      </c>
      <c r="L1535">
        <v>16</v>
      </c>
    </row>
    <row r="1536" spans="1:12" x14ac:dyDescent="0.3">
      <c r="A1536">
        <v>491</v>
      </c>
      <c r="B1536" t="s">
        <v>19</v>
      </c>
      <c r="C1536" s="1">
        <v>45902</v>
      </c>
      <c r="D1536" s="1" t="str">
        <f xml:space="preserve"> TEXT(FilmaxData[[#This Row],[Show_Date]],"MMM")</f>
        <v>Sep</v>
      </c>
      <c r="E1536" s="1" t="str">
        <f xml:space="preserve"> TEXT(FilmaxData[[#This Row],[Show_Date]],"DDD")</f>
        <v>Tue</v>
      </c>
      <c r="F1536" t="s">
        <v>11</v>
      </c>
      <c r="G1536" t="s">
        <v>17</v>
      </c>
      <c r="H1536">
        <v>4</v>
      </c>
      <c r="I1536">
        <v>12</v>
      </c>
      <c r="J1536" t="s">
        <v>21</v>
      </c>
      <c r="K1536" t="s">
        <v>25</v>
      </c>
      <c r="L1536">
        <v>48</v>
      </c>
    </row>
    <row r="1537" spans="1:12" x14ac:dyDescent="0.3">
      <c r="A1537">
        <v>563</v>
      </c>
      <c r="B1537" t="s">
        <v>28</v>
      </c>
      <c r="C1537" s="1">
        <v>45882</v>
      </c>
      <c r="D1537" s="1" t="str">
        <f xml:space="preserve"> TEXT(FilmaxData[[#This Row],[Show_Date]],"MMM")</f>
        <v>Aug</v>
      </c>
      <c r="E1537" s="1" t="str">
        <f xml:space="preserve"> TEXT(FilmaxData[[#This Row],[Show_Date]],"DDD")</f>
        <v>Wed</v>
      </c>
      <c r="F1537" t="s">
        <v>16</v>
      </c>
      <c r="G1537" t="s">
        <v>17</v>
      </c>
      <c r="H1537">
        <v>3</v>
      </c>
      <c r="I1537">
        <v>12</v>
      </c>
      <c r="J1537" t="s">
        <v>23</v>
      </c>
      <c r="K1537" t="s">
        <v>18</v>
      </c>
      <c r="L1537">
        <v>36</v>
      </c>
    </row>
    <row r="1538" spans="1:12" x14ac:dyDescent="0.3">
      <c r="A1538">
        <v>1032</v>
      </c>
      <c r="B1538" t="s">
        <v>19</v>
      </c>
      <c r="C1538" s="1">
        <v>45877</v>
      </c>
      <c r="D1538" s="1" t="str">
        <f xml:space="preserve"> TEXT(FilmaxData[[#This Row],[Show_Date]],"MMM")</f>
        <v>Aug</v>
      </c>
      <c r="E1538" s="1" t="str">
        <f xml:space="preserve"> TEXT(FilmaxData[[#This Row],[Show_Date]],"DDD")</f>
        <v>Fri</v>
      </c>
      <c r="F1538" t="s">
        <v>16</v>
      </c>
      <c r="G1538" t="s">
        <v>17</v>
      </c>
      <c r="H1538">
        <v>1</v>
      </c>
      <c r="I1538">
        <v>12</v>
      </c>
      <c r="J1538" t="s">
        <v>21</v>
      </c>
      <c r="K1538" t="s">
        <v>14</v>
      </c>
      <c r="L1538">
        <v>12</v>
      </c>
    </row>
    <row r="1539" spans="1:12" x14ac:dyDescent="0.3">
      <c r="A1539">
        <v>1959</v>
      </c>
      <c r="B1539" t="s">
        <v>15</v>
      </c>
      <c r="C1539" s="1">
        <v>45906</v>
      </c>
      <c r="D1539" s="1" t="str">
        <f xml:space="preserve"> TEXT(FilmaxData[[#This Row],[Show_Date]],"MMM")</f>
        <v>Sep</v>
      </c>
      <c r="E1539" s="1" t="str">
        <f xml:space="preserve"> TEXT(FilmaxData[[#This Row],[Show_Date]],"DDD")</f>
        <v>Sat</v>
      </c>
      <c r="F1539" t="s">
        <v>33</v>
      </c>
      <c r="G1539" t="s">
        <v>17</v>
      </c>
      <c r="H1539">
        <v>4</v>
      </c>
      <c r="I1539">
        <v>12</v>
      </c>
      <c r="J1539" t="s">
        <v>23</v>
      </c>
      <c r="K1539" t="s">
        <v>14</v>
      </c>
      <c r="L1539">
        <v>48</v>
      </c>
    </row>
    <row r="1540" spans="1:12" x14ac:dyDescent="0.3">
      <c r="A1540">
        <v>953</v>
      </c>
      <c r="B1540" t="s">
        <v>15</v>
      </c>
      <c r="C1540" s="1">
        <v>45917</v>
      </c>
      <c r="D1540" s="1" t="str">
        <f xml:space="preserve"> TEXT(FilmaxData[[#This Row],[Show_Date]],"MMM")</f>
        <v>Sep</v>
      </c>
      <c r="E1540" s="1" t="str">
        <f xml:space="preserve"> TEXT(FilmaxData[[#This Row],[Show_Date]],"DDD")</f>
        <v>Wed</v>
      </c>
      <c r="F1540" t="s">
        <v>20</v>
      </c>
      <c r="G1540" t="s">
        <v>30</v>
      </c>
      <c r="H1540">
        <v>4</v>
      </c>
      <c r="I1540">
        <v>8</v>
      </c>
      <c r="J1540" t="s">
        <v>23</v>
      </c>
      <c r="K1540" t="s">
        <v>18</v>
      </c>
      <c r="L1540">
        <v>32</v>
      </c>
    </row>
    <row r="1541" spans="1:12" x14ac:dyDescent="0.3">
      <c r="A1541">
        <v>892</v>
      </c>
      <c r="B1541" t="s">
        <v>28</v>
      </c>
      <c r="C1541" s="1">
        <v>45873</v>
      </c>
      <c r="D1541" s="1" t="str">
        <f xml:space="preserve"> TEXT(FilmaxData[[#This Row],[Show_Date]],"MMM")</f>
        <v>Aug</v>
      </c>
      <c r="E1541" s="1" t="str">
        <f xml:space="preserve"> TEXT(FilmaxData[[#This Row],[Show_Date]],"DDD")</f>
        <v>Mon</v>
      </c>
      <c r="F1541" t="s">
        <v>11</v>
      </c>
      <c r="G1541" t="s">
        <v>30</v>
      </c>
      <c r="H1541">
        <v>5</v>
      </c>
      <c r="I1541">
        <v>8</v>
      </c>
      <c r="J1541" t="s">
        <v>13</v>
      </c>
      <c r="K1541" t="s">
        <v>14</v>
      </c>
      <c r="L1541">
        <v>40</v>
      </c>
    </row>
    <row r="1542" spans="1:12" x14ac:dyDescent="0.3">
      <c r="A1542">
        <v>823</v>
      </c>
      <c r="B1542" t="s">
        <v>10</v>
      </c>
      <c r="C1542" s="1">
        <v>45864</v>
      </c>
      <c r="D1542" s="1" t="str">
        <f xml:space="preserve"> TEXT(FilmaxData[[#This Row],[Show_Date]],"MMM")</f>
        <v>Jul</v>
      </c>
      <c r="E1542" s="1" t="str">
        <f xml:space="preserve"> TEXT(FilmaxData[[#This Row],[Show_Date]],"DDD")</f>
        <v>Sat</v>
      </c>
      <c r="F1542" t="s">
        <v>33</v>
      </c>
      <c r="G1542" t="s">
        <v>12</v>
      </c>
      <c r="H1542">
        <v>3</v>
      </c>
      <c r="I1542">
        <v>25</v>
      </c>
      <c r="J1542" t="s">
        <v>13</v>
      </c>
      <c r="K1542" t="s">
        <v>27</v>
      </c>
      <c r="L1542">
        <v>75</v>
      </c>
    </row>
    <row r="1543" spans="1:12" x14ac:dyDescent="0.3">
      <c r="A1543">
        <v>915</v>
      </c>
      <c r="B1543" t="s">
        <v>31</v>
      </c>
      <c r="C1543" s="1">
        <v>45917</v>
      </c>
      <c r="D1543" s="1" t="str">
        <f xml:space="preserve"> TEXT(FilmaxData[[#This Row],[Show_Date]],"MMM")</f>
        <v>Sep</v>
      </c>
      <c r="E1543" s="1" t="str">
        <f xml:space="preserve"> TEXT(FilmaxData[[#This Row],[Show_Date]],"DDD")</f>
        <v>Wed</v>
      </c>
      <c r="F1543" t="s">
        <v>33</v>
      </c>
      <c r="G1543" t="s">
        <v>17</v>
      </c>
      <c r="H1543">
        <v>4</v>
      </c>
      <c r="I1543">
        <v>12</v>
      </c>
      <c r="J1543" t="s">
        <v>21</v>
      </c>
      <c r="K1543" t="s">
        <v>25</v>
      </c>
      <c r="L1543">
        <v>48</v>
      </c>
    </row>
    <row r="1544" spans="1:12" x14ac:dyDescent="0.3">
      <c r="A1544">
        <v>360</v>
      </c>
      <c r="B1544" t="s">
        <v>32</v>
      </c>
      <c r="C1544" s="1">
        <v>45914</v>
      </c>
      <c r="D1544" s="1" t="str">
        <f xml:space="preserve"> TEXT(FilmaxData[[#This Row],[Show_Date]],"MMM")</f>
        <v>Sep</v>
      </c>
      <c r="E1544" s="1" t="str">
        <f xml:space="preserve"> TEXT(FilmaxData[[#This Row],[Show_Date]],"DDD")</f>
        <v>Sun</v>
      </c>
      <c r="F1544" t="s">
        <v>33</v>
      </c>
      <c r="G1544" t="s">
        <v>17</v>
      </c>
      <c r="H1544">
        <v>3</v>
      </c>
      <c r="I1544">
        <v>12</v>
      </c>
      <c r="J1544" t="s">
        <v>23</v>
      </c>
      <c r="K1544" t="s">
        <v>27</v>
      </c>
      <c r="L1544">
        <v>36</v>
      </c>
    </row>
    <row r="1545" spans="1:12" x14ac:dyDescent="0.3">
      <c r="A1545">
        <v>282</v>
      </c>
      <c r="B1545" t="s">
        <v>31</v>
      </c>
      <c r="C1545" s="1">
        <v>45865</v>
      </c>
      <c r="D1545" s="1" t="str">
        <f xml:space="preserve"> TEXT(FilmaxData[[#This Row],[Show_Date]],"MMM")</f>
        <v>Jul</v>
      </c>
      <c r="E1545" s="1" t="str">
        <f xml:space="preserve"> TEXT(FilmaxData[[#This Row],[Show_Date]],"DDD")</f>
        <v>Sun</v>
      </c>
      <c r="F1545" t="s">
        <v>11</v>
      </c>
      <c r="G1545" t="s">
        <v>17</v>
      </c>
      <c r="H1545">
        <v>2</v>
      </c>
      <c r="I1545">
        <v>12</v>
      </c>
      <c r="J1545" t="s">
        <v>13</v>
      </c>
      <c r="K1545" t="s">
        <v>27</v>
      </c>
      <c r="L1545">
        <v>24</v>
      </c>
    </row>
    <row r="1546" spans="1:12" x14ac:dyDescent="0.3">
      <c r="A1546">
        <v>580</v>
      </c>
      <c r="B1546" t="s">
        <v>26</v>
      </c>
      <c r="C1546" s="1">
        <v>45853</v>
      </c>
      <c r="D1546" s="1" t="str">
        <f xml:space="preserve"> TEXT(FilmaxData[[#This Row],[Show_Date]],"MMM")</f>
        <v>Jul</v>
      </c>
      <c r="E1546" s="1" t="str">
        <f xml:space="preserve"> TEXT(FilmaxData[[#This Row],[Show_Date]],"DDD")</f>
        <v>Tue</v>
      </c>
      <c r="F1546" t="s">
        <v>20</v>
      </c>
      <c r="G1546" t="s">
        <v>12</v>
      </c>
      <c r="H1546">
        <v>3</v>
      </c>
      <c r="I1546">
        <v>25</v>
      </c>
      <c r="J1546" t="s">
        <v>13</v>
      </c>
      <c r="K1546" t="s">
        <v>25</v>
      </c>
      <c r="L1546">
        <v>75</v>
      </c>
    </row>
    <row r="1547" spans="1:12" x14ac:dyDescent="0.3">
      <c r="A1547">
        <v>833</v>
      </c>
      <c r="B1547" t="s">
        <v>32</v>
      </c>
      <c r="C1547" s="1">
        <v>45854</v>
      </c>
      <c r="D1547" s="1" t="str">
        <f xml:space="preserve"> TEXT(FilmaxData[[#This Row],[Show_Date]],"MMM")</f>
        <v>Jul</v>
      </c>
      <c r="E1547" s="1" t="str">
        <f xml:space="preserve"> TEXT(FilmaxData[[#This Row],[Show_Date]],"DDD")</f>
        <v>Wed</v>
      </c>
      <c r="F1547" t="s">
        <v>33</v>
      </c>
      <c r="G1547" t="s">
        <v>17</v>
      </c>
      <c r="H1547">
        <v>3</v>
      </c>
      <c r="I1547">
        <v>12</v>
      </c>
      <c r="J1547" t="s">
        <v>23</v>
      </c>
      <c r="K1547" t="s">
        <v>18</v>
      </c>
      <c r="L1547">
        <v>36</v>
      </c>
    </row>
    <row r="1548" spans="1:12" x14ac:dyDescent="0.3">
      <c r="A1548">
        <v>1600</v>
      </c>
      <c r="B1548" t="s">
        <v>15</v>
      </c>
      <c r="C1548" s="1">
        <v>45890</v>
      </c>
      <c r="D1548" s="1" t="str">
        <f xml:space="preserve"> TEXT(FilmaxData[[#This Row],[Show_Date]],"MMM")</f>
        <v>Aug</v>
      </c>
      <c r="E1548" s="1" t="str">
        <f xml:space="preserve"> TEXT(FilmaxData[[#This Row],[Show_Date]],"DDD")</f>
        <v>Thu</v>
      </c>
      <c r="F1548" t="s">
        <v>33</v>
      </c>
      <c r="G1548" t="s">
        <v>30</v>
      </c>
      <c r="H1548">
        <v>2</v>
      </c>
      <c r="I1548">
        <v>8</v>
      </c>
      <c r="J1548" t="s">
        <v>13</v>
      </c>
      <c r="K1548" t="s">
        <v>27</v>
      </c>
      <c r="L1548">
        <v>16</v>
      </c>
    </row>
    <row r="1549" spans="1:12" x14ac:dyDescent="0.3">
      <c r="A1549">
        <v>1974</v>
      </c>
      <c r="B1549" t="s">
        <v>19</v>
      </c>
      <c r="C1549" s="1">
        <v>45873</v>
      </c>
      <c r="D1549" s="1" t="str">
        <f xml:space="preserve"> TEXT(FilmaxData[[#This Row],[Show_Date]],"MMM")</f>
        <v>Aug</v>
      </c>
      <c r="E1549" s="1" t="str">
        <f xml:space="preserve"> TEXT(FilmaxData[[#This Row],[Show_Date]],"DDD")</f>
        <v>Mon</v>
      </c>
      <c r="F1549" t="s">
        <v>11</v>
      </c>
      <c r="G1549" t="s">
        <v>30</v>
      </c>
      <c r="H1549">
        <v>2</v>
      </c>
      <c r="I1549">
        <v>8</v>
      </c>
      <c r="J1549" t="s">
        <v>13</v>
      </c>
      <c r="K1549" t="s">
        <v>25</v>
      </c>
      <c r="L1549">
        <v>16</v>
      </c>
    </row>
    <row r="1550" spans="1:12" x14ac:dyDescent="0.3">
      <c r="A1550">
        <v>1342</v>
      </c>
      <c r="B1550" t="s">
        <v>19</v>
      </c>
      <c r="C1550" s="1">
        <v>45844</v>
      </c>
      <c r="D1550" s="1" t="str">
        <f xml:space="preserve"> TEXT(FilmaxData[[#This Row],[Show_Date]],"MMM")</f>
        <v>Jul</v>
      </c>
      <c r="E1550" s="1" t="str">
        <f xml:space="preserve"> TEXT(FilmaxData[[#This Row],[Show_Date]],"DDD")</f>
        <v>Sun</v>
      </c>
      <c r="F1550" t="s">
        <v>20</v>
      </c>
      <c r="G1550" t="s">
        <v>12</v>
      </c>
      <c r="H1550">
        <v>1</v>
      </c>
      <c r="I1550">
        <v>25</v>
      </c>
      <c r="J1550" t="s">
        <v>21</v>
      </c>
      <c r="K1550" t="s">
        <v>25</v>
      </c>
      <c r="L1550">
        <v>25</v>
      </c>
    </row>
    <row r="1551" spans="1:12" x14ac:dyDescent="0.3">
      <c r="A1551">
        <v>1915</v>
      </c>
      <c r="B1551" t="s">
        <v>19</v>
      </c>
      <c r="C1551" s="1">
        <v>45864</v>
      </c>
      <c r="D1551" s="1" t="str">
        <f xml:space="preserve"> TEXT(FilmaxData[[#This Row],[Show_Date]],"MMM")</f>
        <v>Jul</v>
      </c>
      <c r="E1551" s="1" t="str">
        <f xml:space="preserve"> TEXT(FilmaxData[[#This Row],[Show_Date]],"DDD")</f>
        <v>Sat</v>
      </c>
      <c r="F1551" t="s">
        <v>33</v>
      </c>
      <c r="G1551" t="s">
        <v>29</v>
      </c>
      <c r="H1551">
        <v>2</v>
      </c>
      <c r="I1551">
        <v>30</v>
      </c>
      <c r="J1551" t="s">
        <v>13</v>
      </c>
      <c r="K1551" t="s">
        <v>27</v>
      </c>
      <c r="L1551">
        <v>60</v>
      </c>
    </row>
    <row r="1552" spans="1:12" x14ac:dyDescent="0.3">
      <c r="A1552">
        <v>863</v>
      </c>
      <c r="B1552" t="s">
        <v>26</v>
      </c>
      <c r="C1552" s="1">
        <v>45856</v>
      </c>
      <c r="D1552" s="1" t="str">
        <f xml:space="preserve"> TEXT(FilmaxData[[#This Row],[Show_Date]],"MMM")</f>
        <v>Jul</v>
      </c>
      <c r="E1552" s="1" t="str">
        <f xml:space="preserve"> TEXT(FilmaxData[[#This Row],[Show_Date]],"DDD")</f>
        <v>Fri</v>
      </c>
      <c r="F1552" t="s">
        <v>11</v>
      </c>
      <c r="G1552" t="s">
        <v>29</v>
      </c>
      <c r="H1552">
        <v>2</v>
      </c>
      <c r="I1552">
        <v>30</v>
      </c>
      <c r="J1552" t="s">
        <v>13</v>
      </c>
      <c r="K1552" t="s">
        <v>27</v>
      </c>
      <c r="L1552">
        <v>60</v>
      </c>
    </row>
    <row r="1553" spans="1:12" x14ac:dyDescent="0.3">
      <c r="A1553">
        <v>695</v>
      </c>
      <c r="B1553" t="s">
        <v>26</v>
      </c>
      <c r="C1553" s="1">
        <v>45925</v>
      </c>
      <c r="D1553" s="1" t="str">
        <f xml:space="preserve"> TEXT(FilmaxData[[#This Row],[Show_Date]],"MMM")</f>
        <v>Sep</v>
      </c>
      <c r="E1553" s="1" t="str">
        <f xml:space="preserve"> TEXT(FilmaxData[[#This Row],[Show_Date]],"DDD")</f>
        <v>Thu</v>
      </c>
      <c r="F1553" t="s">
        <v>16</v>
      </c>
      <c r="G1553" t="s">
        <v>29</v>
      </c>
      <c r="H1553">
        <v>1</v>
      </c>
      <c r="I1553">
        <v>30</v>
      </c>
      <c r="J1553" t="s">
        <v>21</v>
      </c>
      <c r="K1553" t="s">
        <v>18</v>
      </c>
      <c r="L1553">
        <v>30</v>
      </c>
    </row>
    <row r="1554" spans="1:12" x14ac:dyDescent="0.3">
      <c r="A1554">
        <v>54</v>
      </c>
      <c r="B1554" t="s">
        <v>31</v>
      </c>
      <c r="C1554" s="1">
        <v>45902</v>
      </c>
      <c r="D1554" s="1" t="str">
        <f xml:space="preserve"> TEXT(FilmaxData[[#This Row],[Show_Date]],"MMM")</f>
        <v>Sep</v>
      </c>
      <c r="E1554" s="1" t="str">
        <f xml:space="preserve"> TEXT(FilmaxData[[#This Row],[Show_Date]],"DDD")</f>
        <v>Tue</v>
      </c>
      <c r="F1554" t="s">
        <v>16</v>
      </c>
      <c r="G1554" t="s">
        <v>29</v>
      </c>
      <c r="H1554">
        <v>3</v>
      </c>
      <c r="I1554">
        <v>30</v>
      </c>
      <c r="J1554" t="s">
        <v>21</v>
      </c>
      <c r="K1554" t="s">
        <v>27</v>
      </c>
      <c r="L1554">
        <v>90</v>
      </c>
    </row>
    <row r="1555" spans="1:12" x14ac:dyDescent="0.3">
      <c r="A1555">
        <v>1246</v>
      </c>
      <c r="B1555" t="s">
        <v>19</v>
      </c>
      <c r="C1555" s="1">
        <v>45893</v>
      </c>
      <c r="D1555" s="1" t="str">
        <f xml:space="preserve"> TEXT(FilmaxData[[#This Row],[Show_Date]],"MMM")</f>
        <v>Aug</v>
      </c>
      <c r="E1555" s="1" t="str">
        <f xml:space="preserve"> TEXT(FilmaxData[[#This Row],[Show_Date]],"DDD")</f>
        <v>Sun</v>
      </c>
      <c r="F1555" t="s">
        <v>20</v>
      </c>
      <c r="G1555" t="s">
        <v>17</v>
      </c>
      <c r="H1555">
        <v>3</v>
      </c>
      <c r="I1555">
        <v>12</v>
      </c>
      <c r="J1555" t="s">
        <v>23</v>
      </c>
      <c r="K1555" t="s">
        <v>14</v>
      </c>
      <c r="L1555">
        <v>36</v>
      </c>
    </row>
    <row r="1556" spans="1:12" x14ac:dyDescent="0.3">
      <c r="A1556">
        <v>1715</v>
      </c>
      <c r="B1556" t="s">
        <v>10</v>
      </c>
      <c r="C1556" s="1">
        <v>45865</v>
      </c>
      <c r="D1556" s="1" t="str">
        <f xml:space="preserve"> TEXT(FilmaxData[[#This Row],[Show_Date]],"MMM")</f>
        <v>Jul</v>
      </c>
      <c r="E1556" s="1" t="str">
        <f xml:space="preserve"> TEXT(FilmaxData[[#This Row],[Show_Date]],"DDD")</f>
        <v>Sun</v>
      </c>
      <c r="F1556" t="s">
        <v>33</v>
      </c>
      <c r="G1556" t="s">
        <v>29</v>
      </c>
      <c r="H1556">
        <v>4</v>
      </c>
      <c r="I1556">
        <v>30</v>
      </c>
      <c r="J1556" t="s">
        <v>13</v>
      </c>
      <c r="K1556" t="s">
        <v>25</v>
      </c>
      <c r="L1556">
        <v>120</v>
      </c>
    </row>
    <row r="1557" spans="1:12" x14ac:dyDescent="0.3">
      <c r="A1557">
        <v>1321</v>
      </c>
      <c r="B1557" t="s">
        <v>19</v>
      </c>
      <c r="C1557" s="1">
        <v>45885</v>
      </c>
      <c r="D1557" s="1" t="str">
        <f xml:space="preserve"> TEXT(FilmaxData[[#This Row],[Show_Date]],"MMM")</f>
        <v>Aug</v>
      </c>
      <c r="E1557" s="1" t="str">
        <f xml:space="preserve"> TEXT(FilmaxData[[#This Row],[Show_Date]],"DDD")</f>
        <v>Sat</v>
      </c>
      <c r="F1557" t="s">
        <v>16</v>
      </c>
      <c r="G1557" t="s">
        <v>12</v>
      </c>
      <c r="H1557">
        <v>2</v>
      </c>
      <c r="I1557">
        <v>25</v>
      </c>
      <c r="J1557" t="s">
        <v>13</v>
      </c>
      <c r="K1557" t="s">
        <v>25</v>
      </c>
      <c r="L1557">
        <v>50</v>
      </c>
    </row>
    <row r="1558" spans="1:12" x14ac:dyDescent="0.3">
      <c r="A1558">
        <v>881</v>
      </c>
      <c r="B1558" t="s">
        <v>15</v>
      </c>
      <c r="C1558" s="1">
        <v>45877</v>
      </c>
      <c r="D1558" s="1" t="str">
        <f xml:space="preserve"> TEXT(FilmaxData[[#This Row],[Show_Date]],"MMM")</f>
        <v>Aug</v>
      </c>
      <c r="E1558" s="1" t="str">
        <f xml:space="preserve"> TEXT(FilmaxData[[#This Row],[Show_Date]],"DDD")</f>
        <v>Fri</v>
      </c>
      <c r="F1558" t="s">
        <v>20</v>
      </c>
      <c r="G1558" t="s">
        <v>17</v>
      </c>
      <c r="H1558">
        <v>2</v>
      </c>
      <c r="I1558">
        <v>12</v>
      </c>
      <c r="J1558" t="s">
        <v>23</v>
      </c>
      <c r="K1558" t="s">
        <v>25</v>
      </c>
      <c r="L1558">
        <v>24</v>
      </c>
    </row>
    <row r="1559" spans="1:12" x14ac:dyDescent="0.3">
      <c r="A1559">
        <v>1680</v>
      </c>
      <c r="B1559" t="s">
        <v>26</v>
      </c>
      <c r="C1559" s="1">
        <v>45879</v>
      </c>
      <c r="D1559" s="1" t="str">
        <f xml:space="preserve"> TEXT(FilmaxData[[#This Row],[Show_Date]],"MMM")</f>
        <v>Aug</v>
      </c>
      <c r="E1559" s="1" t="str">
        <f xml:space="preserve"> TEXT(FilmaxData[[#This Row],[Show_Date]],"DDD")</f>
        <v>Sun</v>
      </c>
      <c r="F1559" t="s">
        <v>33</v>
      </c>
      <c r="G1559" t="s">
        <v>17</v>
      </c>
      <c r="H1559">
        <v>2</v>
      </c>
      <c r="I1559">
        <v>12</v>
      </c>
      <c r="J1559" t="s">
        <v>21</v>
      </c>
      <c r="K1559" t="s">
        <v>14</v>
      </c>
      <c r="L1559">
        <v>24</v>
      </c>
    </row>
    <row r="1560" spans="1:12" x14ac:dyDescent="0.3">
      <c r="A1560">
        <v>1497</v>
      </c>
      <c r="B1560" t="s">
        <v>19</v>
      </c>
      <c r="C1560" s="1">
        <v>45929</v>
      </c>
      <c r="D1560" s="1" t="str">
        <f xml:space="preserve"> TEXT(FilmaxData[[#This Row],[Show_Date]],"MMM")</f>
        <v>Sep</v>
      </c>
      <c r="E1560" s="1" t="str">
        <f xml:space="preserve"> TEXT(FilmaxData[[#This Row],[Show_Date]],"DDD")</f>
        <v>Mon</v>
      </c>
      <c r="F1560" t="s">
        <v>20</v>
      </c>
      <c r="G1560" t="s">
        <v>22</v>
      </c>
      <c r="H1560">
        <v>5</v>
      </c>
      <c r="I1560">
        <v>20</v>
      </c>
      <c r="J1560" t="s">
        <v>23</v>
      </c>
      <c r="K1560" t="s">
        <v>27</v>
      </c>
      <c r="L1560">
        <v>100</v>
      </c>
    </row>
    <row r="1561" spans="1:12" x14ac:dyDescent="0.3">
      <c r="A1561">
        <v>1250</v>
      </c>
      <c r="B1561" t="s">
        <v>31</v>
      </c>
      <c r="C1561" s="1">
        <v>45878</v>
      </c>
      <c r="D1561" s="1" t="str">
        <f xml:space="preserve"> TEXT(FilmaxData[[#This Row],[Show_Date]],"MMM")</f>
        <v>Aug</v>
      </c>
      <c r="E1561" s="1" t="str">
        <f xml:space="preserve"> TEXT(FilmaxData[[#This Row],[Show_Date]],"DDD")</f>
        <v>Sat</v>
      </c>
      <c r="F1561" t="s">
        <v>33</v>
      </c>
      <c r="G1561" t="s">
        <v>12</v>
      </c>
      <c r="H1561">
        <v>3</v>
      </c>
      <c r="I1561">
        <v>25</v>
      </c>
      <c r="J1561" t="s">
        <v>21</v>
      </c>
      <c r="K1561" t="s">
        <v>25</v>
      </c>
      <c r="L1561">
        <v>75</v>
      </c>
    </row>
    <row r="1562" spans="1:12" x14ac:dyDescent="0.3">
      <c r="A1562">
        <v>1635</v>
      </c>
      <c r="B1562" t="s">
        <v>15</v>
      </c>
      <c r="C1562" s="1">
        <v>45850</v>
      </c>
      <c r="D1562" s="1" t="str">
        <f xml:space="preserve"> TEXT(FilmaxData[[#This Row],[Show_Date]],"MMM")</f>
        <v>Jul</v>
      </c>
      <c r="E1562" s="1" t="str">
        <f xml:space="preserve"> TEXT(FilmaxData[[#This Row],[Show_Date]],"DDD")</f>
        <v>Sat</v>
      </c>
      <c r="F1562" t="s">
        <v>16</v>
      </c>
      <c r="G1562" t="s">
        <v>17</v>
      </c>
      <c r="H1562">
        <v>4</v>
      </c>
      <c r="I1562">
        <v>12</v>
      </c>
      <c r="J1562" t="s">
        <v>23</v>
      </c>
      <c r="K1562" t="s">
        <v>27</v>
      </c>
      <c r="L1562">
        <v>48</v>
      </c>
    </row>
    <row r="1563" spans="1:12" x14ac:dyDescent="0.3">
      <c r="A1563">
        <v>181</v>
      </c>
      <c r="B1563" t="s">
        <v>15</v>
      </c>
      <c r="C1563" s="1">
        <v>45914</v>
      </c>
      <c r="D1563" s="1" t="str">
        <f xml:space="preserve"> TEXT(FilmaxData[[#This Row],[Show_Date]],"MMM")</f>
        <v>Sep</v>
      </c>
      <c r="E1563" s="1" t="str">
        <f xml:space="preserve"> TEXT(FilmaxData[[#This Row],[Show_Date]],"DDD")</f>
        <v>Sun</v>
      </c>
      <c r="F1563" t="s">
        <v>16</v>
      </c>
      <c r="G1563" t="s">
        <v>17</v>
      </c>
      <c r="H1563">
        <v>1</v>
      </c>
      <c r="I1563">
        <v>12</v>
      </c>
      <c r="J1563" t="s">
        <v>23</v>
      </c>
      <c r="K1563" t="s">
        <v>25</v>
      </c>
      <c r="L1563">
        <v>12</v>
      </c>
    </row>
    <row r="1564" spans="1:12" x14ac:dyDescent="0.3">
      <c r="A1564">
        <v>1083</v>
      </c>
      <c r="B1564" t="s">
        <v>15</v>
      </c>
      <c r="C1564" s="1">
        <v>45864</v>
      </c>
      <c r="D1564" s="1" t="str">
        <f xml:space="preserve"> TEXT(FilmaxData[[#This Row],[Show_Date]],"MMM")</f>
        <v>Jul</v>
      </c>
      <c r="E1564" s="1" t="str">
        <f xml:space="preserve"> TEXT(FilmaxData[[#This Row],[Show_Date]],"DDD")</f>
        <v>Sat</v>
      </c>
      <c r="F1564" t="s">
        <v>16</v>
      </c>
      <c r="G1564" t="s">
        <v>17</v>
      </c>
      <c r="H1564">
        <v>2</v>
      </c>
      <c r="I1564">
        <v>12</v>
      </c>
      <c r="J1564" t="s">
        <v>13</v>
      </c>
      <c r="K1564" t="s">
        <v>14</v>
      </c>
      <c r="L1564">
        <v>24</v>
      </c>
    </row>
    <row r="1565" spans="1:12" x14ac:dyDescent="0.3">
      <c r="A1565">
        <v>784</v>
      </c>
      <c r="B1565" t="s">
        <v>31</v>
      </c>
      <c r="C1565" s="1">
        <v>45867</v>
      </c>
      <c r="D1565" s="1" t="str">
        <f xml:space="preserve"> TEXT(FilmaxData[[#This Row],[Show_Date]],"MMM")</f>
        <v>Jul</v>
      </c>
      <c r="E1565" s="1" t="str">
        <f xml:space="preserve"> TEXT(FilmaxData[[#This Row],[Show_Date]],"DDD")</f>
        <v>Tue</v>
      </c>
      <c r="F1565" t="s">
        <v>20</v>
      </c>
      <c r="G1565" t="s">
        <v>30</v>
      </c>
      <c r="H1565">
        <v>3</v>
      </c>
      <c r="I1565">
        <v>8</v>
      </c>
      <c r="J1565" t="s">
        <v>21</v>
      </c>
      <c r="K1565" t="s">
        <v>27</v>
      </c>
      <c r="L1565">
        <v>24</v>
      </c>
    </row>
    <row r="1566" spans="1:12" x14ac:dyDescent="0.3">
      <c r="A1566">
        <v>1390</v>
      </c>
      <c r="B1566" t="s">
        <v>24</v>
      </c>
      <c r="C1566" s="1">
        <v>45874</v>
      </c>
      <c r="D1566" s="1" t="str">
        <f xml:space="preserve"> TEXT(FilmaxData[[#This Row],[Show_Date]],"MMM")</f>
        <v>Aug</v>
      </c>
      <c r="E1566" s="1" t="str">
        <f xml:space="preserve"> TEXT(FilmaxData[[#This Row],[Show_Date]],"DDD")</f>
        <v>Tue</v>
      </c>
      <c r="F1566" t="s">
        <v>20</v>
      </c>
      <c r="G1566" t="s">
        <v>30</v>
      </c>
      <c r="H1566">
        <v>1</v>
      </c>
      <c r="I1566">
        <v>8</v>
      </c>
      <c r="J1566" t="s">
        <v>21</v>
      </c>
      <c r="K1566" t="s">
        <v>27</v>
      </c>
      <c r="L1566">
        <v>8</v>
      </c>
    </row>
    <row r="1567" spans="1:12" x14ac:dyDescent="0.3">
      <c r="A1567">
        <v>171</v>
      </c>
      <c r="B1567" t="s">
        <v>19</v>
      </c>
      <c r="C1567" s="1">
        <v>45928</v>
      </c>
      <c r="D1567" s="1" t="str">
        <f xml:space="preserve"> TEXT(FilmaxData[[#This Row],[Show_Date]],"MMM")</f>
        <v>Sep</v>
      </c>
      <c r="E1567" s="1" t="str">
        <f xml:space="preserve"> TEXT(FilmaxData[[#This Row],[Show_Date]],"DDD")</f>
        <v>Sun</v>
      </c>
      <c r="F1567" t="s">
        <v>11</v>
      </c>
      <c r="G1567" t="s">
        <v>30</v>
      </c>
      <c r="H1567">
        <v>3</v>
      </c>
      <c r="I1567">
        <v>8</v>
      </c>
      <c r="J1567" t="s">
        <v>13</v>
      </c>
      <c r="K1567" t="s">
        <v>14</v>
      </c>
      <c r="L1567">
        <v>24</v>
      </c>
    </row>
    <row r="1568" spans="1:12" x14ac:dyDescent="0.3">
      <c r="A1568">
        <v>582</v>
      </c>
      <c r="B1568" t="s">
        <v>24</v>
      </c>
      <c r="C1568" s="1">
        <v>45850</v>
      </c>
      <c r="D1568" s="1" t="str">
        <f xml:space="preserve"> TEXT(FilmaxData[[#This Row],[Show_Date]],"MMM")</f>
        <v>Jul</v>
      </c>
      <c r="E1568" s="1" t="str">
        <f xml:space="preserve"> TEXT(FilmaxData[[#This Row],[Show_Date]],"DDD")</f>
        <v>Sat</v>
      </c>
      <c r="F1568" t="s">
        <v>11</v>
      </c>
      <c r="G1568" t="s">
        <v>22</v>
      </c>
      <c r="H1568">
        <v>3</v>
      </c>
      <c r="I1568">
        <v>20</v>
      </c>
      <c r="J1568" t="s">
        <v>23</v>
      </c>
      <c r="K1568" t="s">
        <v>14</v>
      </c>
      <c r="L1568">
        <v>60</v>
      </c>
    </row>
    <row r="1569" spans="1:12" x14ac:dyDescent="0.3">
      <c r="A1569">
        <v>1058</v>
      </c>
      <c r="B1569" t="s">
        <v>28</v>
      </c>
      <c r="C1569" s="1">
        <v>45843</v>
      </c>
      <c r="D1569" s="1" t="str">
        <f xml:space="preserve"> TEXT(FilmaxData[[#This Row],[Show_Date]],"MMM")</f>
        <v>Jul</v>
      </c>
      <c r="E1569" s="1" t="str">
        <f xml:space="preserve"> TEXT(FilmaxData[[#This Row],[Show_Date]],"DDD")</f>
        <v>Sat</v>
      </c>
      <c r="F1569" t="s">
        <v>16</v>
      </c>
      <c r="G1569" t="s">
        <v>17</v>
      </c>
      <c r="H1569">
        <v>3</v>
      </c>
      <c r="I1569">
        <v>12</v>
      </c>
      <c r="J1569" t="s">
        <v>23</v>
      </c>
      <c r="K1569" t="s">
        <v>27</v>
      </c>
      <c r="L1569">
        <v>36</v>
      </c>
    </row>
    <row r="1570" spans="1:12" x14ac:dyDescent="0.3">
      <c r="A1570">
        <v>1123</v>
      </c>
      <c r="B1570" t="s">
        <v>32</v>
      </c>
      <c r="C1570" s="1">
        <v>45899</v>
      </c>
      <c r="D1570" s="1" t="str">
        <f xml:space="preserve"> TEXT(FilmaxData[[#This Row],[Show_Date]],"MMM")</f>
        <v>Aug</v>
      </c>
      <c r="E1570" s="1" t="str">
        <f xml:space="preserve"> TEXT(FilmaxData[[#This Row],[Show_Date]],"DDD")</f>
        <v>Sat</v>
      </c>
      <c r="F1570" t="s">
        <v>20</v>
      </c>
      <c r="G1570" t="s">
        <v>17</v>
      </c>
      <c r="H1570">
        <v>3</v>
      </c>
      <c r="I1570">
        <v>12</v>
      </c>
      <c r="J1570" t="s">
        <v>23</v>
      </c>
      <c r="K1570" t="s">
        <v>27</v>
      </c>
      <c r="L1570">
        <v>36</v>
      </c>
    </row>
    <row r="1571" spans="1:12" x14ac:dyDescent="0.3">
      <c r="A1571">
        <v>692</v>
      </c>
      <c r="B1571" t="s">
        <v>10</v>
      </c>
      <c r="C1571" s="1">
        <v>45906</v>
      </c>
      <c r="D1571" s="1" t="str">
        <f xml:space="preserve"> TEXT(FilmaxData[[#This Row],[Show_Date]],"MMM")</f>
        <v>Sep</v>
      </c>
      <c r="E1571" s="1" t="str">
        <f xml:space="preserve"> TEXT(FilmaxData[[#This Row],[Show_Date]],"DDD")</f>
        <v>Sat</v>
      </c>
      <c r="F1571" t="s">
        <v>33</v>
      </c>
      <c r="G1571" t="s">
        <v>12</v>
      </c>
      <c r="H1571">
        <v>5</v>
      </c>
      <c r="I1571">
        <v>25</v>
      </c>
      <c r="J1571" t="s">
        <v>23</v>
      </c>
      <c r="K1571" t="s">
        <v>14</v>
      </c>
      <c r="L1571">
        <v>125</v>
      </c>
    </row>
    <row r="1572" spans="1:12" x14ac:dyDescent="0.3">
      <c r="A1572">
        <v>691</v>
      </c>
      <c r="B1572" t="s">
        <v>26</v>
      </c>
      <c r="C1572" s="1">
        <v>45906</v>
      </c>
      <c r="D1572" s="1" t="str">
        <f xml:space="preserve"> TEXT(FilmaxData[[#This Row],[Show_Date]],"MMM")</f>
        <v>Sep</v>
      </c>
      <c r="E1572" s="1" t="str">
        <f xml:space="preserve"> TEXT(FilmaxData[[#This Row],[Show_Date]],"DDD")</f>
        <v>Sat</v>
      </c>
      <c r="F1572" t="s">
        <v>16</v>
      </c>
      <c r="G1572" t="s">
        <v>12</v>
      </c>
      <c r="H1572">
        <v>4</v>
      </c>
      <c r="I1572">
        <v>25</v>
      </c>
      <c r="J1572" t="s">
        <v>21</v>
      </c>
      <c r="K1572" t="s">
        <v>14</v>
      </c>
      <c r="L1572">
        <v>100</v>
      </c>
    </row>
    <row r="1573" spans="1:12" x14ac:dyDescent="0.3">
      <c r="A1573">
        <v>1400</v>
      </c>
      <c r="B1573" t="s">
        <v>15</v>
      </c>
      <c r="C1573" s="1">
        <v>45889</v>
      </c>
      <c r="D1573" s="1" t="str">
        <f xml:space="preserve"> TEXT(FilmaxData[[#This Row],[Show_Date]],"MMM")</f>
        <v>Aug</v>
      </c>
      <c r="E1573" s="1" t="str">
        <f xml:space="preserve"> TEXT(FilmaxData[[#This Row],[Show_Date]],"DDD")</f>
        <v>Wed</v>
      </c>
      <c r="F1573" t="s">
        <v>16</v>
      </c>
      <c r="G1573" t="s">
        <v>12</v>
      </c>
      <c r="H1573">
        <v>4</v>
      </c>
      <c r="I1573">
        <v>25</v>
      </c>
      <c r="J1573" t="s">
        <v>13</v>
      </c>
      <c r="K1573" t="s">
        <v>14</v>
      </c>
      <c r="L1573">
        <v>100</v>
      </c>
    </row>
    <row r="1574" spans="1:12" x14ac:dyDescent="0.3">
      <c r="A1574">
        <v>1616</v>
      </c>
      <c r="B1574" t="s">
        <v>32</v>
      </c>
      <c r="C1574" s="1">
        <v>45863</v>
      </c>
      <c r="D1574" s="1" t="str">
        <f xml:space="preserve"> TEXT(FilmaxData[[#This Row],[Show_Date]],"MMM")</f>
        <v>Jul</v>
      </c>
      <c r="E1574" s="1" t="str">
        <f xml:space="preserve"> TEXT(FilmaxData[[#This Row],[Show_Date]],"DDD")</f>
        <v>Fri</v>
      </c>
      <c r="F1574" t="s">
        <v>11</v>
      </c>
      <c r="G1574" t="s">
        <v>17</v>
      </c>
      <c r="H1574">
        <v>5</v>
      </c>
      <c r="I1574">
        <v>12</v>
      </c>
      <c r="J1574" t="s">
        <v>21</v>
      </c>
      <c r="K1574" t="s">
        <v>18</v>
      </c>
      <c r="L1574">
        <v>60</v>
      </c>
    </row>
    <row r="1575" spans="1:12" x14ac:dyDescent="0.3">
      <c r="A1575">
        <v>872</v>
      </c>
      <c r="B1575" t="s">
        <v>19</v>
      </c>
      <c r="C1575" s="1">
        <v>45893</v>
      </c>
      <c r="D1575" s="1" t="str">
        <f xml:space="preserve"> TEXT(FilmaxData[[#This Row],[Show_Date]],"MMM")</f>
        <v>Aug</v>
      </c>
      <c r="E1575" s="1" t="str">
        <f xml:space="preserve"> TEXT(FilmaxData[[#This Row],[Show_Date]],"DDD")</f>
        <v>Sun</v>
      </c>
      <c r="F1575" t="s">
        <v>20</v>
      </c>
      <c r="G1575" t="s">
        <v>29</v>
      </c>
      <c r="H1575">
        <v>1</v>
      </c>
      <c r="I1575">
        <v>30</v>
      </c>
      <c r="J1575" t="s">
        <v>21</v>
      </c>
      <c r="K1575" t="s">
        <v>27</v>
      </c>
      <c r="L1575">
        <v>30</v>
      </c>
    </row>
    <row r="1576" spans="1:12" x14ac:dyDescent="0.3">
      <c r="A1576">
        <v>132</v>
      </c>
      <c r="B1576" t="s">
        <v>15</v>
      </c>
      <c r="C1576" s="1">
        <v>45871</v>
      </c>
      <c r="D1576" s="1" t="str">
        <f xml:space="preserve"> TEXT(FilmaxData[[#This Row],[Show_Date]],"MMM")</f>
        <v>Aug</v>
      </c>
      <c r="E1576" s="1" t="str">
        <f xml:space="preserve"> TEXT(FilmaxData[[#This Row],[Show_Date]],"DDD")</f>
        <v>Sat</v>
      </c>
      <c r="F1576" t="s">
        <v>33</v>
      </c>
      <c r="G1576" t="s">
        <v>17</v>
      </c>
      <c r="H1576">
        <v>2</v>
      </c>
      <c r="I1576">
        <v>12</v>
      </c>
      <c r="J1576" t="s">
        <v>23</v>
      </c>
      <c r="K1576" t="s">
        <v>18</v>
      </c>
      <c r="L1576">
        <v>24</v>
      </c>
    </row>
    <row r="1577" spans="1:12" x14ac:dyDescent="0.3">
      <c r="A1577">
        <v>1021</v>
      </c>
      <c r="B1577" t="s">
        <v>28</v>
      </c>
      <c r="C1577" s="1">
        <v>45906</v>
      </c>
      <c r="D1577" s="1" t="str">
        <f xml:space="preserve"> TEXT(FilmaxData[[#This Row],[Show_Date]],"MMM")</f>
        <v>Sep</v>
      </c>
      <c r="E1577" s="1" t="str">
        <f xml:space="preserve"> TEXT(FilmaxData[[#This Row],[Show_Date]],"DDD")</f>
        <v>Sat</v>
      </c>
      <c r="F1577" t="s">
        <v>20</v>
      </c>
      <c r="G1577" t="s">
        <v>17</v>
      </c>
      <c r="H1577">
        <v>2</v>
      </c>
      <c r="I1577">
        <v>12</v>
      </c>
      <c r="J1577" t="s">
        <v>21</v>
      </c>
      <c r="K1577" t="s">
        <v>25</v>
      </c>
      <c r="L1577">
        <v>24</v>
      </c>
    </row>
    <row r="1578" spans="1:12" x14ac:dyDescent="0.3">
      <c r="A1578">
        <v>819</v>
      </c>
      <c r="B1578" t="s">
        <v>31</v>
      </c>
      <c r="C1578" s="1">
        <v>45886</v>
      </c>
      <c r="D1578" s="1" t="str">
        <f xml:space="preserve"> TEXT(FilmaxData[[#This Row],[Show_Date]],"MMM")</f>
        <v>Aug</v>
      </c>
      <c r="E1578" s="1" t="str">
        <f xml:space="preserve"> TEXT(FilmaxData[[#This Row],[Show_Date]],"DDD")</f>
        <v>Sun</v>
      </c>
      <c r="F1578" t="s">
        <v>11</v>
      </c>
      <c r="G1578" t="s">
        <v>17</v>
      </c>
      <c r="H1578">
        <v>3</v>
      </c>
      <c r="I1578">
        <v>12</v>
      </c>
      <c r="J1578" t="s">
        <v>13</v>
      </c>
      <c r="K1578" t="s">
        <v>27</v>
      </c>
      <c r="L1578">
        <v>36</v>
      </c>
    </row>
    <row r="1579" spans="1:12" x14ac:dyDescent="0.3">
      <c r="A1579">
        <v>187</v>
      </c>
      <c r="B1579" t="s">
        <v>26</v>
      </c>
      <c r="C1579" s="1">
        <v>45914</v>
      </c>
      <c r="D1579" s="1" t="str">
        <f xml:space="preserve"> TEXT(FilmaxData[[#This Row],[Show_Date]],"MMM")</f>
        <v>Sep</v>
      </c>
      <c r="E1579" s="1" t="str">
        <f xml:space="preserve"> TEXT(FilmaxData[[#This Row],[Show_Date]],"DDD")</f>
        <v>Sun</v>
      </c>
      <c r="F1579" t="s">
        <v>33</v>
      </c>
      <c r="G1579" t="s">
        <v>22</v>
      </c>
      <c r="H1579">
        <v>3</v>
      </c>
      <c r="I1579">
        <v>20</v>
      </c>
      <c r="J1579" t="s">
        <v>23</v>
      </c>
      <c r="K1579" t="s">
        <v>25</v>
      </c>
      <c r="L1579">
        <v>60</v>
      </c>
    </row>
    <row r="1580" spans="1:12" x14ac:dyDescent="0.3">
      <c r="A1580">
        <v>1113</v>
      </c>
      <c r="B1580" t="s">
        <v>19</v>
      </c>
      <c r="C1580" s="1">
        <v>45843</v>
      </c>
      <c r="D1580" s="1" t="str">
        <f xml:space="preserve"> TEXT(FilmaxData[[#This Row],[Show_Date]],"MMM")</f>
        <v>Jul</v>
      </c>
      <c r="E1580" s="1" t="str">
        <f xml:space="preserve"> TEXT(FilmaxData[[#This Row],[Show_Date]],"DDD")</f>
        <v>Sat</v>
      </c>
      <c r="F1580" t="s">
        <v>20</v>
      </c>
      <c r="G1580" t="s">
        <v>30</v>
      </c>
      <c r="H1580">
        <v>2</v>
      </c>
      <c r="I1580">
        <v>8</v>
      </c>
      <c r="J1580" t="s">
        <v>13</v>
      </c>
      <c r="K1580" t="s">
        <v>14</v>
      </c>
      <c r="L1580">
        <v>16</v>
      </c>
    </row>
    <row r="1581" spans="1:12" x14ac:dyDescent="0.3">
      <c r="A1581">
        <v>1391</v>
      </c>
      <c r="B1581" t="s">
        <v>26</v>
      </c>
      <c r="C1581" s="1">
        <v>45852</v>
      </c>
      <c r="D1581" s="1" t="str">
        <f xml:space="preserve"> TEXT(FilmaxData[[#This Row],[Show_Date]],"MMM")</f>
        <v>Jul</v>
      </c>
      <c r="E1581" s="1" t="str">
        <f xml:space="preserve"> TEXT(FilmaxData[[#This Row],[Show_Date]],"DDD")</f>
        <v>Mon</v>
      </c>
      <c r="F1581" t="s">
        <v>16</v>
      </c>
      <c r="G1581" t="s">
        <v>17</v>
      </c>
      <c r="H1581">
        <v>4</v>
      </c>
      <c r="I1581">
        <v>12</v>
      </c>
      <c r="J1581" t="s">
        <v>13</v>
      </c>
      <c r="K1581" t="s">
        <v>25</v>
      </c>
      <c r="L1581">
        <v>48</v>
      </c>
    </row>
    <row r="1582" spans="1:12" x14ac:dyDescent="0.3">
      <c r="A1582">
        <v>831</v>
      </c>
      <c r="B1582" t="s">
        <v>15</v>
      </c>
      <c r="C1582" s="1">
        <v>45839</v>
      </c>
      <c r="D1582" s="1" t="str">
        <f xml:space="preserve"> TEXT(FilmaxData[[#This Row],[Show_Date]],"MMM")</f>
        <v>Jul</v>
      </c>
      <c r="E1582" s="1" t="str">
        <f xml:space="preserve"> TEXT(FilmaxData[[#This Row],[Show_Date]],"DDD")</f>
        <v>Tue</v>
      </c>
      <c r="F1582" t="s">
        <v>16</v>
      </c>
      <c r="G1582" t="s">
        <v>17</v>
      </c>
      <c r="H1582">
        <v>3</v>
      </c>
      <c r="I1582">
        <v>12</v>
      </c>
      <c r="J1582" t="s">
        <v>23</v>
      </c>
      <c r="K1582" t="s">
        <v>27</v>
      </c>
      <c r="L1582">
        <v>36</v>
      </c>
    </row>
    <row r="1583" spans="1:12" x14ac:dyDescent="0.3">
      <c r="A1583">
        <v>1211</v>
      </c>
      <c r="B1583" t="s">
        <v>24</v>
      </c>
      <c r="C1583" s="1">
        <v>45840</v>
      </c>
      <c r="D1583" s="1" t="str">
        <f xml:space="preserve"> TEXT(FilmaxData[[#This Row],[Show_Date]],"MMM")</f>
        <v>Jul</v>
      </c>
      <c r="E1583" s="1" t="str">
        <f xml:space="preserve"> TEXT(FilmaxData[[#This Row],[Show_Date]],"DDD")</f>
        <v>Wed</v>
      </c>
      <c r="F1583" t="s">
        <v>33</v>
      </c>
      <c r="G1583" t="s">
        <v>17</v>
      </c>
      <c r="H1583">
        <v>4</v>
      </c>
      <c r="I1583">
        <v>12</v>
      </c>
      <c r="J1583" t="s">
        <v>21</v>
      </c>
      <c r="K1583" t="s">
        <v>27</v>
      </c>
      <c r="L1583">
        <v>48</v>
      </c>
    </row>
    <row r="1584" spans="1:12" x14ac:dyDescent="0.3">
      <c r="A1584">
        <v>1812</v>
      </c>
      <c r="B1584" t="s">
        <v>24</v>
      </c>
      <c r="C1584" s="1">
        <v>45927</v>
      </c>
      <c r="D1584" s="1" t="str">
        <f xml:space="preserve"> TEXT(FilmaxData[[#This Row],[Show_Date]],"MMM")</f>
        <v>Sep</v>
      </c>
      <c r="E1584" s="1" t="str">
        <f xml:space="preserve"> TEXT(FilmaxData[[#This Row],[Show_Date]],"DDD")</f>
        <v>Sat</v>
      </c>
      <c r="F1584" t="s">
        <v>33</v>
      </c>
      <c r="G1584" t="s">
        <v>17</v>
      </c>
      <c r="H1584">
        <v>4</v>
      </c>
      <c r="I1584">
        <v>12</v>
      </c>
      <c r="J1584" t="s">
        <v>23</v>
      </c>
      <c r="K1584" t="s">
        <v>14</v>
      </c>
      <c r="L1584">
        <v>48</v>
      </c>
    </row>
    <row r="1585" spans="1:12" x14ac:dyDescent="0.3">
      <c r="A1585">
        <v>191</v>
      </c>
      <c r="B1585" t="s">
        <v>28</v>
      </c>
      <c r="C1585" s="1">
        <v>45841</v>
      </c>
      <c r="D1585" s="1" t="str">
        <f xml:space="preserve"> TEXT(FilmaxData[[#This Row],[Show_Date]],"MMM")</f>
        <v>Jul</v>
      </c>
      <c r="E1585" s="1" t="str">
        <f xml:space="preserve"> TEXT(FilmaxData[[#This Row],[Show_Date]],"DDD")</f>
        <v>Thu</v>
      </c>
      <c r="F1585" t="s">
        <v>20</v>
      </c>
      <c r="G1585" t="s">
        <v>17</v>
      </c>
      <c r="H1585">
        <v>1</v>
      </c>
      <c r="I1585">
        <v>12</v>
      </c>
      <c r="J1585" t="s">
        <v>23</v>
      </c>
      <c r="K1585" t="s">
        <v>14</v>
      </c>
      <c r="L1585">
        <v>12</v>
      </c>
    </row>
    <row r="1586" spans="1:12" x14ac:dyDescent="0.3">
      <c r="A1586">
        <v>454</v>
      </c>
      <c r="B1586" t="s">
        <v>10</v>
      </c>
      <c r="C1586" s="1">
        <v>45893</v>
      </c>
      <c r="D1586" s="1" t="str">
        <f xml:space="preserve"> TEXT(FilmaxData[[#This Row],[Show_Date]],"MMM")</f>
        <v>Aug</v>
      </c>
      <c r="E1586" s="1" t="str">
        <f xml:space="preserve"> TEXT(FilmaxData[[#This Row],[Show_Date]],"DDD")</f>
        <v>Sun</v>
      </c>
      <c r="F1586" t="s">
        <v>11</v>
      </c>
      <c r="G1586" t="s">
        <v>17</v>
      </c>
      <c r="H1586">
        <v>4</v>
      </c>
      <c r="I1586">
        <v>12</v>
      </c>
      <c r="J1586" t="s">
        <v>23</v>
      </c>
      <c r="K1586" t="s">
        <v>18</v>
      </c>
      <c r="L1586">
        <v>48</v>
      </c>
    </row>
    <row r="1587" spans="1:12" x14ac:dyDescent="0.3">
      <c r="A1587">
        <v>1402</v>
      </c>
      <c r="B1587" t="s">
        <v>32</v>
      </c>
      <c r="C1587" s="1">
        <v>45900</v>
      </c>
      <c r="D1587" s="1" t="str">
        <f xml:space="preserve"> TEXT(FilmaxData[[#This Row],[Show_Date]],"MMM")</f>
        <v>Aug</v>
      </c>
      <c r="E1587" s="1" t="str">
        <f xml:space="preserve"> TEXT(FilmaxData[[#This Row],[Show_Date]],"DDD")</f>
        <v>Sun</v>
      </c>
      <c r="F1587" t="s">
        <v>16</v>
      </c>
      <c r="G1587" t="s">
        <v>17</v>
      </c>
      <c r="H1587">
        <v>5</v>
      </c>
      <c r="I1587">
        <v>12</v>
      </c>
      <c r="J1587" t="s">
        <v>13</v>
      </c>
      <c r="K1587" t="s">
        <v>27</v>
      </c>
      <c r="L1587">
        <v>60</v>
      </c>
    </row>
    <row r="1588" spans="1:12" x14ac:dyDescent="0.3">
      <c r="A1588">
        <v>901</v>
      </c>
      <c r="B1588" t="s">
        <v>15</v>
      </c>
      <c r="C1588" s="1">
        <v>45900</v>
      </c>
      <c r="D1588" s="1" t="str">
        <f xml:space="preserve"> TEXT(FilmaxData[[#This Row],[Show_Date]],"MMM")</f>
        <v>Aug</v>
      </c>
      <c r="E1588" s="1" t="str">
        <f xml:space="preserve"> TEXT(FilmaxData[[#This Row],[Show_Date]],"DDD")</f>
        <v>Sun</v>
      </c>
      <c r="F1588" t="s">
        <v>20</v>
      </c>
      <c r="G1588" t="s">
        <v>17</v>
      </c>
      <c r="H1588">
        <v>1</v>
      </c>
      <c r="I1588">
        <v>12</v>
      </c>
      <c r="J1588" t="s">
        <v>13</v>
      </c>
      <c r="K1588" t="s">
        <v>25</v>
      </c>
      <c r="L1588">
        <v>12</v>
      </c>
    </row>
    <row r="1589" spans="1:12" x14ac:dyDescent="0.3">
      <c r="A1589">
        <v>1137</v>
      </c>
      <c r="B1589" t="s">
        <v>28</v>
      </c>
      <c r="C1589" s="1">
        <v>45925</v>
      </c>
      <c r="D1589" s="1" t="str">
        <f xml:space="preserve"> TEXT(FilmaxData[[#This Row],[Show_Date]],"MMM")</f>
        <v>Sep</v>
      </c>
      <c r="E1589" s="1" t="str">
        <f xml:space="preserve"> TEXT(FilmaxData[[#This Row],[Show_Date]],"DDD")</f>
        <v>Thu</v>
      </c>
      <c r="F1589" t="s">
        <v>16</v>
      </c>
      <c r="G1589" t="s">
        <v>30</v>
      </c>
      <c r="H1589">
        <v>1</v>
      </c>
      <c r="I1589">
        <v>8</v>
      </c>
      <c r="J1589" t="s">
        <v>21</v>
      </c>
      <c r="K1589" t="s">
        <v>27</v>
      </c>
      <c r="L1589">
        <v>8</v>
      </c>
    </row>
    <row r="1590" spans="1:12" x14ac:dyDescent="0.3">
      <c r="A1590">
        <v>318</v>
      </c>
      <c r="B1590" t="s">
        <v>24</v>
      </c>
      <c r="C1590" s="1">
        <v>45844</v>
      </c>
      <c r="D1590" s="1" t="str">
        <f xml:space="preserve"> TEXT(FilmaxData[[#This Row],[Show_Date]],"MMM")</f>
        <v>Jul</v>
      </c>
      <c r="E1590" s="1" t="str">
        <f xml:space="preserve"> TEXT(FilmaxData[[#This Row],[Show_Date]],"DDD")</f>
        <v>Sun</v>
      </c>
      <c r="F1590" t="s">
        <v>33</v>
      </c>
      <c r="G1590" t="s">
        <v>17</v>
      </c>
      <c r="H1590">
        <v>2</v>
      </c>
      <c r="I1590">
        <v>12</v>
      </c>
      <c r="J1590" t="s">
        <v>21</v>
      </c>
      <c r="K1590" t="s">
        <v>27</v>
      </c>
      <c r="L1590">
        <v>24</v>
      </c>
    </row>
    <row r="1591" spans="1:12" x14ac:dyDescent="0.3">
      <c r="A1591">
        <v>646</v>
      </c>
      <c r="B1591" t="s">
        <v>15</v>
      </c>
      <c r="C1591" s="1">
        <v>45921</v>
      </c>
      <c r="D1591" s="1" t="str">
        <f xml:space="preserve"> TEXT(FilmaxData[[#This Row],[Show_Date]],"MMM")</f>
        <v>Sep</v>
      </c>
      <c r="E1591" s="1" t="str">
        <f xml:space="preserve"> TEXT(FilmaxData[[#This Row],[Show_Date]],"DDD")</f>
        <v>Sun</v>
      </c>
      <c r="F1591" t="s">
        <v>11</v>
      </c>
      <c r="G1591" t="s">
        <v>17</v>
      </c>
      <c r="H1591">
        <v>1</v>
      </c>
      <c r="I1591">
        <v>12</v>
      </c>
      <c r="J1591" t="s">
        <v>13</v>
      </c>
      <c r="K1591" t="s">
        <v>18</v>
      </c>
      <c r="L1591">
        <v>12</v>
      </c>
    </row>
    <row r="1592" spans="1:12" x14ac:dyDescent="0.3">
      <c r="A1592">
        <v>1929</v>
      </c>
      <c r="B1592" t="s">
        <v>19</v>
      </c>
      <c r="C1592" s="1">
        <v>45924</v>
      </c>
      <c r="D1592" s="1" t="str">
        <f xml:space="preserve"> TEXT(FilmaxData[[#This Row],[Show_Date]],"MMM")</f>
        <v>Sep</v>
      </c>
      <c r="E1592" s="1" t="str">
        <f xml:space="preserve"> TEXT(FilmaxData[[#This Row],[Show_Date]],"DDD")</f>
        <v>Wed</v>
      </c>
      <c r="F1592" t="s">
        <v>33</v>
      </c>
      <c r="G1592" t="s">
        <v>30</v>
      </c>
      <c r="H1592">
        <v>4</v>
      </c>
      <c r="I1592">
        <v>8</v>
      </c>
      <c r="J1592" t="s">
        <v>13</v>
      </c>
      <c r="K1592" t="s">
        <v>18</v>
      </c>
      <c r="L1592">
        <v>32</v>
      </c>
    </row>
    <row r="1593" spans="1:12" x14ac:dyDescent="0.3">
      <c r="A1593">
        <v>307</v>
      </c>
      <c r="B1593" t="s">
        <v>31</v>
      </c>
      <c r="C1593" s="1">
        <v>45846</v>
      </c>
      <c r="D1593" s="1" t="str">
        <f xml:space="preserve"> TEXT(FilmaxData[[#This Row],[Show_Date]],"MMM")</f>
        <v>Jul</v>
      </c>
      <c r="E1593" s="1" t="str">
        <f xml:space="preserve"> TEXT(FilmaxData[[#This Row],[Show_Date]],"DDD")</f>
        <v>Tue</v>
      </c>
      <c r="F1593" t="s">
        <v>20</v>
      </c>
      <c r="G1593" t="s">
        <v>17</v>
      </c>
      <c r="H1593">
        <v>3</v>
      </c>
      <c r="I1593">
        <v>12</v>
      </c>
      <c r="J1593" t="s">
        <v>13</v>
      </c>
      <c r="K1593" t="s">
        <v>18</v>
      </c>
      <c r="L1593">
        <v>36</v>
      </c>
    </row>
    <row r="1594" spans="1:12" x14ac:dyDescent="0.3">
      <c r="A1594">
        <v>1002</v>
      </c>
      <c r="B1594" t="s">
        <v>28</v>
      </c>
      <c r="C1594" s="1">
        <v>45842</v>
      </c>
      <c r="D1594" s="1" t="str">
        <f xml:space="preserve"> TEXT(FilmaxData[[#This Row],[Show_Date]],"MMM")</f>
        <v>Jul</v>
      </c>
      <c r="E1594" s="1" t="str">
        <f xml:space="preserve"> TEXT(FilmaxData[[#This Row],[Show_Date]],"DDD")</f>
        <v>Fri</v>
      </c>
      <c r="F1594" t="s">
        <v>20</v>
      </c>
      <c r="G1594" t="s">
        <v>30</v>
      </c>
      <c r="H1594">
        <v>1</v>
      </c>
      <c r="I1594">
        <v>8</v>
      </c>
      <c r="J1594" t="s">
        <v>21</v>
      </c>
      <c r="K1594" t="s">
        <v>27</v>
      </c>
      <c r="L1594">
        <v>8</v>
      </c>
    </row>
    <row r="1595" spans="1:12" x14ac:dyDescent="0.3">
      <c r="A1595">
        <v>1232</v>
      </c>
      <c r="B1595" t="s">
        <v>19</v>
      </c>
      <c r="C1595" s="1">
        <v>45865</v>
      </c>
      <c r="D1595" s="1" t="str">
        <f xml:space="preserve"> TEXT(FilmaxData[[#This Row],[Show_Date]],"MMM")</f>
        <v>Jul</v>
      </c>
      <c r="E1595" s="1" t="str">
        <f xml:space="preserve"> TEXT(FilmaxData[[#This Row],[Show_Date]],"DDD")</f>
        <v>Sun</v>
      </c>
      <c r="F1595" t="s">
        <v>20</v>
      </c>
      <c r="G1595" t="s">
        <v>12</v>
      </c>
      <c r="H1595">
        <v>2</v>
      </c>
      <c r="I1595">
        <v>25</v>
      </c>
      <c r="J1595" t="s">
        <v>13</v>
      </c>
      <c r="K1595" t="s">
        <v>14</v>
      </c>
      <c r="L1595">
        <v>50</v>
      </c>
    </row>
    <row r="1596" spans="1:12" x14ac:dyDescent="0.3">
      <c r="A1596">
        <v>138</v>
      </c>
      <c r="B1596" t="s">
        <v>24</v>
      </c>
      <c r="C1596" s="1">
        <v>45906</v>
      </c>
      <c r="D1596" s="1" t="str">
        <f xml:space="preserve"> TEXT(FilmaxData[[#This Row],[Show_Date]],"MMM")</f>
        <v>Sep</v>
      </c>
      <c r="E1596" s="1" t="str">
        <f xml:space="preserve"> TEXT(FilmaxData[[#This Row],[Show_Date]],"DDD")</f>
        <v>Sat</v>
      </c>
      <c r="F1596" t="s">
        <v>16</v>
      </c>
      <c r="G1596" t="s">
        <v>30</v>
      </c>
      <c r="H1596">
        <v>4</v>
      </c>
      <c r="I1596">
        <v>8</v>
      </c>
      <c r="J1596" t="s">
        <v>13</v>
      </c>
      <c r="K1596" t="s">
        <v>18</v>
      </c>
      <c r="L1596">
        <v>32</v>
      </c>
    </row>
    <row r="1597" spans="1:12" x14ac:dyDescent="0.3">
      <c r="A1597">
        <v>1435</v>
      </c>
      <c r="B1597" t="s">
        <v>31</v>
      </c>
      <c r="C1597" s="1">
        <v>45865</v>
      </c>
      <c r="D1597" s="1" t="str">
        <f xml:space="preserve"> TEXT(FilmaxData[[#This Row],[Show_Date]],"MMM")</f>
        <v>Jul</v>
      </c>
      <c r="E1597" s="1" t="str">
        <f xml:space="preserve"> TEXT(FilmaxData[[#This Row],[Show_Date]],"DDD")</f>
        <v>Sun</v>
      </c>
      <c r="F1597" t="s">
        <v>16</v>
      </c>
      <c r="G1597" t="s">
        <v>30</v>
      </c>
      <c r="H1597">
        <v>3</v>
      </c>
      <c r="I1597">
        <v>8</v>
      </c>
      <c r="J1597" t="s">
        <v>21</v>
      </c>
      <c r="K1597" t="s">
        <v>25</v>
      </c>
      <c r="L1597">
        <v>24</v>
      </c>
    </row>
    <row r="1598" spans="1:12" x14ac:dyDescent="0.3">
      <c r="A1598">
        <v>93</v>
      </c>
      <c r="B1598" t="s">
        <v>26</v>
      </c>
      <c r="C1598" s="1">
        <v>45867</v>
      </c>
      <c r="D1598" s="1" t="str">
        <f xml:space="preserve"> TEXT(FilmaxData[[#This Row],[Show_Date]],"MMM")</f>
        <v>Jul</v>
      </c>
      <c r="E1598" s="1" t="str">
        <f xml:space="preserve"> TEXT(FilmaxData[[#This Row],[Show_Date]],"DDD")</f>
        <v>Tue</v>
      </c>
      <c r="F1598" t="s">
        <v>20</v>
      </c>
      <c r="G1598" t="s">
        <v>17</v>
      </c>
      <c r="H1598">
        <v>4</v>
      </c>
      <c r="I1598">
        <v>12</v>
      </c>
      <c r="J1598" t="s">
        <v>23</v>
      </c>
      <c r="K1598" t="s">
        <v>25</v>
      </c>
      <c r="L1598">
        <v>48</v>
      </c>
    </row>
    <row r="1599" spans="1:12" x14ac:dyDescent="0.3">
      <c r="A1599">
        <v>265</v>
      </c>
      <c r="B1599" t="s">
        <v>32</v>
      </c>
      <c r="C1599" s="1">
        <v>45841</v>
      </c>
      <c r="D1599" s="1" t="str">
        <f xml:space="preserve"> TEXT(FilmaxData[[#This Row],[Show_Date]],"MMM")</f>
        <v>Jul</v>
      </c>
      <c r="E1599" s="1" t="str">
        <f xml:space="preserve"> TEXT(FilmaxData[[#This Row],[Show_Date]],"DDD")</f>
        <v>Thu</v>
      </c>
      <c r="F1599" t="s">
        <v>20</v>
      </c>
      <c r="G1599" t="s">
        <v>12</v>
      </c>
      <c r="H1599">
        <v>5</v>
      </c>
      <c r="I1599">
        <v>25</v>
      </c>
      <c r="J1599" t="s">
        <v>21</v>
      </c>
      <c r="K1599" t="s">
        <v>27</v>
      </c>
      <c r="L1599">
        <v>125</v>
      </c>
    </row>
    <row r="1600" spans="1:12" x14ac:dyDescent="0.3">
      <c r="A1600">
        <v>253</v>
      </c>
      <c r="B1600" t="s">
        <v>31</v>
      </c>
      <c r="C1600" s="1">
        <v>45848</v>
      </c>
      <c r="D1600" s="1" t="str">
        <f xml:space="preserve"> TEXT(FilmaxData[[#This Row],[Show_Date]],"MMM")</f>
        <v>Jul</v>
      </c>
      <c r="E1600" s="1" t="str">
        <f xml:space="preserve"> TEXT(FilmaxData[[#This Row],[Show_Date]],"DDD")</f>
        <v>Thu</v>
      </c>
      <c r="F1600" t="s">
        <v>11</v>
      </c>
      <c r="G1600" t="s">
        <v>30</v>
      </c>
      <c r="H1600">
        <v>4</v>
      </c>
      <c r="I1600">
        <v>8</v>
      </c>
      <c r="J1600" t="s">
        <v>21</v>
      </c>
      <c r="K1600" t="s">
        <v>27</v>
      </c>
      <c r="L1600">
        <v>32</v>
      </c>
    </row>
    <row r="1601" spans="1:12" x14ac:dyDescent="0.3">
      <c r="A1601">
        <v>443</v>
      </c>
      <c r="B1601" t="s">
        <v>24</v>
      </c>
      <c r="C1601" s="1">
        <v>45871</v>
      </c>
      <c r="D1601" s="1" t="str">
        <f xml:space="preserve"> TEXT(FilmaxData[[#This Row],[Show_Date]],"MMM")</f>
        <v>Aug</v>
      </c>
      <c r="E1601" s="1" t="str">
        <f xml:space="preserve"> TEXT(FilmaxData[[#This Row],[Show_Date]],"DDD")</f>
        <v>Sat</v>
      </c>
      <c r="F1601" t="s">
        <v>16</v>
      </c>
      <c r="G1601" t="s">
        <v>30</v>
      </c>
      <c r="H1601">
        <v>1</v>
      </c>
      <c r="I1601">
        <v>8</v>
      </c>
      <c r="J1601" t="s">
        <v>23</v>
      </c>
      <c r="K1601" t="s">
        <v>18</v>
      </c>
      <c r="L1601">
        <v>8</v>
      </c>
    </row>
    <row r="1602" spans="1:12" x14ac:dyDescent="0.3">
      <c r="A1602">
        <v>1722</v>
      </c>
      <c r="B1602" t="s">
        <v>32</v>
      </c>
      <c r="C1602" s="1">
        <v>45920</v>
      </c>
      <c r="D1602" s="1" t="str">
        <f xml:space="preserve"> TEXT(FilmaxData[[#This Row],[Show_Date]],"MMM")</f>
        <v>Sep</v>
      </c>
      <c r="E1602" s="1" t="str">
        <f xml:space="preserve"> TEXT(FilmaxData[[#This Row],[Show_Date]],"DDD")</f>
        <v>Sat</v>
      </c>
      <c r="F1602" t="s">
        <v>11</v>
      </c>
      <c r="G1602" t="s">
        <v>22</v>
      </c>
      <c r="H1602">
        <v>4</v>
      </c>
      <c r="I1602">
        <v>20</v>
      </c>
      <c r="J1602" t="s">
        <v>21</v>
      </c>
      <c r="K1602" t="s">
        <v>27</v>
      </c>
      <c r="L1602">
        <v>80</v>
      </c>
    </row>
    <row r="1603" spans="1:12" x14ac:dyDescent="0.3">
      <c r="A1603">
        <v>342</v>
      </c>
      <c r="B1603" t="s">
        <v>31</v>
      </c>
      <c r="C1603" s="1">
        <v>45890</v>
      </c>
      <c r="D1603" s="1" t="str">
        <f xml:space="preserve"> TEXT(FilmaxData[[#This Row],[Show_Date]],"MMM")</f>
        <v>Aug</v>
      </c>
      <c r="E1603" s="1" t="str">
        <f xml:space="preserve"> TEXT(FilmaxData[[#This Row],[Show_Date]],"DDD")</f>
        <v>Thu</v>
      </c>
      <c r="F1603" t="s">
        <v>11</v>
      </c>
      <c r="G1603" t="s">
        <v>17</v>
      </c>
      <c r="H1603">
        <v>1</v>
      </c>
      <c r="I1603">
        <v>12</v>
      </c>
      <c r="J1603" t="s">
        <v>13</v>
      </c>
      <c r="K1603" t="s">
        <v>27</v>
      </c>
      <c r="L1603">
        <v>12</v>
      </c>
    </row>
    <row r="1604" spans="1:12" x14ac:dyDescent="0.3">
      <c r="A1604">
        <v>1024</v>
      </c>
      <c r="B1604" t="s">
        <v>26</v>
      </c>
      <c r="C1604" s="1">
        <v>45851</v>
      </c>
      <c r="D1604" s="1" t="str">
        <f xml:space="preserve"> TEXT(FilmaxData[[#This Row],[Show_Date]],"MMM")</f>
        <v>Jul</v>
      </c>
      <c r="E1604" s="1" t="str">
        <f xml:space="preserve"> TEXT(FilmaxData[[#This Row],[Show_Date]],"DDD")</f>
        <v>Sun</v>
      </c>
      <c r="F1604" t="s">
        <v>16</v>
      </c>
      <c r="G1604" t="s">
        <v>17</v>
      </c>
      <c r="H1604">
        <v>3</v>
      </c>
      <c r="I1604">
        <v>12</v>
      </c>
      <c r="J1604" t="s">
        <v>21</v>
      </c>
      <c r="K1604" t="s">
        <v>14</v>
      </c>
      <c r="L1604">
        <v>36</v>
      </c>
    </row>
    <row r="1605" spans="1:12" x14ac:dyDescent="0.3">
      <c r="A1605">
        <v>1928</v>
      </c>
      <c r="B1605" t="s">
        <v>32</v>
      </c>
      <c r="C1605" s="1">
        <v>45916</v>
      </c>
      <c r="D1605" s="1" t="str">
        <f xml:space="preserve"> TEXT(FilmaxData[[#This Row],[Show_Date]],"MMM")</f>
        <v>Sep</v>
      </c>
      <c r="E1605" s="1" t="str">
        <f xml:space="preserve"> TEXT(FilmaxData[[#This Row],[Show_Date]],"DDD")</f>
        <v>Tue</v>
      </c>
      <c r="F1605" t="s">
        <v>11</v>
      </c>
      <c r="G1605" t="s">
        <v>30</v>
      </c>
      <c r="H1605">
        <v>2</v>
      </c>
      <c r="I1605">
        <v>8</v>
      </c>
      <c r="J1605" t="s">
        <v>13</v>
      </c>
      <c r="K1605" t="s">
        <v>25</v>
      </c>
      <c r="L1605">
        <v>16</v>
      </c>
    </row>
    <row r="1606" spans="1:12" x14ac:dyDescent="0.3">
      <c r="A1606">
        <v>446</v>
      </c>
      <c r="B1606" t="s">
        <v>32</v>
      </c>
      <c r="C1606" s="1">
        <v>45889</v>
      </c>
      <c r="D1606" s="1" t="str">
        <f xml:space="preserve"> TEXT(FilmaxData[[#This Row],[Show_Date]],"MMM")</f>
        <v>Aug</v>
      </c>
      <c r="E1606" s="1" t="str">
        <f xml:space="preserve"> TEXT(FilmaxData[[#This Row],[Show_Date]],"DDD")</f>
        <v>Wed</v>
      </c>
      <c r="F1606" t="s">
        <v>33</v>
      </c>
      <c r="G1606" t="s">
        <v>17</v>
      </c>
      <c r="H1606">
        <v>2</v>
      </c>
      <c r="I1606">
        <v>12</v>
      </c>
      <c r="J1606" t="s">
        <v>21</v>
      </c>
      <c r="K1606" t="s">
        <v>18</v>
      </c>
      <c r="L1606">
        <v>24</v>
      </c>
    </row>
    <row r="1607" spans="1:12" x14ac:dyDescent="0.3">
      <c r="A1607">
        <v>1541</v>
      </c>
      <c r="B1607" t="s">
        <v>28</v>
      </c>
      <c r="C1607" s="1">
        <v>45876</v>
      </c>
      <c r="D1607" s="1" t="str">
        <f xml:space="preserve"> TEXT(FilmaxData[[#This Row],[Show_Date]],"MMM")</f>
        <v>Aug</v>
      </c>
      <c r="E1607" s="1" t="str">
        <f xml:space="preserve"> TEXT(FilmaxData[[#This Row],[Show_Date]],"DDD")</f>
        <v>Thu</v>
      </c>
      <c r="F1607" t="s">
        <v>20</v>
      </c>
      <c r="G1607" t="s">
        <v>17</v>
      </c>
      <c r="H1607">
        <v>1</v>
      </c>
      <c r="I1607">
        <v>12</v>
      </c>
      <c r="J1607" t="s">
        <v>13</v>
      </c>
      <c r="K1607" t="s">
        <v>18</v>
      </c>
      <c r="L1607">
        <v>12</v>
      </c>
    </row>
    <row r="1608" spans="1:12" x14ac:dyDescent="0.3">
      <c r="A1608">
        <v>486</v>
      </c>
      <c r="B1608" t="s">
        <v>10</v>
      </c>
      <c r="C1608" s="1">
        <v>45874</v>
      </c>
      <c r="D1608" s="1" t="str">
        <f xml:space="preserve"> TEXT(FilmaxData[[#This Row],[Show_Date]],"MMM")</f>
        <v>Aug</v>
      </c>
      <c r="E1608" s="1" t="str">
        <f xml:space="preserve"> TEXT(FilmaxData[[#This Row],[Show_Date]],"DDD")</f>
        <v>Tue</v>
      </c>
      <c r="F1608" t="s">
        <v>11</v>
      </c>
      <c r="G1608" t="s">
        <v>29</v>
      </c>
      <c r="H1608">
        <v>3</v>
      </c>
      <c r="I1608">
        <v>30</v>
      </c>
      <c r="J1608" t="s">
        <v>21</v>
      </c>
      <c r="K1608" t="s">
        <v>14</v>
      </c>
      <c r="L1608">
        <v>90</v>
      </c>
    </row>
    <row r="1609" spans="1:12" x14ac:dyDescent="0.3">
      <c r="A1609">
        <v>258</v>
      </c>
      <c r="B1609" t="s">
        <v>10</v>
      </c>
      <c r="C1609" s="1">
        <v>45896</v>
      </c>
      <c r="D1609" s="1" t="str">
        <f xml:space="preserve"> TEXT(FilmaxData[[#This Row],[Show_Date]],"MMM")</f>
        <v>Aug</v>
      </c>
      <c r="E1609" s="1" t="str">
        <f xml:space="preserve"> TEXT(FilmaxData[[#This Row],[Show_Date]],"DDD")</f>
        <v>Wed</v>
      </c>
      <c r="F1609" t="s">
        <v>20</v>
      </c>
      <c r="G1609" t="s">
        <v>17</v>
      </c>
      <c r="H1609">
        <v>3</v>
      </c>
      <c r="I1609">
        <v>12</v>
      </c>
      <c r="J1609" t="s">
        <v>21</v>
      </c>
      <c r="K1609" t="s">
        <v>27</v>
      </c>
      <c r="L1609">
        <v>36</v>
      </c>
    </row>
    <row r="1610" spans="1:12" x14ac:dyDescent="0.3">
      <c r="A1610">
        <v>204</v>
      </c>
      <c r="B1610" t="s">
        <v>24</v>
      </c>
      <c r="C1610" s="1">
        <v>45850</v>
      </c>
      <c r="D1610" s="1" t="str">
        <f xml:space="preserve"> TEXT(FilmaxData[[#This Row],[Show_Date]],"MMM")</f>
        <v>Jul</v>
      </c>
      <c r="E1610" s="1" t="str">
        <f xml:space="preserve"> TEXT(FilmaxData[[#This Row],[Show_Date]],"DDD")</f>
        <v>Sat</v>
      </c>
      <c r="F1610" t="s">
        <v>11</v>
      </c>
      <c r="G1610" t="s">
        <v>17</v>
      </c>
      <c r="H1610">
        <v>1</v>
      </c>
      <c r="I1610">
        <v>12</v>
      </c>
      <c r="J1610" t="s">
        <v>13</v>
      </c>
      <c r="K1610" t="s">
        <v>14</v>
      </c>
      <c r="L1610">
        <v>12</v>
      </c>
    </row>
    <row r="1611" spans="1:12" x14ac:dyDescent="0.3">
      <c r="A1611">
        <v>393</v>
      </c>
      <c r="B1611" t="s">
        <v>19</v>
      </c>
      <c r="C1611" s="1">
        <v>45857</v>
      </c>
      <c r="D1611" s="1" t="str">
        <f xml:space="preserve"> TEXT(FilmaxData[[#This Row],[Show_Date]],"MMM")</f>
        <v>Jul</v>
      </c>
      <c r="E1611" s="1" t="str">
        <f xml:space="preserve"> TEXT(FilmaxData[[#This Row],[Show_Date]],"DDD")</f>
        <v>Sat</v>
      </c>
      <c r="F1611" t="s">
        <v>16</v>
      </c>
      <c r="G1611" t="s">
        <v>17</v>
      </c>
      <c r="H1611">
        <v>4</v>
      </c>
      <c r="I1611">
        <v>12</v>
      </c>
      <c r="J1611" t="s">
        <v>21</v>
      </c>
      <c r="K1611" t="s">
        <v>18</v>
      </c>
      <c r="L1611">
        <v>48</v>
      </c>
    </row>
    <row r="1612" spans="1:12" x14ac:dyDescent="0.3">
      <c r="A1612">
        <v>1703</v>
      </c>
      <c r="B1612" t="s">
        <v>28</v>
      </c>
      <c r="C1612" s="1">
        <v>45856</v>
      </c>
      <c r="D1612" s="1" t="str">
        <f xml:space="preserve"> TEXT(FilmaxData[[#This Row],[Show_Date]],"MMM")</f>
        <v>Jul</v>
      </c>
      <c r="E1612" s="1" t="str">
        <f xml:space="preserve"> TEXT(FilmaxData[[#This Row],[Show_Date]],"DDD")</f>
        <v>Fri</v>
      </c>
      <c r="F1612" t="s">
        <v>16</v>
      </c>
      <c r="G1612" t="s">
        <v>17</v>
      </c>
      <c r="H1612">
        <v>5</v>
      </c>
      <c r="I1612">
        <v>12</v>
      </c>
      <c r="J1612" t="s">
        <v>13</v>
      </c>
      <c r="K1612" t="s">
        <v>14</v>
      </c>
      <c r="L1612">
        <v>60</v>
      </c>
    </row>
    <row r="1613" spans="1:12" x14ac:dyDescent="0.3">
      <c r="A1613">
        <v>1331</v>
      </c>
      <c r="B1613" t="s">
        <v>10</v>
      </c>
      <c r="C1613" s="1">
        <v>45906</v>
      </c>
      <c r="D1613" s="1" t="str">
        <f xml:space="preserve"> TEXT(FilmaxData[[#This Row],[Show_Date]],"MMM")</f>
        <v>Sep</v>
      </c>
      <c r="E1613" s="1" t="str">
        <f xml:space="preserve"> TEXT(FilmaxData[[#This Row],[Show_Date]],"DDD")</f>
        <v>Sat</v>
      </c>
      <c r="F1613" t="s">
        <v>33</v>
      </c>
      <c r="G1613" t="s">
        <v>12</v>
      </c>
      <c r="H1613">
        <v>4</v>
      </c>
      <c r="I1613">
        <v>25</v>
      </c>
      <c r="J1613" t="s">
        <v>21</v>
      </c>
      <c r="K1613" t="s">
        <v>27</v>
      </c>
      <c r="L1613">
        <v>100</v>
      </c>
    </row>
    <row r="1614" spans="1:12" x14ac:dyDescent="0.3">
      <c r="A1614">
        <v>1085</v>
      </c>
      <c r="B1614" t="s">
        <v>10</v>
      </c>
      <c r="C1614" s="1">
        <v>45864</v>
      </c>
      <c r="D1614" s="1" t="str">
        <f xml:space="preserve"> TEXT(FilmaxData[[#This Row],[Show_Date]],"MMM")</f>
        <v>Jul</v>
      </c>
      <c r="E1614" s="1" t="str">
        <f xml:space="preserve"> TEXT(FilmaxData[[#This Row],[Show_Date]],"DDD")</f>
        <v>Sat</v>
      </c>
      <c r="F1614" t="s">
        <v>20</v>
      </c>
      <c r="G1614" t="s">
        <v>30</v>
      </c>
      <c r="H1614">
        <v>4</v>
      </c>
      <c r="I1614">
        <v>8</v>
      </c>
      <c r="J1614" t="s">
        <v>13</v>
      </c>
      <c r="K1614" t="s">
        <v>27</v>
      </c>
      <c r="L1614">
        <v>32</v>
      </c>
    </row>
    <row r="1615" spans="1:12" x14ac:dyDescent="0.3">
      <c r="A1615">
        <v>889</v>
      </c>
      <c r="B1615" t="s">
        <v>31</v>
      </c>
      <c r="C1615" s="1">
        <v>45845</v>
      </c>
      <c r="D1615" s="1" t="str">
        <f xml:space="preserve"> TEXT(FilmaxData[[#This Row],[Show_Date]],"MMM")</f>
        <v>Jul</v>
      </c>
      <c r="E1615" s="1" t="str">
        <f xml:space="preserve"> TEXT(FilmaxData[[#This Row],[Show_Date]],"DDD")</f>
        <v>Mon</v>
      </c>
      <c r="F1615" t="s">
        <v>33</v>
      </c>
      <c r="G1615" t="s">
        <v>22</v>
      </c>
      <c r="H1615">
        <v>2</v>
      </c>
      <c r="I1615">
        <v>20</v>
      </c>
      <c r="J1615" t="s">
        <v>21</v>
      </c>
      <c r="K1615" t="s">
        <v>25</v>
      </c>
      <c r="L1615">
        <v>40</v>
      </c>
    </row>
    <row r="1616" spans="1:12" x14ac:dyDescent="0.3">
      <c r="A1616">
        <v>730</v>
      </c>
      <c r="B1616" t="s">
        <v>31</v>
      </c>
      <c r="C1616" s="1">
        <v>45843</v>
      </c>
      <c r="D1616" s="1" t="str">
        <f xml:space="preserve"> TEXT(FilmaxData[[#This Row],[Show_Date]],"MMM")</f>
        <v>Jul</v>
      </c>
      <c r="E1616" s="1" t="str">
        <f xml:space="preserve"> TEXT(FilmaxData[[#This Row],[Show_Date]],"DDD")</f>
        <v>Sat</v>
      </c>
      <c r="F1616" t="s">
        <v>33</v>
      </c>
      <c r="G1616" t="s">
        <v>17</v>
      </c>
      <c r="H1616">
        <v>2</v>
      </c>
      <c r="I1616">
        <v>12</v>
      </c>
      <c r="J1616" t="s">
        <v>23</v>
      </c>
      <c r="K1616" t="s">
        <v>14</v>
      </c>
      <c r="L1616">
        <v>24</v>
      </c>
    </row>
    <row r="1617" spans="1:12" x14ac:dyDescent="0.3">
      <c r="A1617">
        <v>635</v>
      </c>
      <c r="B1617" t="s">
        <v>26</v>
      </c>
      <c r="C1617" s="1">
        <v>45851</v>
      </c>
      <c r="D1617" s="1" t="str">
        <f xml:space="preserve"> TEXT(FilmaxData[[#This Row],[Show_Date]],"MMM")</f>
        <v>Jul</v>
      </c>
      <c r="E1617" s="1" t="str">
        <f xml:space="preserve"> TEXT(FilmaxData[[#This Row],[Show_Date]],"DDD")</f>
        <v>Sun</v>
      </c>
      <c r="F1617" t="s">
        <v>20</v>
      </c>
      <c r="G1617" t="s">
        <v>30</v>
      </c>
      <c r="H1617">
        <v>2</v>
      </c>
      <c r="I1617">
        <v>8</v>
      </c>
      <c r="J1617" t="s">
        <v>23</v>
      </c>
      <c r="K1617" t="s">
        <v>27</v>
      </c>
      <c r="L1617">
        <v>16</v>
      </c>
    </row>
    <row r="1618" spans="1:12" x14ac:dyDescent="0.3">
      <c r="A1618">
        <v>1976</v>
      </c>
      <c r="B1618" t="s">
        <v>24</v>
      </c>
      <c r="C1618" s="1">
        <v>45923</v>
      </c>
      <c r="D1618" s="1" t="str">
        <f xml:space="preserve"> TEXT(FilmaxData[[#This Row],[Show_Date]],"MMM")</f>
        <v>Sep</v>
      </c>
      <c r="E1618" s="1" t="str">
        <f xml:space="preserve"> TEXT(FilmaxData[[#This Row],[Show_Date]],"DDD")</f>
        <v>Tue</v>
      </c>
      <c r="F1618" t="s">
        <v>11</v>
      </c>
      <c r="G1618" t="s">
        <v>29</v>
      </c>
      <c r="H1618">
        <v>1</v>
      </c>
      <c r="I1618">
        <v>30</v>
      </c>
      <c r="J1618" t="s">
        <v>13</v>
      </c>
      <c r="K1618" t="s">
        <v>27</v>
      </c>
      <c r="L1618">
        <v>30</v>
      </c>
    </row>
    <row r="1619" spans="1:12" x14ac:dyDescent="0.3">
      <c r="A1619">
        <v>1438</v>
      </c>
      <c r="B1619" t="s">
        <v>15</v>
      </c>
      <c r="C1619" s="1">
        <v>45894</v>
      </c>
      <c r="D1619" s="1" t="str">
        <f xml:space="preserve"> TEXT(FilmaxData[[#This Row],[Show_Date]],"MMM")</f>
        <v>Aug</v>
      </c>
      <c r="E1619" s="1" t="str">
        <f xml:space="preserve"> TEXT(FilmaxData[[#This Row],[Show_Date]],"DDD")</f>
        <v>Mon</v>
      </c>
      <c r="F1619" t="s">
        <v>11</v>
      </c>
      <c r="G1619" t="s">
        <v>12</v>
      </c>
      <c r="H1619">
        <v>5</v>
      </c>
      <c r="I1619">
        <v>25</v>
      </c>
      <c r="J1619" t="s">
        <v>21</v>
      </c>
      <c r="K1619" t="s">
        <v>14</v>
      </c>
      <c r="L1619">
        <v>125</v>
      </c>
    </row>
    <row r="1620" spans="1:12" x14ac:dyDescent="0.3">
      <c r="A1620">
        <v>992</v>
      </c>
      <c r="B1620" t="s">
        <v>31</v>
      </c>
      <c r="C1620" s="1">
        <v>45876</v>
      </c>
      <c r="D1620" s="1" t="str">
        <f xml:space="preserve"> TEXT(FilmaxData[[#This Row],[Show_Date]],"MMM")</f>
        <v>Aug</v>
      </c>
      <c r="E1620" s="1" t="str">
        <f xml:space="preserve"> TEXT(FilmaxData[[#This Row],[Show_Date]],"DDD")</f>
        <v>Thu</v>
      </c>
      <c r="F1620" t="s">
        <v>20</v>
      </c>
      <c r="G1620" t="s">
        <v>22</v>
      </c>
      <c r="H1620">
        <v>3</v>
      </c>
      <c r="I1620">
        <v>20</v>
      </c>
      <c r="J1620" t="s">
        <v>21</v>
      </c>
      <c r="K1620" t="s">
        <v>25</v>
      </c>
      <c r="L1620">
        <v>60</v>
      </c>
    </row>
    <row r="1621" spans="1:12" x14ac:dyDescent="0.3">
      <c r="A1621">
        <v>324</v>
      </c>
      <c r="B1621" t="s">
        <v>26</v>
      </c>
      <c r="C1621" s="1">
        <v>45864</v>
      </c>
      <c r="D1621" s="1" t="str">
        <f xml:space="preserve"> TEXT(FilmaxData[[#This Row],[Show_Date]],"MMM")</f>
        <v>Jul</v>
      </c>
      <c r="E1621" s="1" t="str">
        <f xml:space="preserve"> TEXT(FilmaxData[[#This Row],[Show_Date]],"DDD")</f>
        <v>Sat</v>
      </c>
      <c r="F1621" t="s">
        <v>16</v>
      </c>
      <c r="G1621" t="s">
        <v>17</v>
      </c>
      <c r="H1621">
        <v>3</v>
      </c>
      <c r="I1621">
        <v>12</v>
      </c>
      <c r="J1621" t="s">
        <v>23</v>
      </c>
      <c r="K1621" t="s">
        <v>18</v>
      </c>
      <c r="L1621">
        <v>36</v>
      </c>
    </row>
    <row r="1622" spans="1:12" x14ac:dyDescent="0.3">
      <c r="A1622">
        <v>105</v>
      </c>
      <c r="B1622" t="s">
        <v>26</v>
      </c>
      <c r="C1622" s="1">
        <v>45879</v>
      </c>
      <c r="D1622" s="1" t="str">
        <f xml:space="preserve"> TEXT(FilmaxData[[#This Row],[Show_Date]],"MMM")</f>
        <v>Aug</v>
      </c>
      <c r="E1622" s="1" t="str">
        <f xml:space="preserve"> TEXT(FilmaxData[[#This Row],[Show_Date]],"DDD")</f>
        <v>Sun</v>
      </c>
      <c r="F1622" t="s">
        <v>16</v>
      </c>
      <c r="G1622" t="s">
        <v>30</v>
      </c>
      <c r="H1622">
        <v>5</v>
      </c>
      <c r="I1622">
        <v>8</v>
      </c>
      <c r="J1622" t="s">
        <v>13</v>
      </c>
      <c r="K1622" t="s">
        <v>14</v>
      </c>
      <c r="L1622">
        <v>40</v>
      </c>
    </row>
    <row r="1623" spans="1:12" x14ac:dyDescent="0.3">
      <c r="A1623">
        <v>1063</v>
      </c>
      <c r="B1623" t="s">
        <v>28</v>
      </c>
      <c r="C1623" s="1">
        <v>45878</v>
      </c>
      <c r="D1623" s="1" t="str">
        <f xml:space="preserve"> TEXT(FilmaxData[[#This Row],[Show_Date]],"MMM")</f>
        <v>Aug</v>
      </c>
      <c r="E1623" s="1" t="str">
        <f xml:space="preserve"> TEXT(FilmaxData[[#This Row],[Show_Date]],"DDD")</f>
        <v>Sat</v>
      </c>
      <c r="F1623" t="s">
        <v>16</v>
      </c>
      <c r="G1623" t="s">
        <v>12</v>
      </c>
      <c r="H1623">
        <v>1</v>
      </c>
      <c r="I1623">
        <v>25</v>
      </c>
      <c r="J1623" t="s">
        <v>23</v>
      </c>
      <c r="K1623" t="s">
        <v>25</v>
      </c>
      <c r="L1623">
        <v>25</v>
      </c>
    </row>
    <row r="1624" spans="1:12" x14ac:dyDescent="0.3">
      <c r="A1624">
        <v>651</v>
      </c>
      <c r="B1624" t="s">
        <v>28</v>
      </c>
      <c r="C1624" s="1">
        <v>45887</v>
      </c>
      <c r="D1624" s="1" t="str">
        <f xml:space="preserve"> TEXT(FilmaxData[[#This Row],[Show_Date]],"MMM")</f>
        <v>Aug</v>
      </c>
      <c r="E1624" s="1" t="str">
        <f xml:space="preserve"> TEXT(FilmaxData[[#This Row],[Show_Date]],"DDD")</f>
        <v>Mon</v>
      </c>
      <c r="F1624" t="s">
        <v>16</v>
      </c>
      <c r="G1624" t="s">
        <v>17</v>
      </c>
      <c r="H1624">
        <v>5</v>
      </c>
      <c r="I1624">
        <v>12</v>
      </c>
      <c r="J1624" t="s">
        <v>21</v>
      </c>
      <c r="K1624" t="s">
        <v>14</v>
      </c>
      <c r="L1624">
        <v>60</v>
      </c>
    </row>
    <row r="1625" spans="1:12" x14ac:dyDescent="0.3">
      <c r="A1625">
        <v>597</v>
      </c>
      <c r="B1625" t="s">
        <v>15</v>
      </c>
      <c r="C1625" s="1">
        <v>45884</v>
      </c>
      <c r="D1625" s="1" t="str">
        <f xml:space="preserve"> TEXT(FilmaxData[[#This Row],[Show_Date]],"MMM")</f>
        <v>Aug</v>
      </c>
      <c r="E1625" s="1" t="str">
        <f xml:space="preserve"> TEXT(FilmaxData[[#This Row],[Show_Date]],"DDD")</f>
        <v>Fri</v>
      </c>
      <c r="F1625" t="s">
        <v>11</v>
      </c>
      <c r="G1625" t="s">
        <v>17</v>
      </c>
      <c r="H1625">
        <v>3</v>
      </c>
      <c r="I1625">
        <v>12</v>
      </c>
      <c r="J1625" t="s">
        <v>23</v>
      </c>
      <c r="K1625" t="s">
        <v>14</v>
      </c>
      <c r="L1625">
        <v>36</v>
      </c>
    </row>
    <row r="1626" spans="1:12" x14ac:dyDescent="0.3">
      <c r="A1626">
        <v>1397</v>
      </c>
      <c r="B1626" t="s">
        <v>32</v>
      </c>
      <c r="C1626" s="1">
        <v>45902</v>
      </c>
      <c r="D1626" s="1" t="str">
        <f xml:space="preserve"> TEXT(FilmaxData[[#This Row],[Show_Date]],"MMM")</f>
        <v>Sep</v>
      </c>
      <c r="E1626" s="1" t="str">
        <f xml:space="preserve"> TEXT(FilmaxData[[#This Row],[Show_Date]],"DDD")</f>
        <v>Tue</v>
      </c>
      <c r="F1626" t="s">
        <v>16</v>
      </c>
      <c r="G1626" t="s">
        <v>22</v>
      </c>
      <c r="H1626">
        <v>2</v>
      </c>
      <c r="I1626">
        <v>20</v>
      </c>
      <c r="J1626" t="s">
        <v>13</v>
      </c>
      <c r="K1626" t="s">
        <v>25</v>
      </c>
      <c r="L1626">
        <v>40</v>
      </c>
    </row>
    <row r="1627" spans="1:12" x14ac:dyDescent="0.3">
      <c r="A1627">
        <v>1431</v>
      </c>
      <c r="B1627" t="s">
        <v>24</v>
      </c>
      <c r="C1627" s="1">
        <v>45841</v>
      </c>
      <c r="D1627" s="1" t="str">
        <f xml:space="preserve"> TEXT(FilmaxData[[#This Row],[Show_Date]],"MMM")</f>
        <v>Jul</v>
      </c>
      <c r="E1627" s="1" t="str">
        <f xml:space="preserve"> TEXT(FilmaxData[[#This Row],[Show_Date]],"DDD")</f>
        <v>Thu</v>
      </c>
      <c r="F1627" t="s">
        <v>11</v>
      </c>
      <c r="G1627" t="s">
        <v>12</v>
      </c>
      <c r="H1627">
        <v>1</v>
      </c>
      <c r="I1627">
        <v>25</v>
      </c>
      <c r="J1627" t="s">
        <v>13</v>
      </c>
      <c r="K1627" t="s">
        <v>27</v>
      </c>
      <c r="L1627">
        <v>25</v>
      </c>
    </row>
    <row r="1628" spans="1:12" x14ac:dyDescent="0.3">
      <c r="A1628">
        <v>1298</v>
      </c>
      <c r="B1628" t="s">
        <v>24</v>
      </c>
      <c r="C1628" s="1">
        <v>45916</v>
      </c>
      <c r="D1628" s="1" t="str">
        <f xml:space="preserve"> TEXT(FilmaxData[[#This Row],[Show_Date]],"MMM")</f>
        <v>Sep</v>
      </c>
      <c r="E1628" s="1" t="str">
        <f xml:space="preserve"> TEXT(FilmaxData[[#This Row],[Show_Date]],"DDD")</f>
        <v>Tue</v>
      </c>
      <c r="F1628" t="s">
        <v>16</v>
      </c>
      <c r="G1628" t="s">
        <v>17</v>
      </c>
      <c r="H1628">
        <v>1</v>
      </c>
      <c r="I1628">
        <v>12</v>
      </c>
      <c r="J1628" t="s">
        <v>21</v>
      </c>
      <c r="K1628" t="s">
        <v>25</v>
      </c>
      <c r="L1628">
        <v>12</v>
      </c>
    </row>
    <row r="1629" spans="1:12" x14ac:dyDescent="0.3">
      <c r="A1629">
        <v>112</v>
      </c>
      <c r="B1629" t="s">
        <v>28</v>
      </c>
      <c r="C1629" s="1">
        <v>45885</v>
      </c>
      <c r="D1629" s="1" t="str">
        <f xml:space="preserve"> TEXT(FilmaxData[[#This Row],[Show_Date]],"MMM")</f>
        <v>Aug</v>
      </c>
      <c r="E1629" s="1" t="str">
        <f xml:space="preserve"> TEXT(FilmaxData[[#This Row],[Show_Date]],"DDD")</f>
        <v>Sat</v>
      </c>
      <c r="F1629" t="s">
        <v>33</v>
      </c>
      <c r="G1629" t="s">
        <v>17</v>
      </c>
      <c r="H1629">
        <v>2</v>
      </c>
      <c r="I1629">
        <v>12</v>
      </c>
      <c r="J1629" t="s">
        <v>23</v>
      </c>
      <c r="K1629" t="s">
        <v>14</v>
      </c>
      <c r="L1629">
        <v>24</v>
      </c>
    </row>
    <row r="1630" spans="1:12" x14ac:dyDescent="0.3">
      <c r="A1630">
        <v>409</v>
      </c>
      <c r="B1630" t="s">
        <v>31</v>
      </c>
      <c r="C1630" s="1">
        <v>45878</v>
      </c>
      <c r="D1630" s="1" t="str">
        <f xml:space="preserve"> TEXT(FilmaxData[[#This Row],[Show_Date]],"MMM")</f>
        <v>Aug</v>
      </c>
      <c r="E1630" s="1" t="str">
        <f xml:space="preserve"> TEXT(FilmaxData[[#This Row],[Show_Date]],"DDD")</f>
        <v>Sat</v>
      </c>
      <c r="F1630" t="s">
        <v>11</v>
      </c>
      <c r="G1630" t="s">
        <v>29</v>
      </c>
      <c r="H1630">
        <v>1</v>
      </c>
      <c r="I1630">
        <v>30</v>
      </c>
      <c r="J1630" t="s">
        <v>13</v>
      </c>
      <c r="K1630" t="s">
        <v>27</v>
      </c>
      <c r="L1630">
        <v>30</v>
      </c>
    </row>
    <row r="1631" spans="1:12" x14ac:dyDescent="0.3">
      <c r="A1631">
        <v>403</v>
      </c>
      <c r="B1631" t="s">
        <v>32</v>
      </c>
      <c r="C1631" s="1">
        <v>45853</v>
      </c>
      <c r="D1631" s="1" t="str">
        <f xml:space="preserve"> TEXT(FilmaxData[[#This Row],[Show_Date]],"MMM")</f>
        <v>Jul</v>
      </c>
      <c r="E1631" s="1" t="str">
        <f xml:space="preserve"> TEXT(FilmaxData[[#This Row],[Show_Date]],"DDD")</f>
        <v>Tue</v>
      </c>
      <c r="F1631" t="s">
        <v>11</v>
      </c>
      <c r="G1631" t="s">
        <v>17</v>
      </c>
      <c r="H1631">
        <v>5</v>
      </c>
      <c r="I1631">
        <v>12</v>
      </c>
      <c r="J1631" t="s">
        <v>13</v>
      </c>
      <c r="K1631" t="s">
        <v>14</v>
      </c>
      <c r="L1631">
        <v>60</v>
      </c>
    </row>
    <row r="1632" spans="1:12" x14ac:dyDescent="0.3">
      <c r="A1632">
        <v>1946</v>
      </c>
      <c r="B1632" t="s">
        <v>19</v>
      </c>
      <c r="C1632" s="1">
        <v>45904</v>
      </c>
      <c r="D1632" s="1" t="str">
        <f xml:space="preserve"> TEXT(FilmaxData[[#This Row],[Show_Date]],"MMM")</f>
        <v>Sep</v>
      </c>
      <c r="E1632" s="1" t="str">
        <f xml:space="preserve"> TEXT(FilmaxData[[#This Row],[Show_Date]],"DDD")</f>
        <v>Thu</v>
      </c>
      <c r="F1632" t="s">
        <v>20</v>
      </c>
      <c r="G1632" t="s">
        <v>17</v>
      </c>
      <c r="H1632">
        <v>5</v>
      </c>
      <c r="I1632">
        <v>12</v>
      </c>
      <c r="J1632" t="s">
        <v>13</v>
      </c>
      <c r="K1632" t="s">
        <v>27</v>
      </c>
      <c r="L1632">
        <v>60</v>
      </c>
    </row>
    <row r="1633" spans="1:12" x14ac:dyDescent="0.3">
      <c r="A1633">
        <v>1609</v>
      </c>
      <c r="B1633" t="s">
        <v>10</v>
      </c>
      <c r="C1633" s="1">
        <v>45844</v>
      </c>
      <c r="D1633" s="1" t="str">
        <f xml:space="preserve"> TEXT(FilmaxData[[#This Row],[Show_Date]],"MMM")</f>
        <v>Jul</v>
      </c>
      <c r="E1633" s="1" t="str">
        <f xml:space="preserve"> TEXT(FilmaxData[[#This Row],[Show_Date]],"DDD")</f>
        <v>Sun</v>
      </c>
      <c r="F1633" t="s">
        <v>11</v>
      </c>
      <c r="G1633" t="s">
        <v>29</v>
      </c>
      <c r="H1633">
        <v>4</v>
      </c>
      <c r="I1633">
        <v>30</v>
      </c>
      <c r="J1633" t="s">
        <v>13</v>
      </c>
      <c r="K1633" t="s">
        <v>14</v>
      </c>
      <c r="L1633">
        <v>120</v>
      </c>
    </row>
    <row r="1634" spans="1:12" x14ac:dyDescent="0.3">
      <c r="A1634">
        <v>167</v>
      </c>
      <c r="B1634" t="s">
        <v>19</v>
      </c>
      <c r="C1634" s="1">
        <v>45885</v>
      </c>
      <c r="D1634" s="1" t="str">
        <f xml:space="preserve"> TEXT(FilmaxData[[#This Row],[Show_Date]],"MMM")</f>
        <v>Aug</v>
      </c>
      <c r="E1634" s="1" t="str">
        <f xml:space="preserve"> TEXT(FilmaxData[[#This Row],[Show_Date]],"DDD")</f>
        <v>Sat</v>
      </c>
      <c r="F1634" t="s">
        <v>16</v>
      </c>
      <c r="G1634" t="s">
        <v>12</v>
      </c>
      <c r="H1634">
        <v>2</v>
      </c>
      <c r="I1634">
        <v>25</v>
      </c>
      <c r="J1634" t="s">
        <v>21</v>
      </c>
      <c r="K1634" t="s">
        <v>18</v>
      </c>
      <c r="L1634">
        <v>50</v>
      </c>
    </row>
    <row r="1635" spans="1:12" x14ac:dyDescent="0.3">
      <c r="A1635">
        <v>66</v>
      </c>
      <c r="B1635" t="s">
        <v>26</v>
      </c>
      <c r="C1635" s="1">
        <v>45893</v>
      </c>
      <c r="D1635" s="1" t="str">
        <f xml:space="preserve"> TEXT(FilmaxData[[#This Row],[Show_Date]],"MMM")</f>
        <v>Aug</v>
      </c>
      <c r="E1635" s="1" t="str">
        <f xml:space="preserve"> TEXT(FilmaxData[[#This Row],[Show_Date]],"DDD")</f>
        <v>Sun</v>
      </c>
      <c r="F1635" t="s">
        <v>16</v>
      </c>
      <c r="G1635" t="s">
        <v>30</v>
      </c>
      <c r="H1635">
        <v>1</v>
      </c>
      <c r="I1635">
        <v>8</v>
      </c>
      <c r="J1635" t="s">
        <v>23</v>
      </c>
      <c r="K1635" t="s">
        <v>18</v>
      </c>
      <c r="L1635">
        <v>8</v>
      </c>
    </row>
    <row r="1636" spans="1:12" x14ac:dyDescent="0.3">
      <c r="A1636">
        <v>19</v>
      </c>
      <c r="B1636" t="s">
        <v>19</v>
      </c>
      <c r="C1636" s="1">
        <v>45899</v>
      </c>
      <c r="D1636" s="1" t="str">
        <f xml:space="preserve"> TEXT(FilmaxData[[#This Row],[Show_Date]],"MMM")</f>
        <v>Aug</v>
      </c>
      <c r="E1636" s="1" t="str">
        <f xml:space="preserve"> TEXT(FilmaxData[[#This Row],[Show_Date]],"DDD")</f>
        <v>Sat</v>
      </c>
      <c r="F1636" t="s">
        <v>33</v>
      </c>
      <c r="G1636" t="s">
        <v>17</v>
      </c>
      <c r="H1636">
        <v>5</v>
      </c>
      <c r="I1636">
        <v>12</v>
      </c>
      <c r="J1636" t="s">
        <v>23</v>
      </c>
      <c r="K1636" t="s">
        <v>18</v>
      </c>
      <c r="L1636">
        <v>60</v>
      </c>
    </row>
    <row r="1637" spans="1:12" x14ac:dyDescent="0.3">
      <c r="A1637">
        <v>1654</v>
      </c>
      <c r="B1637" t="s">
        <v>28</v>
      </c>
      <c r="C1637" s="1">
        <v>45914</v>
      </c>
      <c r="D1637" s="1" t="str">
        <f xml:space="preserve"> TEXT(FilmaxData[[#This Row],[Show_Date]],"MMM")</f>
        <v>Sep</v>
      </c>
      <c r="E1637" s="1" t="str">
        <f xml:space="preserve"> TEXT(FilmaxData[[#This Row],[Show_Date]],"DDD")</f>
        <v>Sun</v>
      </c>
      <c r="F1637" t="s">
        <v>11</v>
      </c>
      <c r="G1637" t="s">
        <v>17</v>
      </c>
      <c r="H1637">
        <v>3</v>
      </c>
      <c r="I1637">
        <v>12</v>
      </c>
      <c r="J1637" t="s">
        <v>13</v>
      </c>
      <c r="K1637" t="s">
        <v>27</v>
      </c>
      <c r="L1637">
        <v>36</v>
      </c>
    </row>
    <row r="1638" spans="1:12" x14ac:dyDescent="0.3">
      <c r="A1638">
        <v>278</v>
      </c>
      <c r="B1638" t="s">
        <v>10</v>
      </c>
      <c r="C1638" s="1">
        <v>45849</v>
      </c>
      <c r="D1638" s="1" t="str">
        <f xml:space="preserve"> TEXT(FilmaxData[[#This Row],[Show_Date]],"MMM")</f>
        <v>Jul</v>
      </c>
      <c r="E1638" s="1" t="str">
        <f xml:space="preserve"> TEXT(FilmaxData[[#This Row],[Show_Date]],"DDD")</f>
        <v>Fri</v>
      </c>
      <c r="F1638" t="s">
        <v>20</v>
      </c>
      <c r="G1638" t="s">
        <v>12</v>
      </c>
      <c r="H1638">
        <v>3</v>
      </c>
      <c r="I1638">
        <v>25</v>
      </c>
      <c r="J1638" t="s">
        <v>13</v>
      </c>
      <c r="K1638" t="s">
        <v>18</v>
      </c>
      <c r="L1638">
        <v>75</v>
      </c>
    </row>
    <row r="1639" spans="1:12" x14ac:dyDescent="0.3">
      <c r="A1639">
        <v>465</v>
      </c>
      <c r="B1639" t="s">
        <v>31</v>
      </c>
      <c r="C1639" s="1">
        <v>45864</v>
      </c>
      <c r="D1639" s="1" t="str">
        <f xml:space="preserve"> TEXT(FilmaxData[[#This Row],[Show_Date]],"MMM")</f>
        <v>Jul</v>
      </c>
      <c r="E1639" s="1" t="str">
        <f xml:space="preserve"> TEXT(FilmaxData[[#This Row],[Show_Date]],"DDD")</f>
        <v>Sat</v>
      </c>
      <c r="F1639" t="s">
        <v>33</v>
      </c>
      <c r="G1639" t="s">
        <v>12</v>
      </c>
      <c r="H1639">
        <v>2</v>
      </c>
      <c r="I1639">
        <v>25</v>
      </c>
      <c r="J1639" t="s">
        <v>13</v>
      </c>
      <c r="K1639" t="s">
        <v>25</v>
      </c>
      <c r="L1639">
        <v>50</v>
      </c>
    </row>
    <row r="1640" spans="1:12" x14ac:dyDescent="0.3">
      <c r="A1640">
        <v>1957</v>
      </c>
      <c r="B1640" t="s">
        <v>10</v>
      </c>
      <c r="C1640" s="1">
        <v>45844</v>
      </c>
      <c r="D1640" s="1" t="str">
        <f xml:space="preserve"> TEXT(FilmaxData[[#This Row],[Show_Date]],"MMM")</f>
        <v>Jul</v>
      </c>
      <c r="E1640" s="1" t="str">
        <f xml:space="preserve"> TEXT(FilmaxData[[#This Row],[Show_Date]],"DDD")</f>
        <v>Sun</v>
      </c>
      <c r="F1640" t="s">
        <v>11</v>
      </c>
      <c r="G1640" t="s">
        <v>29</v>
      </c>
      <c r="H1640">
        <v>2</v>
      </c>
      <c r="I1640">
        <v>30</v>
      </c>
      <c r="J1640" t="s">
        <v>21</v>
      </c>
      <c r="K1640" t="s">
        <v>25</v>
      </c>
      <c r="L1640">
        <v>60</v>
      </c>
    </row>
    <row r="1641" spans="1:12" x14ac:dyDescent="0.3">
      <c r="A1641">
        <v>427</v>
      </c>
      <c r="B1641" t="s">
        <v>24</v>
      </c>
      <c r="C1641" s="1">
        <v>45851</v>
      </c>
      <c r="D1641" s="1" t="str">
        <f xml:space="preserve"> TEXT(FilmaxData[[#This Row],[Show_Date]],"MMM")</f>
        <v>Jul</v>
      </c>
      <c r="E1641" s="1" t="str">
        <f xml:space="preserve"> TEXT(FilmaxData[[#This Row],[Show_Date]],"DDD")</f>
        <v>Sun</v>
      </c>
      <c r="F1641" t="s">
        <v>11</v>
      </c>
      <c r="G1641" t="s">
        <v>17</v>
      </c>
      <c r="H1641">
        <v>2</v>
      </c>
      <c r="I1641">
        <v>12</v>
      </c>
      <c r="J1641" t="s">
        <v>13</v>
      </c>
      <c r="K1641" t="s">
        <v>14</v>
      </c>
      <c r="L1641">
        <v>24</v>
      </c>
    </row>
    <row r="1642" spans="1:12" x14ac:dyDescent="0.3">
      <c r="A1642">
        <v>950</v>
      </c>
      <c r="B1642" t="s">
        <v>15</v>
      </c>
      <c r="C1642" s="1">
        <v>45923</v>
      </c>
      <c r="D1642" s="1" t="str">
        <f xml:space="preserve"> TEXT(FilmaxData[[#This Row],[Show_Date]],"MMM")</f>
        <v>Sep</v>
      </c>
      <c r="E1642" s="1" t="str">
        <f xml:space="preserve"> TEXT(FilmaxData[[#This Row],[Show_Date]],"DDD")</f>
        <v>Tue</v>
      </c>
      <c r="F1642" t="s">
        <v>16</v>
      </c>
      <c r="G1642" t="s">
        <v>29</v>
      </c>
      <c r="H1642">
        <v>1</v>
      </c>
      <c r="I1642">
        <v>30</v>
      </c>
      <c r="J1642" t="s">
        <v>13</v>
      </c>
      <c r="K1642" t="s">
        <v>14</v>
      </c>
      <c r="L1642">
        <v>30</v>
      </c>
    </row>
    <row r="1643" spans="1:12" x14ac:dyDescent="0.3">
      <c r="A1643">
        <v>1707</v>
      </c>
      <c r="B1643" t="s">
        <v>32</v>
      </c>
      <c r="C1643" s="1">
        <v>45882</v>
      </c>
      <c r="D1643" s="1" t="str">
        <f xml:space="preserve"> TEXT(FilmaxData[[#This Row],[Show_Date]],"MMM")</f>
        <v>Aug</v>
      </c>
      <c r="E1643" s="1" t="str">
        <f xml:space="preserve"> TEXT(FilmaxData[[#This Row],[Show_Date]],"DDD")</f>
        <v>Wed</v>
      </c>
      <c r="F1643" t="s">
        <v>33</v>
      </c>
      <c r="G1643" t="s">
        <v>30</v>
      </c>
      <c r="H1643">
        <v>1</v>
      </c>
      <c r="I1643">
        <v>8</v>
      </c>
      <c r="J1643" t="s">
        <v>21</v>
      </c>
      <c r="K1643" t="s">
        <v>18</v>
      </c>
      <c r="L1643">
        <v>8</v>
      </c>
    </row>
    <row r="1644" spans="1:12" x14ac:dyDescent="0.3">
      <c r="A1644">
        <v>1686</v>
      </c>
      <c r="B1644" t="s">
        <v>24</v>
      </c>
      <c r="C1644" s="1">
        <v>45929</v>
      </c>
      <c r="D1644" s="1" t="str">
        <f xml:space="preserve"> TEXT(FilmaxData[[#This Row],[Show_Date]],"MMM")</f>
        <v>Sep</v>
      </c>
      <c r="E1644" s="1" t="str">
        <f xml:space="preserve"> TEXT(FilmaxData[[#This Row],[Show_Date]],"DDD")</f>
        <v>Mon</v>
      </c>
      <c r="F1644" t="s">
        <v>20</v>
      </c>
      <c r="G1644" t="s">
        <v>12</v>
      </c>
      <c r="H1644">
        <v>4</v>
      </c>
      <c r="I1644">
        <v>25</v>
      </c>
      <c r="J1644" t="s">
        <v>13</v>
      </c>
      <c r="K1644" t="s">
        <v>18</v>
      </c>
      <c r="L1644">
        <v>100</v>
      </c>
    </row>
    <row r="1645" spans="1:12" x14ac:dyDescent="0.3">
      <c r="A1645">
        <v>1550</v>
      </c>
      <c r="B1645" t="s">
        <v>19</v>
      </c>
      <c r="C1645" s="1">
        <v>45889</v>
      </c>
      <c r="D1645" s="1" t="str">
        <f xml:space="preserve"> TEXT(FilmaxData[[#This Row],[Show_Date]],"MMM")</f>
        <v>Aug</v>
      </c>
      <c r="E1645" s="1" t="str">
        <f xml:space="preserve"> TEXT(FilmaxData[[#This Row],[Show_Date]],"DDD")</f>
        <v>Wed</v>
      </c>
      <c r="F1645" t="s">
        <v>16</v>
      </c>
      <c r="G1645" t="s">
        <v>12</v>
      </c>
      <c r="H1645">
        <v>3</v>
      </c>
      <c r="I1645">
        <v>25</v>
      </c>
      <c r="J1645" t="s">
        <v>23</v>
      </c>
      <c r="K1645" t="s">
        <v>25</v>
      </c>
      <c r="L1645">
        <v>75</v>
      </c>
    </row>
    <row r="1646" spans="1:12" x14ac:dyDescent="0.3">
      <c r="A1646">
        <v>818</v>
      </c>
      <c r="B1646" t="s">
        <v>32</v>
      </c>
      <c r="C1646" s="1">
        <v>45921</v>
      </c>
      <c r="D1646" s="1" t="str">
        <f xml:space="preserve"> TEXT(FilmaxData[[#This Row],[Show_Date]],"MMM")</f>
        <v>Sep</v>
      </c>
      <c r="E1646" s="1" t="str">
        <f xml:space="preserve"> TEXT(FilmaxData[[#This Row],[Show_Date]],"DDD")</f>
        <v>Sun</v>
      </c>
      <c r="F1646" t="s">
        <v>11</v>
      </c>
      <c r="G1646" t="s">
        <v>17</v>
      </c>
      <c r="H1646">
        <v>1</v>
      </c>
      <c r="I1646">
        <v>12</v>
      </c>
      <c r="J1646" t="s">
        <v>13</v>
      </c>
      <c r="K1646" t="s">
        <v>18</v>
      </c>
      <c r="L1646">
        <v>12</v>
      </c>
    </row>
    <row r="1647" spans="1:12" x14ac:dyDescent="0.3">
      <c r="A1647">
        <v>1269</v>
      </c>
      <c r="B1647" t="s">
        <v>15</v>
      </c>
      <c r="C1647" s="1">
        <v>45866</v>
      </c>
      <c r="D1647" s="1" t="str">
        <f xml:space="preserve"> TEXT(FilmaxData[[#This Row],[Show_Date]],"MMM")</f>
        <v>Jul</v>
      </c>
      <c r="E1647" s="1" t="str">
        <f xml:space="preserve"> TEXT(FilmaxData[[#This Row],[Show_Date]],"DDD")</f>
        <v>Mon</v>
      </c>
      <c r="F1647" t="s">
        <v>16</v>
      </c>
      <c r="G1647" t="s">
        <v>12</v>
      </c>
      <c r="H1647">
        <v>2</v>
      </c>
      <c r="I1647">
        <v>25</v>
      </c>
      <c r="J1647" t="s">
        <v>21</v>
      </c>
      <c r="K1647" t="s">
        <v>14</v>
      </c>
      <c r="L1647">
        <v>50</v>
      </c>
    </row>
    <row r="1648" spans="1:12" x14ac:dyDescent="0.3">
      <c r="A1648">
        <v>858</v>
      </c>
      <c r="B1648" t="s">
        <v>32</v>
      </c>
      <c r="C1648" s="1">
        <v>45853</v>
      </c>
      <c r="D1648" s="1" t="str">
        <f xml:space="preserve"> TEXT(FilmaxData[[#This Row],[Show_Date]],"MMM")</f>
        <v>Jul</v>
      </c>
      <c r="E1648" s="1" t="str">
        <f xml:space="preserve"> TEXT(FilmaxData[[#This Row],[Show_Date]],"DDD")</f>
        <v>Tue</v>
      </c>
      <c r="F1648" t="s">
        <v>33</v>
      </c>
      <c r="G1648" t="s">
        <v>17</v>
      </c>
      <c r="H1648">
        <v>1</v>
      </c>
      <c r="I1648">
        <v>12</v>
      </c>
      <c r="J1648" t="s">
        <v>21</v>
      </c>
      <c r="K1648" t="s">
        <v>18</v>
      </c>
      <c r="L1648">
        <v>12</v>
      </c>
    </row>
    <row r="1649" spans="1:12" x14ac:dyDescent="0.3">
      <c r="A1649">
        <v>834</v>
      </c>
      <c r="B1649" t="s">
        <v>31</v>
      </c>
      <c r="C1649" s="1">
        <v>45849</v>
      </c>
      <c r="D1649" s="1" t="str">
        <f xml:space="preserve"> TEXT(FilmaxData[[#This Row],[Show_Date]],"MMM")</f>
        <v>Jul</v>
      </c>
      <c r="E1649" s="1" t="str">
        <f xml:space="preserve"> TEXT(FilmaxData[[#This Row],[Show_Date]],"DDD")</f>
        <v>Fri</v>
      </c>
      <c r="F1649" t="s">
        <v>33</v>
      </c>
      <c r="G1649" t="s">
        <v>17</v>
      </c>
      <c r="H1649">
        <v>5</v>
      </c>
      <c r="I1649">
        <v>12</v>
      </c>
      <c r="J1649" t="s">
        <v>21</v>
      </c>
      <c r="K1649" t="s">
        <v>14</v>
      </c>
      <c r="L1649">
        <v>60</v>
      </c>
    </row>
    <row r="1650" spans="1:12" x14ac:dyDescent="0.3">
      <c r="A1650">
        <v>228</v>
      </c>
      <c r="B1650" t="s">
        <v>10</v>
      </c>
      <c r="C1650" s="1">
        <v>45929</v>
      </c>
      <c r="D1650" s="1" t="str">
        <f xml:space="preserve"> TEXT(FilmaxData[[#This Row],[Show_Date]],"MMM")</f>
        <v>Sep</v>
      </c>
      <c r="E1650" s="1" t="str">
        <f xml:space="preserve"> TEXT(FilmaxData[[#This Row],[Show_Date]],"DDD")</f>
        <v>Mon</v>
      </c>
      <c r="F1650" t="s">
        <v>33</v>
      </c>
      <c r="G1650" t="s">
        <v>12</v>
      </c>
      <c r="H1650">
        <v>4</v>
      </c>
      <c r="I1650">
        <v>25</v>
      </c>
      <c r="J1650" t="s">
        <v>23</v>
      </c>
      <c r="K1650" t="s">
        <v>27</v>
      </c>
      <c r="L1650">
        <v>100</v>
      </c>
    </row>
    <row r="1651" spans="1:12" x14ac:dyDescent="0.3">
      <c r="A1651">
        <v>1018</v>
      </c>
      <c r="B1651" t="s">
        <v>32</v>
      </c>
      <c r="C1651" s="1">
        <v>45916</v>
      </c>
      <c r="D1651" s="1" t="str">
        <f xml:space="preserve"> TEXT(FilmaxData[[#This Row],[Show_Date]],"MMM")</f>
        <v>Sep</v>
      </c>
      <c r="E1651" s="1" t="str">
        <f xml:space="preserve"> TEXT(FilmaxData[[#This Row],[Show_Date]],"DDD")</f>
        <v>Tue</v>
      </c>
      <c r="F1651" t="s">
        <v>11</v>
      </c>
      <c r="G1651" t="s">
        <v>17</v>
      </c>
      <c r="H1651">
        <v>4</v>
      </c>
      <c r="I1651">
        <v>12</v>
      </c>
      <c r="J1651" t="s">
        <v>13</v>
      </c>
      <c r="K1651" t="s">
        <v>14</v>
      </c>
      <c r="L1651">
        <v>48</v>
      </c>
    </row>
    <row r="1652" spans="1:12" x14ac:dyDescent="0.3">
      <c r="A1652">
        <v>313</v>
      </c>
      <c r="B1652" t="s">
        <v>31</v>
      </c>
      <c r="C1652" s="1">
        <v>45891</v>
      </c>
      <c r="D1652" s="1" t="str">
        <f xml:space="preserve"> TEXT(FilmaxData[[#This Row],[Show_Date]],"MMM")</f>
        <v>Aug</v>
      </c>
      <c r="E1652" s="1" t="str">
        <f xml:space="preserve"> TEXT(FilmaxData[[#This Row],[Show_Date]],"DDD")</f>
        <v>Fri</v>
      </c>
      <c r="F1652" t="s">
        <v>11</v>
      </c>
      <c r="G1652" t="s">
        <v>17</v>
      </c>
      <c r="H1652">
        <v>5</v>
      </c>
      <c r="I1652">
        <v>12</v>
      </c>
      <c r="J1652" t="s">
        <v>21</v>
      </c>
      <c r="K1652" t="s">
        <v>25</v>
      </c>
      <c r="L1652">
        <v>60</v>
      </c>
    </row>
    <row r="1653" spans="1:12" x14ac:dyDescent="0.3">
      <c r="A1653">
        <v>1998</v>
      </c>
      <c r="B1653" t="s">
        <v>24</v>
      </c>
      <c r="C1653" s="1">
        <v>45854</v>
      </c>
      <c r="D1653" s="1" t="str">
        <f xml:space="preserve"> TEXT(FilmaxData[[#This Row],[Show_Date]],"MMM")</f>
        <v>Jul</v>
      </c>
      <c r="E1653" s="1" t="str">
        <f xml:space="preserve"> TEXT(FilmaxData[[#This Row],[Show_Date]],"DDD")</f>
        <v>Wed</v>
      </c>
      <c r="F1653" t="s">
        <v>20</v>
      </c>
      <c r="G1653" t="s">
        <v>17</v>
      </c>
      <c r="H1653">
        <v>2</v>
      </c>
      <c r="I1653">
        <v>12</v>
      </c>
      <c r="J1653" t="s">
        <v>13</v>
      </c>
      <c r="K1653" t="s">
        <v>27</v>
      </c>
      <c r="L1653">
        <v>24</v>
      </c>
    </row>
    <row r="1654" spans="1:12" x14ac:dyDescent="0.3">
      <c r="A1654">
        <v>455</v>
      </c>
      <c r="B1654" t="s">
        <v>15</v>
      </c>
      <c r="C1654" s="1">
        <v>45908</v>
      </c>
      <c r="D1654" s="1" t="str">
        <f xml:space="preserve"> TEXT(FilmaxData[[#This Row],[Show_Date]],"MMM")</f>
        <v>Sep</v>
      </c>
      <c r="E1654" s="1" t="str">
        <f xml:space="preserve"> TEXT(FilmaxData[[#This Row],[Show_Date]],"DDD")</f>
        <v>Mon</v>
      </c>
      <c r="F1654" t="s">
        <v>33</v>
      </c>
      <c r="G1654" t="s">
        <v>12</v>
      </c>
      <c r="H1654">
        <v>3</v>
      </c>
      <c r="I1654">
        <v>25</v>
      </c>
      <c r="J1654" t="s">
        <v>23</v>
      </c>
      <c r="K1654" t="s">
        <v>18</v>
      </c>
      <c r="L1654">
        <v>75</v>
      </c>
    </row>
    <row r="1655" spans="1:12" x14ac:dyDescent="0.3">
      <c r="A1655">
        <v>1887</v>
      </c>
      <c r="B1655" t="s">
        <v>26</v>
      </c>
      <c r="C1655" s="1">
        <v>45846</v>
      </c>
      <c r="D1655" s="1" t="str">
        <f xml:space="preserve"> TEXT(FilmaxData[[#This Row],[Show_Date]],"MMM")</f>
        <v>Jul</v>
      </c>
      <c r="E1655" s="1" t="str">
        <f xml:space="preserve"> TEXT(FilmaxData[[#This Row],[Show_Date]],"DDD")</f>
        <v>Tue</v>
      </c>
      <c r="F1655" t="s">
        <v>20</v>
      </c>
      <c r="G1655" t="s">
        <v>29</v>
      </c>
      <c r="H1655">
        <v>2</v>
      </c>
      <c r="I1655">
        <v>30</v>
      </c>
      <c r="J1655" t="s">
        <v>23</v>
      </c>
      <c r="K1655" t="s">
        <v>14</v>
      </c>
      <c r="L1655">
        <v>60</v>
      </c>
    </row>
    <row r="1656" spans="1:12" x14ac:dyDescent="0.3">
      <c r="A1656">
        <v>747</v>
      </c>
      <c r="B1656" t="s">
        <v>32</v>
      </c>
      <c r="C1656" s="1">
        <v>45924</v>
      </c>
      <c r="D1656" s="1" t="str">
        <f xml:space="preserve"> TEXT(FilmaxData[[#This Row],[Show_Date]],"MMM")</f>
        <v>Sep</v>
      </c>
      <c r="E1656" s="1" t="str">
        <f xml:space="preserve"> TEXT(FilmaxData[[#This Row],[Show_Date]],"DDD")</f>
        <v>Wed</v>
      </c>
      <c r="F1656" t="s">
        <v>33</v>
      </c>
      <c r="G1656" t="s">
        <v>12</v>
      </c>
      <c r="H1656">
        <v>2</v>
      </c>
      <c r="I1656">
        <v>25</v>
      </c>
      <c r="J1656" t="s">
        <v>13</v>
      </c>
      <c r="K1656" t="s">
        <v>14</v>
      </c>
      <c r="L1656">
        <v>50</v>
      </c>
    </row>
    <row r="1657" spans="1:12" x14ac:dyDescent="0.3">
      <c r="A1657">
        <v>1608</v>
      </c>
      <c r="B1657" t="s">
        <v>24</v>
      </c>
      <c r="C1657" s="1">
        <v>45899</v>
      </c>
      <c r="D1657" s="1" t="str">
        <f xml:space="preserve"> TEXT(FilmaxData[[#This Row],[Show_Date]],"MMM")</f>
        <v>Aug</v>
      </c>
      <c r="E1657" s="1" t="str">
        <f xml:space="preserve"> TEXT(FilmaxData[[#This Row],[Show_Date]],"DDD")</f>
        <v>Sat</v>
      </c>
      <c r="F1657" t="s">
        <v>16</v>
      </c>
      <c r="G1657" t="s">
        <v>17</v>
      </c>
      <c r="H1657">
        <v>3</v>
      </c>
      <c r="I1657">
        <v>12</v>
      </c>
      <c r="J1657" t="s">
        <v>13</v>
      </c>
      <c r="K1657" t="s">
        <v>25</v>
      </c>
      <c r="L1657">
        <v>36</v>
      </c>
    </row>
    <row r="1658" spans="1:12" x14ac:dyDescent="0.3">
      <c r="A1658">
        <v>1369</v>
      </c>
      <c r="B1658" t="s">
        <v>24</v>
      </c>
      <c r="C1658" s="1">
        <v>45846</v>
      </c>
      <c r="D1658" s="1" t="str">
        <f xml:space="preserve"> TEXT(FilmaxData[[#This Row],[Show_Date]],"MMM")</f>
        <v>Jul</v>
      </c>
      <c r="E1658" s="1" t="str">
        <f xml:space="preserve"> TEXT(FilmaxData[[#This Row],[Show_Date]],"DDD")</f>
        <v>Tue</v>
      </c>
      <c r="F1658" t="s">
        <v>33</v>
      </c>
      <c r="G1658" t="s">
        <v>17</v>
      </c>
      <c r="H1658">
        <v>5</v>
      </c>
      <c r="I1658">
        <v>12</v>
      </c>
      <c r="J1658" t="s">
        <v>13</v>
      </c>
      <c r="K1658" t="s">
        <v>27</v>
      </c>
      <c r="L1658">
        <v>60</v>
      </c>
    </row>
    <row r="1659" spans="1:12" x14ac:dyDescent="0.3">
      <c r="A1659">
        <v>1422</v>
      </c>
      <c r="B1659" t="s">
        <v>24</v>
      </c>
      <c r="C1659" s="1">
        <v>45882</v>
      </c>
      <c r="D1659" s="1" t="str">
        <f xml:space="preserve"> TEXT(FilmaxData[[#This Row],[Show_Date]],"MMM")</f>
        <v>Aug</v>
      </c>
      <c r="E1659" s="1" t="str">
        <f xml:space="preserve"> TEXT(FilmaxData[[#This Row],[Show_Date]],"DDD")</f>
        <v>Wed</v>
      </c>
      <c r="F1659" t="s">
        <v>11</v>
      </c>
      <c r="G1659" t="s">
        <v>12</v>
      </c>
      <c r="H1659">
        <v>5</v>
      </c>
      <c r="I1659">
        <v>25</v>
      </c>
      <c r="J1659" t="s">
        <v>13</v>
      </c>
      <c r="K1659" t="s">
        <v>27</v>
      </c>
      <c r="L1659">
        <v>125</v>
      </c>
    </row>
    <row r="1660" spans="1:12" x14ac:dyDescent="0.3">
      <c r="A1660">
        <v>332</v>
      </c>
      <c r="B1660" t="s">
        <v>24</v>
      </c>
      <c r="C1660" s="1">
        <v>45843</v>
      </c>
      <c r="D1660" s="1" t="str">
        <f xml:space="preserve"> TEXT(FilmaxData[[#This Row],[Show_Date]],"MMM")</f>
        <v>Jul</v>
      </c>
      <c r="E1660" s="1" t="str">
        <f xml:space="preserve"> TEXT(FilmaxData[[#This Row],[Show_Date]],"DDD")</f>
        <v>Sat</v>
      </c>
      <c r="F1660" t="s">
        <v>20</v>
      </c>
      <c r="G1660" t="s">
        <v>17</v>
      </c>
      <c r="H1660">
        <v>3</v>
      </c>
      <c r="I1660">
        <v>12</v>
      </c>
      <c r="J1660" t="s">
        <v>21</v>
      </c>
      <c r="K1660" t="s">
        <v>27</v>
      </c>
      <c r="L1660">
        <v>36</v>
      </c>
    </row>
    <row r="1661" spans="1:12" x14ac:dyDescent="0.3">
      <c r="A1661">
        <v>986</v>
      </c>
      <c r="B1661" t="s">
        <v>26</v>
      </c>
      <c r="C1661" s="1">
        <v>45916</v>
      </c>
      <c r="D1661" s="1" t="str">
        <f xml:space="preserve"> TEXT(FilmaxData[[#This Row],[Show_Date]],"MMM")</f>
        <v>Sep</v>
      </c>
      <c r="E1661" s="1" t="str">
        <f xml:space="preserve"> TEXT(FilmaxData[[#This Row],[Show_Date]],"DDD")</f>
        <v>Tue</v>
      </c>
      <c r="F1661" t="s">
        <v>20</v>
      </c>
      <c r="G1661" t="s">
        <v>29</v>
      </c>
      <c r="H1661">
        <v>1</v>
      </c>
      <c r="I1661">
        <v>30</v>
      </c>
      <c r="J1661" t="s">
        <v>13</v>
      </c>
      <c r="K1661" t="s">
        <v>18</v>
      </c>
      <c r="L1661">
        <v>30</v>
      </c>
    </row>
    <row r="1662" spans="1:12" x14ac:dyDescent="0.3">
      <c r="A1662">
        <v>820</v>
      </c>
      <c r="B1662" t="s">
        <v>24</v>
      </c>
      <c r="C1662" s="1">
        <v>45898</v>
      </c>
      <c r="D1662" s="1" t="str">
        <f xml:space="preserve"> TEXT(FilmaxData[[#This Row],[Show_Date]],"MMM")</f>
        <v>Aug</v>
      </c>
      <c r="E1662" s="1" t="str">
        <f xml:space="preserve"> TEXT(FilmaxData[[#This Row],[Show_Date]],"DDD")</f>
        <v>Fri</v>
      </c>
      <c r="F1662" t="s">
        <v>20</v>
      </c>
      <c r="G1662" t="s">
        <v>17</v>
      </c>
      <c r="H1662">
        <v>4</v>
      </c>
      <c r="I1662">
        <v>12</v>
      </c>
      <c r="J1662" t="s">
        <v>13</v>
      </c>
      <c r="K1662" t="s">
        <v>14</v>
      </c>
      <c r="L1662">
        <v>48</v>
      </c>
    </row>
    <row r="1663" spans="1:12" x14ac:dyDescent="0.3">
      <c r="A1663">
        <v>1763</v>
      </c>
      <c r="B1663" t="s">
        <v>32</v>
      </c>
      <c r="C1663" s="1">
        <v>45849</v>
      </c>
      <c r="D1663" s="1" t="str">
        <f xml:space="preserve"> TEXT(FilmaxData[[#This Row],[Show_Date]],"MMM")</f>
        <v>Jul</v>
      </c>
      <c r="E1663" s="1" t="str">
        <f xml:space="preserve"> TEXT(FilmaxData[[#This Row],[Show_Date]],"DDD")</f>
        <v>Fri</v>
      </c>
      <c r="F1663" t="s">
        <v>11</v>
      </c>
      <c r="G1663" t="s">
        <v>12</v>
      </c>
      <c r="H1663">
        <v>4</v>
      </c>
      <c r="I1663">
        <v>25</v>
      </c>
      <c r="J1663" t="s">
        <v>13</v>
      </c>
      <c r="K1663" t="s">
        <v>18</v>
      </c>
      <c r="L1663">
        <v>100</v>
      </c>
    </row>
    <row r="1664" spans="1:12" x14ac:dyDescent="0.3">
      <c r="A1664">
        <v>254</v>
      </c>
      <c r="B1664" t="s">
        <v>15</v>
      </c>
      <c r="C1664" s="1">
        <v>45844</v>
      </c>
      <c r="D1664" s="1" t="str">
        <f xml:space="preserve"> TEXT(FilmaxData[[#This Row],[Show_Date]],"MMM")</f>
        <v>Jul</v>
      </c>
      <c r="E1664" s="1" t="str">
        <f xml:space="preserve"> TEXT(FilmaxData[[#This Row],[Show_Date]],"DDD")</f>
        <v>Sun</v>
      </c>
      <c r="F1664" t="s">
        <v>20</v>
      </c>
      <c r="G1664" t="s">
        <v>22</v>
      </c>
      <c r="H1664">
        <v>4</v>
      </c>
      <c r="I1664">
        <v>20</v>
      </c>
      <c r="J1664" t="s">
        <v>13</v>
      </c>
      <c r="K1664" t="s">
        <v>27</v>
      </c>
      <c r="L1664">
        <v>80</v>
      </c>
    </row>
    <row r="1665" spans="1:12" x14ac:dyDescent="0.3">
      <c r="A1665">
        <v>1698</v>
      </c>
      <c r="B1665" t="s">
        <v>28</v>
      </c>
      <c r="C1665" s="1">
        <v>45894</v>
      </c>
      <c r="D1665" s="1" t="str">
        <f xml:space="preserve"> TEXT(FilmaxData[[#This Row],[Show_Date]],"MMM")</f>
        <v>Aug</v>
      </c>
      <c r="E1665" s="1" t="str">
        <f xml:space="preserve"> TEXT(FilmaxData[[#This Row],[Show_Date]],"DDD")</f>
        <v>Mon</v>
      </c>
      <c r="F1665" t="s">
        <v>33</v>
      </c>
      <c r="G1665" t="s">
        <v>30</v>
      </c>
      <c r="H1665">
        <v>1</v>
      </c>
      <c r="I1665">
        <v>8</v>
      </c>
      <c r="J1665" t="s">
        <v>23</v>
      </c>
      <c r="K1665" t="s">
        <v>14</v>
      </c>
      <c r="L1665">
        <v>8</v>
      </c>
    </row>
    <row r="1666" spans="1:12" x14ac:dyDescent="0.3">
      <c r="A1666">
        <v>1678</v>
      </c>
      <c r="B1666" t="s">
        <v>32</v>
      </c>
      <c r="C1666" s="1">
        <v>45879</v>
      </c>
      <c r="D1666" s="1" t="str">
        <f xml:space="preserve"> TEXT(FilmaxData[[#This Row],[Show_Date]],"MMM")</f>
        <v>Aug</v>
      </c>
      <c r="E1666" s="1" t="str">
        <f xml:space="preserve"> TEXT(FilmaxData[[#This Row],[Show_Date]],"DDD")</f>
        <v>Sun</v>
      </c>
      <c r="F1666" t="s">
        <v>20</v>
      </c>
      <c r="G1666" t="s">
        <v>17</v>
      </c>
      <c r="H1666">
        <v>1</v>
      </c>
      <c r="I1666">
        <v>12</v>
      </c>
      <c r="J1666" t="s">
        <v>23</v>
      </c>
      <c r="K1666" t="s">
        <v>27</v>
      </c>
      <c r="L1666">
        <v>12</v>
      </c>
    </row>
    <row r="1667" spans="1:12" x14ac:dyDescent="0.3">
      <c r="A1667">
        <v>771</v>
      </c>
      <c r="B1667" t="s">
        <v>15</v>
      </c>
      <c r="C1667" s="1">
        <v>45858</v>
      </c>
      <c r="D1667" s="1" t="str">
        <f xml:space="preserve"> TEXT(FilmaxData[[#This Row],[Show_Date]],"MMM")</f>
        <v>Jul</v>
      </c>
      <c r="E1667" s="1" t="str">
        <f xml:space="preserve"> TEXT(FilmaxData[[#This Row],[Show_Date]],"DDD")</f>
        <v>Sun</v>
      </c>
      <c r="F1667" t="s">
        <v>11</v>
      </c>
      <c r="G1667" t="s">
        <v>17</v>
      </c>
      <c r="H1667">
        <v>4</v>
      </c>
      <c r="I1667">
        <v>12</v>
      </c>
      <c r="J1667" t="s">
        <v>23</v>
      </c>
      <c r="K1667" t="s">
        <v>27</v>
      </c>
      <c r="L1667">
        <v>48</v>
      </c>
    </row>
    <row r="1668" spans="1:12" x14ac:dyDescent="0.3">
      <c r="A1668">
        <v>989</v>
      </c>
      <c r="B1668" t="s">
        <v>26</v>
      </c>
      <c r="C1668" s="1">
        <v>45901</v>
      </c>
      <c r="D1668" s="1" t="str">
        <f xml:space="preserve"> TEXT(FilmaxData[[#This Row],[Show_Date]],"MMM")</f>
        <v>Sep</v>
      </c>
      <c r="E1668" s="1" t="str">
        <f xml:space="preserve"> TEXT(FilmaxData[[#This Row],[Show_Date]],"DDD")</f>
        <v>Mon</v>
      </c>
      <c r="F1668" t="s">
        <v>11</v>
      </c>
      <c r="G1668" t="s">
        <v>30</v>
      </c>
      <c r="H1668">
        <v>1</v>
      </c>
      <c r="I1668">
        <v>8</v>
      </c>
      <c r="J1668" t="s">
        <v>13</v>
      </c>
      <c r="K1668" t="s">
        <v>14</v>
      </c>
      <c r="L1668">
        <v>8</v>
      </c>
    </row>
    <row r="1669" spans="1:12" x14ac:dyDescent="0.3">
      <c r="A1669">
        <v>344</v>
      </c>
      <c r="B1669" t="s">
        <v>26</v>
      </c>
      <c r="C1669" s="1">
        <v>45877</v>
      </c>
      <c r="D1669" s="1" t="str">
        <f xml:space="preserve"> TEXT(FilmaxData[[#This Row],[Show_Date]],"MMM")</f>
        <v>Aug</v>
      </c>
      <c r="E1669" s="1" t="str">
        <f xml:space="preserve"> TEXT(FilmaxData[[#This Row],[Show_Date]],"DDD")</f>
        <v>Fri</v>
      </c>
      <c r="F1669" t="s">
        <v>33</v>
      </c>
      <c r="G1669" t="s">
        <v>17</v>
      </c>
      <c r="H1669">
        <v>2</v>
      </c>
      <c r="I1669">
        <v>12</v>
      </c>
      <c r="J1669" t="s">
        <v>21</v>
      </c>
      <c r="K1669" t="s">
        <v>27</v>
      </c>
      <c r="L1669">
        <v>24</v>
      </c>
    </row>
    <row r="1670" spans="1:12" x14ac:dyDescent="0.3">
      <c r="A1670">
        <v>331</v>
      </c>
      <c r="B1670" t="s">
        <v>24</v>
      </c>
      <c r="C1670" s="1">
        <v>45928</v>
      </c>
      <c r="D1670" s="1" t="str">
        <f xml:space="preserve"> TEXT(FilmaxData[[#This Row],[Show_Date]],"MMM")</f>
        <v>Sep</v>
      </c>
      <c r="E1670" s="1" t="str">
        <f xml:space="preserve"> TEXT(FilmaxData[[#This Row],[Show_Date]],"DDD")</f>
        <v>Sun</v>
      </c>
      <c r="F1670" t="s">
        <v>16</v>
      </c>
      <c r="G1670" t="s">
        <v>17</v>
      </c>
      <c r="H1670">
        <v>1</v>
      </c>
      <c r="I1670">
        <v>12</v>
      </c>
      <c r="J1670" t="s">
        <v>21</v>
      </c>
      <c r="K1670" t="s">
        <v>27</v>
      </c>
      <c r="L1670">
        <v>12</v>
      </c>
    </row>
    <row r="1671" spans="1:12" x14ac:dyDescent="0.3">
      <c r="A1671">
        <v>1878</v>
      </c>
      <c r="B1671" t="s">
        <v>26</v>
      </c>
      <c r="C1671" s="1">
        <v>45925</v>
      </c>
      <c r="D1671" s="1" t="str">
        <f xml:space="preserve"> TEXT(FilmaxData[[#This Row],[Show_Date]],"MMM")</f>
        <v>Sep</v>
      </c>
      <c r="E1671" s="1" t="str">
        <f xml:space="preserve"> TEXT(FilmaxData[[#This Row],[Show_Date]],"DDD")</f>
        <v>Thu</v>
      </c>
      <c r="F1671" t="s">
        <v>11</v>
      </c>
      <c r="G1671" t="s">
        <v>22</v>
      </c>
      <c r="H1671">
        <v>3</v>
      </c>
      <c r="I1671">
        <v>20</v>
      </c>
      <c r="J1671" t="s">
        <v>21</v>
      </c>
      <c r="K1671" t="s">
        <v>25</v>
      </c>
      <c r="L1671">
        <v>60</v>
      </c>
    </row>
    <row r="1672" spans="1:12" x14ac:dyDescent="0.3">
      <c r="A1672">
        <v>1286</v>
      </c>
      <c r="B1672" t="s">
        <v>10</v>
      </c>
      <c r="C1672" s="1">
        <v>45913</v>
      </c>
      <c r="D1672" s="1" t="str">
        <f xml:space="preserve"> TEXT(FilmaxData[[#This Row],[Show_Date]],"MMM")</f>
        <v>Sep</v>
      </c>
      <c r="E1672" s="1" t="str">
        <f xml:space="preserve"> TEXT(FilmaxData[[#This Row],[Show_Date]],"DDD")</f>
        <v>Sat</v>
      </c>
      <c r="F1672" t="s">
        <v>16</v>
      </c>
      <c r="G1672" t="s">
        <v>17</v>
      </c>
      <c r="H1672">
        <v>2</v>
      </c>
      <c r="I1672">
        <v>12</v>
      </c>
      <c r="J1672" t="s">
        <v>13</v>
      </c>
      <c r="K1672" t="s">
        <v>18</v>
      </c>
      <c r="L1672">
        <v>24</v>
      </c>
    </row>
    <row r="1673" spans="1:12" x14ac:dyDescent="0.3">
      <c r="A1673">
        <v>1765</v>
      </c>
      <c r="B1673" t="s">
        <v>15</v>
      </c>
      <c r="C1673" s="1">
        <v>45889</v>
      </c>
      <c r="D1673" s="1" t="str">
        <f xml:space="preserve"> TEXT(FilmaxData[[#This Row],[Show_Date]],"MMM")</f>
        <v>Aug</v>
      </c>
      <c r="E1673" s="1" t="str">
        <f xml:space="preserve"> TEXT(FilmaxData[[#This Row],[Show_Date]],"DDD")</f>
        <v>Wed</v>
      </c>
      <c r="F1673" t="s">
        <v>11</v>
      </c>
      <c r="G1673" t="s">
        <v>17</v>
      </c>
      <c r="H1673">
        <v>4</v>
      </c>
      <c r="I1673">
        <v>12</v>
      </c>
      <c r="J1673" t="s">
        <v>13</v>
      </c>
      <c r="K1673" t="s">
        <v>14</v>
      </c>
      <c r="L1673">
        <v>48</v>
      </c>
    </row>
    <row r="1674" spans="1:12" x14ac:dyDescent="0.3">
      <c r="A1674">
        <v>1902</v>
      </c>
      <c r="B1674" t="s">
        <v>15</v>
      </c>
      <c r="C1674" s="1">
        <v>45913</v>
      </c>
      <c r="D1674" s="1" t="str">
        <f xml:space="preserve"> TEXT(FilmaxData[[#This Row],[Show_Date]],"MMM")</f>
        <v>Sep</v>
      </c>
      <c r="E1674" s="1" t="str">
        <f xml:space="preserve"> TEXT(FilmaxData[[#This Row],[Show_Date]],"DDD")</f>
        <v>Sat</v>
      </c>
      <c r="F1674" t="s">
        <v>11</v>
      </c>
      <c r="G1674" t="s">
        <v>17</v>
      </c>
      <c r="H1674">
        <v>3</v>
      </c>
      <c r="I1674">
        <v>12</v>
      </c>
      <c r="J1674" t="s">
        <v>21</v>
      </c>
      <c r="K1674" t="s">
        <v>27</v>
      </c>
      <c r="L1674">
        <v>36</v>
      </c>
    </row>
    <row r="1675" spans="1:12" x14ac:dyDescent="0.3">
      <c r="A1675">
        <v>1101</v>
      </c>
      <c r="B1675" t="s">
        <v>32</v>
      </c>
      <c r="C1675" s="1">
        <v>45909</v>
      </c>
      <c r="D1675" s="1" t="str">
        <f xml:space="preserve"> TEXT(FilmaxData[[#This Row],[Show_Date]],"MMM")</f>
        <v>Sep</v>
      </c>
      <c r="E1675" s="1" t="str">
        <f xml:space="preserve"> TEXT(FilmaxData[[#This Row],[Show_Date]],"DDD")</f>
        <v>Tue</v>
      </c>
      <c r="F1675" t="s">
        <v>11</v>
      </c>
      <c r="G1675" t="s">
        <v>17</v>
      </c>
      <c r="H1675">
        <v>3</v>
      </c>
      <c r="I1675">
        <v>12</v>
      </c>
      <c r="J1675" t="s">
        <v>23</v>
      </c>
      <c r="K1675" t="s">
        <v>25</v>
      </c>
      <c r="L1675">
        <v>36</v>
      </c>
    </row>
    <row r="1676" spans="1:12" x14ac:dyDescent="0.3">
      <c r="A1676">
        <v>758</v>
      </c>
      <c r="B1676" t="s">
        <v>32</v>
      </c>
      <c r="C1676" s="1">
        <v>45901</v>
      </c>
      <c r="D1676" s="1" t="str">
        <f xml:space="preserve"> TEXT(FilmaxData[[#This Row],[Show_Date]],"MMM")</f>
        <v>Sep</v>
      </c>
      <c r="E1676" s="1" t="str">
        <f xml:space="preserve"> TEXT(FilmaxData[[#This Row],[Show_Date]],"DDD")</f>
        <v>Mon</v>
      </c>
      <c r="F1676" t="s">
        <v>16</v>
      </c>
      <c r="G1676" t="s">
        <v>22</v>
      </c>
      <c r="H1676">
        <v>4</v>
      </c>
      <c r="I1676">
        <v>20</v>
      </c>
      <c r="J1676" t="s">
        <v>23</v>
      </c>
      <c r="K1676" t="s">
        <v>25</v>
      </c>
      <c r="L1676">
        <v>80</v>
      </c>
    </row>
    <row r="1677" spans="1:12" x14ac:dyDescent="0.3">
      <c r="A1677">
        <v>1092</v>
      </c>
      <c r="B1677" t="s">
        <v>28</v>
      </c>
      <c r="C1677" s="1">
        <v>45899</v>
      </c>
      <c r="D1677" s="1" t="str">
        <f xml:space="preserve"> TEXT(FilmaxData[[#This Row],[Show_Date]],"MMM")</f>
        <v>Aug</v>
      </c>
      <c r="E1677" s="1" t="str">
        <f xml:space="preserve"> TEXT(FilmaxData[[#This Row],[Show_Date]],"DDD")</f>
        <v>Sat</v>
      </c>
      <c r="F1677" t="s">
        <v>20</v>
      </c>
      <c r="G1677" t="s">
        <v>29</v>
      </c>
      <c r="H1677">
        <v>2</v>
      </c>
      <c r="I1677">
        <v>30</v>
      </c>
      <c r="J1677" t="s">
        <v>13</v>
      </c>
      <c r="K1677" t="s">
        <v>14</v>
      </c>
      <c r="L1677">
        <v>60</v>
      </c>
    </row>
    <row r="1678" spans="1:12" x14ac:dyDescent="0.3">
      <c r="A1678">
        <v>1828</v>
      </c>
      <c r="B1678" t="s">
        <v>19</v>
      </c>
      <c r="C1678" s="1">
        <v>45877</v>
      </c>
      <c r="D1678" s="1" t="str">
        <f xml:space="preserve"> TEXT(FilmaxData[[#This Row],[Show_Date]],"MMM")</f>
        <v>Aug</v>
      </c>
      <c r="E1678" s="1" t="str">
        <f xml:space="preserve"> TEXT(FilmaxData[[#This Row],[Show_Date]],"DDD")</f>
        <v>Fri</v>
      </c>
      <c r="F1678" t="s">
        <v>11</v>
      </c>
      <c r="G1678" t="s">
        <v>17</v>
      </c>
      <c r="H1678">
        <v>5</v>
      </c>
      <c r="I1678">
        <v>12</v>
      </c>
      <c r="J1678" t="s">
        <v>13</v>
      </c>
      <c r="K1678" t="s">
        <v>25</v>
      </c>
      <c r="L1678">
        <v>60</v>
      </c>
    </row>
    <row r="1679" spans="1:12" x14ac:dyDescent="0.3">
      <c r="A1679">
        <v>74</v>
      </c>
      <c r="B1679" t="s">
        <v>26</v>
      </c>
      <c r="C1679" s="1">
        <v>45903</v>
      </c>
      <c r="D1679" s="1" t="str">
        <f xml:space="preserve"> TEXT(FilmaxData[[#This Row],[Show_Date]],"MMM")</f>
        <v>Sep</v>
      </c>
      <c r="E1679" s="1" t="str">
        <f xml:space="preserve"> TEXT(FilmaxData[[#This Row],[Show_Date]],"DDD")</f>
        <v>Wed</v>
      </c>
      <c r="F1679" t="s">
        <v>20</v>
      </c>
      <c r="G1679" t="s">
        <v>22</v>
      </c>
      <c r="H1679">
        <v>1</v>
      </c>
      <c r="I1679">
        <v>20</v>
      </c>
      <c r="J1679" t="s">
        <v>21</v>
      </c>
      <c r="K1679" t="s">
        <v>14</v>
      </c>
      <c r="L1679">
        <v>20</v>
      </c>
    </row>
    <row r="1680" spans="1:12" x14ac:dyDescent="0.3">
      <c r="A1680">
        <v>1350</v>
      </c>
      <c r="B1680" t="s">
        <v>15</v>
      </c>
      <c r="C1680" s="1">
        <v>45906</v>
      </c>
      <c r="D1680" s="1" t="str">
        <f xml:space="preserve"> TEXT(FilmaxData[[#This Row],[Show_Date]],"MMM")</f>
        <v>Sep</v>
      </c>
      <c r="E1680" s="1" t="str">
        <f xml:space="preserve"> TEXT(FilmaxData[[#This Row],[Show_Date]],"DDD")</f>
        <v>Sat</v>
      </c>
      <c r="F1680" t="s">
        <v>11</v>
      </c>
      <c r="G1680" t="s">
        <v>17</v>
      </c>
      <c r="H1680">
        <v>2</v>
      </c>
      <c r="I1680">
        <v>12</v>
      </c>
      <c r="J1680" t="s">
        <v>13</v>
      </c>
      <c r="K1680" t="s">
        <v>27</v>
      </c>
      <c r="L1680">
        <v>24</v>
      </c>
    </row>
    <row r="1681" spans="1:12" x14ac:dyDescent="0.3">
      <c r="A1681">
        <v>1839</v>
      </c>
      <c r="B1681" t="s">
        <v>19</v>
      </c>
      <c r="C1681" s="1">
        <v>45884</v>
      </c>
      <c r="D1681" s="1" t="str">
        <f xml:space="preserve"> TEXT(FilmaxData[[#This Row],[Show_Date]],"MMM")</f>
        <v>Aug</v>
      </c>
      <c r="E1681" s="1" t="str">
        <f xml:space="preserve"> TEXT(FilmaxData[[#This Row],[Show_Date]],"DDD")</f>
        <v>Fri</v>
      </c>
      <c r="F1681" t="s">
        <v>33</v>
      </c>
      <c r="G1681" t="s">
        <v>29</v>
      </c>
      <c r="H1681">
        <v>5</v>
      </c>
      <c r="I1681">
        <v>30</v>
      </c>
      <c r="J1681" t="s">
        <v>23</v>
      </c>
      <c r="K1681" t="s">
        <v>25</v>
      </c>
      <c r="L1681">
        <v>150</v>
      </c>
    </row>
    <row r="1682" spans="1:12" x14ac:dyDescent="0.3">
      <c r="A1682">
        <v>97</v>
      </c>
      <c r="B1682" t="s">
        <v>26</v>
      </c>
      <c r="C1682" s="1">
        <v>45913</v>
      </c>
      <c r="D1682" s="1" t="str">
        <f xml:space="preserve"> TEXT(FilmaxData[[#This Row],[Show_Date]],"MMM")</f>
        <v>Sep</v>
      </c>
      <c r="E1682" s="1" t="str">
        <f xml:space="preserve"> TEXT(FilmaxData[[#This Row],[Show_Date]],"DDD")</f>
        <v>Sat</v>
      </c>
      <c r="F1682" t="s">
        <v>20</v>
      </c>
      <c r="G1682" t="s">
        <v>12</v>
      </c>
      <c r="H1682">
        <v>1</v>
      </c>
      <c r="I1682">
        <v>25</v>
      </c>
      <c r="J1682" t="s">
        <v>23</v>
      </c>
      <c r="K1682" t="s">
        <v>14</v>
      </c>
      <c r="L1682">
        <v>25</v>
      </c>
    </row>
    <row r="1683" spans="1:12" x14ac:dyDescent="0.3">
      <c r="A1683">
        <v>1584</v>
      </c>
      <c r="B1683" t="s">
        <v>19</v>
      </c>
      <c r="C1683" s="1">
        <v>45878</v>
      </c>
      <c r="D1683" s="1" t="str">
        <f xml:space="preserve"> TEXT(FilmaxData[[#This Row],[Show_Date]],"MMM")</f>
        <v>Aug</v>
      </c>
      <c r="E1683" s="1" t="str">
        <f xml:space="preserve"> TEXT(FilmaxData[[#This Row],[Show_Date]],"DDD")</f>
        <v>Sat</v>
      </c>
      <c r="F1683" t="s">
        <v>16</v>
      </c>
      <c r="G1683" t="s">
        <v>22</v>
      </c>
      <c r="H1683">
        <v>2</v>
      </c>
      <c r="I1683">
        <v>20</v>
      </c>
      <c r="J1683" t="s">
        <v>23</v>
      </c>
      <c r="K1683" t="s">
        <v>18</v>
      </c>
      <c r="L1683">
        <v>40</v>
      </c>
    </row>
    <row r="1684" spans="1:12" x14ac:dyDescent="0.3">
      <c r="A1684">
        <v>1992</v>
      </c>
      <c r="B1684" t="s">
        <v>32</v>
      </c>
      <c r="C1684" s="1">
        <v>45908</v>
      </c>
      <c r="D1684" s="1" t="str">
        <f xml:space="preserve"> TEXT(FilmaxData[[#This Row],[Show_Date]],"MMM")</f>
        <v>Sep</v>
      </c>
      <c r="E1684" s="1" t="str">
        <f xml:space="preserve"> TEXT(FilmaxData[[#This Row],[Show_Date]],"DDD")</f>
        <v>Mon</v>
      </c>
      <c r="F1684" t="s">
        <v>33</v>
      </c>
      <c r="G1684" t="s">
        <v>17</v>
      </c>
      <c r="H1684">
        <v>1</v>
      </c>
      <c r="I1684">
        <v>12</v>
      </c>
      <c r="J1684" t="s">
        <v>21</v>
      </c>
      <c r="K1684" t="s">
        <v>25</v>
      </c>
      <c r="L1684">
        <v>12</v>
      </c>
    </row>
    <row r="1685" spans="1:12" x14ac:dyDescent="0.3">
      <c r="A1685">
        <v>969</v>
      </c>
      <c r="B1685" t="s">
        <v>10</v>
      </c>
      <c r="C1685" s="1">
        <v>45892</v>
      </c>
      <c r="D1685" s="1" t="str">
        <f xml:space="preserve"> TEXT(FilmaxData[[#This Row],[Show_Date]],"MMM")</f>
        <v>Aug</v>
      </c>
      <c r="E1685" s="1" t="str">
        <f xml:space="preserve"> TEXT(FilmaxData[[#This Row],[Show_Date]],"DDD")</f>
        <v>Sat</v>
      </c>
      <c r="F1685" t="s">
        <v>11</v>
      </c>
      <c r="G1685" t="s">
        <v>29</v>
      </c>
      <c r="H1685">
        <v>1</v>
      </c>
      <c r="I1685">
        <v>30</v>
      </c>
      <c r="J1685" t="s">
        <v>21</v>
      </c>
      <c r="K1685" t="s">
        <v>25</v>
      </c>
      <c r="L1685">
        <v>30</v>
      </c>
    </row>
    <row r="1686" spans="1:12" x14ac:dyDescent="0.3">
      <c r="A1686">
        <v>292</v>
      </c>
      <c r="B1686" t="s">
        <v>32</v>
      </c>
      <c r="C1686" s="1">
        <v>45847</v>
      </c>
      <c r="D1686" s="1" t="str">
        <f xml:space="preserve"> TEXT(FilmaxData[[#This Row],[Show_Date]],"MMM")</f>
        <v>Jul</v>
      </c>
      <c r="E1686" s="1" t="str">
        <f xml:space="preserve"> TEXT(FilmaxData[[#This Row],[Show_Date]],"DDD")</f>
        <v>Wed</v>
      </c>
      <c r="F1686" t="s">
        <v>16</v>
      </c>
      <c r="G1686" t="s">
        <v>17</v>
      </c>
      <c r="H1686">
        <v>4</v>
      </c>
      <c r="I1686">
        <v>12</v>
      </c>
      <c r="J1686" t="s">
        <v>13</v>
      </c>
      <c r="K1686" t="s">
        <v>14</v>
      </c>
      <c r="L1686">
        <v>48</v>
      </c>
    </row>
    <row r="1687" spans="1:12" x14ac:dyDescent="0.3">
      <c r="A1687">
        <v>1650</v>
      </c>
      <c r="B1687" t="s">
        <v>26</v>
      </c>
      <c r="C1687" s="1">
        <v>45891</v>
      </c>
      <c r="D1687" s="1" t="str">
        <f xml:space="preserve"> TEXT(FilmaxData[[#This Row],[Show_Date]],"MMM")</f>
        <v>Aug</v>
      </c>
      <c r="E1687" s="1" t="str">
        <f xml:space="preserve"> TEXT(FilmaxData[[#This Row],[Show_Date]],"DDD")</f>
        <v>Fri</v>
      </c>
      <c r="F1687" t="s">
        <v>33</v>
      </c>
      <c r="G1687" t="s">
        <v>29</v>
      </c>
      <c r="H1687">
        <v>5</v>
      </c>
      <c r="I1687">
        <v>30</v>
      </c>
      <c r="J1687" t="s">
        <v>21</v>
      </c>
      <c r="K1687" t="s">
        <v>27</v>
      </c>
      <c r="L1687">
        <v>150</v>
      </c>
    </row>
    <row r="1688" spans="1:12" x14ac:dyDescent="0.3">
      <c r="A1688">
        <v>1289</v>
      </c>
      <c r="B1688" t="s">
        <v>31</v>
      </c>
      <c r="C1688" s="1">
        <v>45860</v>
      </c>
      <c r="D1688" s="1" t="str">
        <f xml:space="preserve"> TEXT(FilmaxData[[#This Row],[Show_Date]],"MMM")</f>
        <v>Jul</v>
      </c>
      <c r="E1688" s="1" t="str">
        <f xml:space="preserve"> TEXT(FilmaxData[[#This Row],[Show_Date]],"DDD")</f>
        <v>Tue</v>
      </c>
      <c r="F1688" t="s">
        <v>20</v>
      </c>
      <c r="G1688" t="s">
        <v>29</v>
      </c>
      <c r="H1688">
        <v>2</v>
      </c>
      <c r="I1688">
        <v>30</v>
      </c>
      <c r="J1688" t="s">
        <v>13</v>
      </c>
      <c r="K1688" t="s">
        <v>25</v>
      </c>
      <c r="L1688">
        <v>60</v>
      </c>
    </row>
    <row r="1689" spans="1:12" x14ac:dyDescent="0.3">
      <c r="A1689">
        <v>529</v>
      </c>
      <c r="B1689" t="s">
        <v>26</v>
      </c>
      <c r="C1689" s="1">
        <v>45865</v>
      </c>
      <c r="D1689" s="1" t="str">
        <f xml:space="preserve"> TEXT(FilmaxData[[#This Row],[Show_Date]],"MMM")</f>
        <v>Jul</v>
      </c>
      <c r="E1689" s="1" t="str">
        <f xml:space="preserve"> TEXT(FilmaxData[[#This Row],[Show_Date]],"DDD")</f>
        <v>Sun</v>
      </c>
      <c r="F1689" t="s">
        <v>16</v>
      </c>
      <c r="G1689" t="s">
        <v>17</v>
      </c>
      <c r="H1689">
        <v>1</v>
      </c>
      <c r="I1689">
        <v>12</v>
      </c>
      <c r="J1689" t="s">
        <v>23</v>
      </c>
      <c r="K1689" t="s">
        <v>14</v>
      </c>
      <c r="L1689">
        <v>12</v>
      </c>
    </row>
    <row r="1690" spans="1:12" x14ac:dyDescent="0.3">
      <c r="A1690">
        <v>1531</v>
      </c>
      <c r="B1690" t="s">
        <v>10</v>
      </c>
      <c r="C1690" s="1">
        <v>45893</v>
      </c>
      <c r="D1690" s="1" t="str">
        <f xml:space="preserve"> TEXT(FilmaxData[[#This Row],[Show_Date]],"MMM")</f>
        <v>Aug</v>
      </c>
      <c r="E1690" s="1" t="str">
        <f xml:space="preserve"> TEXT(FilmaxData[[#This Row],[Show_Date]],"DDD")</f>
        <v>Sun</v>
      </c>
      <c r="F1690" t="s">
        <v>16</v>
      </c>
      <c r="G1690" t="s">
        <v>17</v>
      </c>
      <c r="H1690">
        <v>2</v>
      </c>
      <c r="I1690">
        <v>12</v>
      </c>
      <c r="J1690" t="s">
        <v>23</v>
      </c>
      <c r="K1690" t="s">
        <v>27</v>
      </c>
      <c r="L1690">
        <v>24</v>
      </c>
    </row>
    <row r="1691" spans="1:12" x14ac:dyDescent="0.3">
      <c r="A1691">
        <v>1117</v>
      </c>
      <c r="B1691" t="s">
        <v>28</v>
      </c>
      <c r="C1691" s="1">
        <v>45862</v>
      </c>
      <c r="D1691" s="1" t="str">
        <f xml:space="preserve"> TEXT(FilmaxData[[#This Row],[Show_Date]],"MMM")</f>
        <v>Jul</v>
      </c>
      <c r="E1691" s="1" t="str">
        <f xml:space="preserve"> TEXT(FilmaxData[[#This Row],[Show_Date]],"DDD")</f>
        <v>Thu</v>
      </c>
      <c r="F1691" t="s">
        <v>33</v>
      </c>
      <c r="G1691" t="s">
        <v>30</v>
      </c>
      <c r="H1691">
        <v>4</v>
      </c>
      <c r="I1691">
        <v>8</v>
      </c>
      <c r="J1691" t="s">
        <v>23</v>
      </c>
      <c r="K1691" t="s">
        <v>27</v>
      </c>
      <c r="L1691">
        <v>32</v>
      </c>
    </row>
    <row r="1692" spans="1:12" x14ac:dyDescent="0.3">
      <c r="A1692">
        <v>42</v>
      </c>
      <c r="B1692" t="s">
        <v>28</v>
      </c>
      <c r="C1692" s="1">
        <v>45857</v>
      </c>
      <c r="D1692" s="1" t="str">
        <f xml:space="preserve"> TEXT(FilmaxData[[#This Row],[Show_Date]],"MMM")</f>
        <v>Jul</v>
      </c>
      <c r="E1692" s="1" t="str">
        <f xml:space="preserve"> TEXT(FilmaxData[[#This Row],[Show_Date]],"DDD")</f>
        <v>Sat</v>
      </c>
      <c r="F1692" t="s">
        <v>11</v>
      </c>
      <c r="G1692" t="s">
        <v>12</v>
      </c>
      <c r="H1692">
        <v>2</v>
      </c>
      <c r="I1692">
        <v>25</v>
      </c>
      <c r="J1692" t="s">
        <v>23</v>
      </c>
      <c r="K1692" t="s">
        <v>14</v>
      </c>
      <c r="L1692">
        <v>50</v>
      </c>
    </row>
    <row r="1693" spans="1:12" x14ac:dyDescent="0.3">
      <c r="A1693">
        <v>783</v>
      </c>
      <c r="B1693" t="s">
        <v>19</v>
      </c>
      <c r="C1693" s="1">
        <v>45872</v>
      </c>
      <c r="D1693" s="1" t="str">
        <f xml:space="preserve"> TEXT(FilmaxData[[#This Row],[Show_Date]],"MMM")</f>
        <v>Aug</v>
      </c>
      <c r="E1693" s="1" t="str">
        <f xml:space="preserve"> TEXT(FilmaxData[[#This Row],[Show_Date]],"DDD")</f>
        <v>Sun</v>
      </c>
      <c r="F1693" t="s">
        <v>11</v>
      </c>
      <c r="G1693" t="s">
        <v>29</v>
      </c>
      <c r="H1693">
        <v>5</v>
      </c>
      <c r="I1693">
        <v>30</v>
      </c>
      <c r="J1693" t="s">
        <v>21</v>
      </c>
      <c r="K1693" t="s">
        <v>25</v>
      </c>
      <c r="L1693">
        <v>150</v>
      </c>
    </row>
    <row r="1694" spans="1:12" x14ac:dyDescent="0.3">
      <c r="A1694">
        <v>847</v>
      </c>
      <c r="B1694" t="s">
        <v>26</v>
      </c>
      <c r="C1694" s="1">
        <v>45888</v>
      </c>
      <c r="D1694" s="1" t="str">
        <f xml:space="preserve"> TEXT(FilmaxData[[#This Row],[Show_Date]],"MMM")</f>
        <v>Aug</v>
      </c>
      <c r="E1694" s="1" t="str">
        <f xml:space="preserve"> TEXT(FilmaxData[[#This Row],[Show_Date]],"DDD")</f>
        <v>Tue</v>
      </c>
      <c r="F1694" t="s">
        <v>20</v>
      </c>
      <c r="G1694" t="s">
        <v>30</v>
      </c>
      <c r="H1694">
        <v>3</v>
      </c>
      <c r="I1694">
        <v>8</v>
      </c>
      <c r="J1694" t="s">
        <v>21</v>
      </c>
      <c r="K1694" t="s">
        <v>27</v>
      </c>
      <c r="L1694">
        <v>24</v>
      </c>
    </row>
    <row r="1695" spans="1:12" x14ac:dyDescent="0.3">
      <c r="A1695">
        <v>698</v>
      </c>
      <c r="B1695" t="s">
        <v>26</v>
      </c>
      <c r="C1695" s="1">
        <v>45858</v>
      </c>
      <c r="D1695" s="1" t="str">
        <f xml:space="preserve"> TEXT(FilmaxData[[#This Row],[Show_Date]],"MMM")</f>
        <v>Jul</v>
      </c>
      <c r="E1695" s="1" t="str">
        <f xml:space="preserve"> TEXT(FilmaxData[[#This Row],[Show_Date]],"DDD")</f>
        <v>Sun</v>
      </c>
      <c r="F1695" t="s">
        <v>16</v>
      </c>
      <c r="G1695" t="s">
        <v>17</v>
      </c>
      <c r="H1695">
        <v>2</v>
      </c>
      <c r="I1695">
        <v>12</v>
      </c>
      <c r="J1695" t="s">
        <v>13</v>
      </c>
      <c r="K1695" t="s">
        <v>18</v>
      </c>
      <c r="L1695">
        <v>24</v>
      </c>
    </row>
    <row r="1696" spans="1:12" x14ac:dyDescent="0.3">
      <c r="A1696">
        <v>1577</v>
      </c>
      <c r="B1696" t="s">
        <v>28</v>
      </c>
      <c r="C1696" s="1">
        <v>45854</v>
      </c>
      <c r="D1696" s="1" t="str">
        <f xml:space="preserve"> TEXT(FilmaxData[[#This Row],[Show_Date]],"MMM")</f>
        <v>Jul</v>
      </c>
      <c r="E1696" s="1" t="str">
        <f xml:space="preserve"> TEXT(FilmaxData[[#This Row],[Show_Date]],"DDD")</f>
        <v>Wed</v>
      </c>
      <c r="F1696" t="s">
        <v>16</v>
      </c>
      <c r="G1696" t="s">
        <v>17</v>
      </c>
      <c r="H1696">
        <v>5</v>
      </c>
      <c r="I1696">
        <v>12</v>
      </c>
      <c r="J1696" t="s">
        <v>13</v>
      </c>
      <c r="K1696" t="s">
        <v>25</v>
      </c>
      <c r="L1696">
        <v>60</v>
      </c>
    </row>
    <row r="1697" spans="1:12" x14ac:dyDescent="0.3">
      <c r="A1697">
        <v>1111</v>
      </c>
      <c r="B1697" t="s">
        <v>24</v>
      </c>
      <c r="C1697" s="1">
        <v>45913</v>
      </c>
      <c r="D1697" s="1" t="str">
        <f xml:space="preserve"> TEXT(FilmaxData[[#This Row],[Show_Date]],"MMM")</f>
        <v>Sep</v>
      </c>
      <c r="E1697" s="1" t="str">
        <f xml:space="preserve"> TEXT(FilmaxData[[#This Row],[Show_Date]],"DDD")</f>
        <v>Sat</v>
      </c>
      <c r="F1697" t="s">
        <v>33</v>
      </c>
      <c r="G1697" t="s">
        <v>12</v>
      </c>
      <c r="H1697">
        <v>5</v>
      </c>
      <c r="I1697">
        <v>25</v>
      </c>
      <c r="J1697" t="s">
        <v>21</v>
      </c>
      <c r="K1697" t="s">
        <v>18</v>
      </c>
      <c r="L1697">
        <v>125</v>
      </c>
    </row>
    <row r="1698" spans="1:12" x14ac:dyDescent="0.3">
      <c r="A1698">
        <v>319</v>
      </c>
      <c r="B1698" t="s">
        <v>28</v>
      </c>
      <c r="C1698" s="1">
        <v>45882</v>
      </c>
      <c r="D1698" s="1" t="str">
        <f xml:space="preserve"> TEXT(FilmaxData[[#This Row],[Show_Date]],"MMM")</f>
        <v>Aug</v>
      </c>
      <c r="E1698" s="1" t="str">
        <f xml:space="preserve"> TEXT(FilmaxData[[#This Row],[Show_Date]],"DDD")</f>
        <v>Wed</v>
      </c>
      <c r="F1698" t="s">
        <v>11</v>
      </c>
      <c r="G1698" t="s">
        <v>17</v>
      </c>
      <c r="H1698">
        <v>1</v>
      </c>
      <c r="I1698">
        <v>12</v>
      </c>
      <c r="J1698" t="s">
        <v>23</v>
      </c>
      <c r="K1698" t="s">
        <v>25</v>
      </c>
      <c r="L1698">
        <v>12</v>
      </c>
    </row>
    <row r="1699" spans="1:12" x14ac:dyDescent="0.3">
      <c r="A1699">
        <v>1661</v>
      </c>
      <c r="B1699" t="s">
        <v>32</v>
      </c>
      <c r="C1699" s="1">
        <v>45870</v>
      </c>
      <c r="D1699" s="1" t="str">
        <f xml:space="preserve"> TEXT(FilmaxData[[#This Row],[Show_Date]],"MMM")</f>
        <v>Aug</v>
      </c>
      <c r="E1699" s="1" t="str">
        <f xml:space="preserve"> TEXT(FilmaxData[[#This Row],[Show_Date]],"DDD")</f>
        <v>Fri</v>
      </c>
      <c r="F1699" t="s">
        <v>16</v>
      </c>
      <c r="G1699" t="s">
        <v>12</v>
      </c>
      <c r="H1699">
        <v>3</v>
      </c>
      <c r="I1699">
        <v>25</v>
      </c>
      <c r="J1699" t="s">
        <v>21</v>
      </c>
      <c r="K1699" t="s">
        <v>14</v>
      </c>
      <c r="L1699">
        <v>75</v>
      </c>
    </row>
    <row r="1700" spans="1:12" x14ac:dyDescent="0.3">
      <c r="A1700">
        <v>1602</v>
      </c>
      <c r="B1700" t="s">
        <v>28</v>
      </c>
      <c r="C1700" s="1">
        <v>45921</v>
      </c>
      <c r="D1700" s="1" t="str">
        <f xml:space="preserve"> TEXT(FilmaxData[[#This Row],[Show_Date]],"MMM")</f>
        <v>Sep</v>
      </c>
      <c r="E1700" s="1" t="str">
        <f xml:space="preserve"> TEXT(FilmaxData[[#This Row],[Show_Date]],"DDD")</f>
        <v>Sun</v>
      </c>
      <c r="F1700" t="s">
        <v>16</v>
      </c>
      <c r="G1700" t="s">
        <v>12</v>
      </c>
      <c r="H1700">
        <v>1</v>
      </c>
      <c r="I1700">
        <v>25</v>
      </c>
      <c r="J1700" t="s">
        <v>21</v>
      </c>
      <c r="K1700" t="s">
        <v>25</v>
      </c>
      <c r="L1700">
        <v>25</v>
      </c>
    </row>
    <row r="1701" spans="1:12" x14ac:dyDescent="0.3">
      <c r="A1701">
        <v>794</v>
      </c>
      <c r="B1701" t="s">
        <v>31</v>
      </c>
      <c r="C1701" s="1">
        <v>45903</v>
      </c>
      <c r="D1701" s="1" t="str">
        <f xml:space="preserve"> TEXT(FilmaxData[[#This Row],[Show_Date]],"MMM")</f>
        <v>Sep</v>
      </c>
      <c r="E1701" s="1" t="str">
        <f xml:space="preserve"> TEXT(FilmaxData[[#This Row],[Show_Date]],"DDD")</f>
        <v>Wed</v>
      </c>
      <c r="F1701" t="s">
        <v>33</v>
      </c>
      <c r="G1701" t="s">
        <v>17</v>
      </c>
      <c r="H1701">
        <v>2</v>
      </c>
      <c r="I1701">
        <v>12</v>
      </c>
      <c r="J1701" t="s">
        <v>21</v>
      </c>
      <c r="K1701" t="s">
        <v>27</v>
      </c>
      <c r="L1701">
        <v>24</v>
      </c>
    </row>
    <row r="1702" spans="1:12" x14ac:dyDescent="0.3">
      <c r="A1702">
        <v>929</v>
      </c>
      <c r="B1702" t="s">
        <v>10</v>
      </c>
      <c r="C1702" s="1">
        <v>45907</v>
      </c>
      <c r="D1702" s="1" t="str">
        <f xml:space="preserve"> TEXT(FilmaxData[[#This Row],[Show_Date]],"MMM")</f>
        <v>Sep</v>
      </c>
      <c r="E1702" s="1" t="str">
        <f xml:space="preserve"> TEXT(FilmaxData[[#This Row],[Show_Date]],"DDD")</f>
        <v>Sun</v>
      </c>
      <c r="F1702" t="s">
        <v>20</v>
      </c>
      <c r="G1702" t="s">
        <v>30</v>
      </c>
      <c r="H1702">
        <v>2</v>
      </c>
      <c r="I1702">
        <v>8</v>
      </c>
      <c r="J1702" t="s">
        <v>21</v>
      </c>
      <c r="K1702" t="s">
        <v>25</v>
      </c>
      <c r="L1702">
        <v>16</v>
      </c>
    </row>
    <row r="1703" spans="1:12" x14ac:dyDescent="0.3">
      <c r="A1703">
        <v>1099</v>
      </c>
      <c r="B1703" t="s">
        <v>10</v>
      </c>
      <c r="C1703" s="1">
        <v>45930</v>
      </c>
      <c r="D1703" s="1" t="str">
        <f xml:space="preserve"> TEXT(FilmaxData[[#This Row],[Show_Date]],"MMM")</f>
        <v>Sep</v>
      </c>
      <c r="E1703" s="1" t="str">
        <f xml:space="preserve"> TEXT(FilmaxData[[#This Row],[Show_Date]],"DDD")</f>
        <v>Tue</v>
      </c>
      <c r="F1703" t="s">
        <v>20</v>
      </c>
      <c r="G1703" t="s">
        <v>17</v>
      </c>
      <c r="H1703">
        <v>2</v>
      </c>
      <c r="I1703">
        <v>12</v>
      </c>
      <c r="J1703" t="s">
        <v>21</v>
      </c>
      <c r="K1703" t="s">
        <v>14</v>
      </c>
      <c r="L1703">
        <v>24</v>
      </c>
    </row>
    <row r="1704" spans="1:12" x14ac:dyDescent="0.3">
      <c r="A1704">
        <v>1378</v>
      </c>
      <c r="B1704" t="s">
        <v>15</v>
      </c>
      <c r="C1704" s="1">
        <v>45881</v>
      </c>
      <c r="D1704" s="1" t="str">
        <f xml:space="preserve"> TEXT(FilmaxData[[#This Row],[Show_Date]],"MMM")</f>
        <v>Aug</v>
      </c>
      <c r="E1704" s="1" t="str">
        <f xml:space="preserve"> TEXT(FilmaxData[[#This Row],[Show_Date]],"DDD")</f>
        <v>Tue</v>
      </c>
      <c r="F1704" t="s">
        <v>16</v>
      </c>
      <c r="G1704" t="s">
        <v>17</v>
      </c>
      <c r="H1704">
        <v>4</v>
      </c>
      <c r="I1704">
        <v>12</v>
      </c>
      <c r="J1704" t="s">
        <v>13</v>
      </c>
      <c r="K1704" t="s">
        <v>18</v>
      </c>
      <c r="L1704">
        <v>48</v>
      </c>
    </row>
    <row r="1705" spans="1:12" x14ac:dyDescent="0.3">
      <c r="A1705">
        <v>1749</v>
      </c>
      <c r="B1705" t="s">
        <v>28</v>
      </c>
      <c r="C1705" s="1">
        <v>45927</v>
      </c>
      <c r="D1705" s="1" t="str">
        <f xml:space="preserve"> TEXT(FilmaxData[[#This Row],[Show_Date]],"MMM")</f>
        <v>Sep</v>
      </c>
      <c r="E1705" s="1" t="str">
        <f xml:space="preserve"> TEXT(FilmaxData[[#This Row],[Show_Date]],"DDD")</f>
        <v>Sat</v>
      </c>
      <c r="F1705" t="s">
        <v>33</v>
      </c>
      <c r="G1705" t="s">
        <v>17</v>
      </c>
      <c r="H1705">
        <v>2</v>
      </c>
      <c r="I1705">
        <v>12</v>
      </c>
      <c r="J1705" t="s">
        <v>21</v>
      </c>
      <c r="K1705" t="s">
        <v>18</v>
      </c>
      <c r="L1705">
        <v>24</v>
      </c>
    </row>
    <row r="1706" spans="1:12" x14ac:dyDescent="0.3">
      <c r="A1706">
        <v>1364</v>
      </c>
      <c r="B1706" t="s">
        <v>10</v>
      </c>
      <c r="C1706" s="1">
        <v>45890</v>
      </c>
      <c r="D1706" s="1" t="str">
        <f xml:space="preserve"> TEXT(FilmaxData[[#This Row],[Show_Date]],"MMM")</f>
        <v>Aug</v>
      </c>
      <c r="E1706" s="1" t="str">
        <f xml:space="preserve"> TEXT(FilmaxData[[#This Row],[Show_Date]],"DDD")</f>
        <v>Thu</v>
      </c>
      <c r="F1706" t="s">
        <v>20</v>
      </c>
      <c r="G1706" t="s">
        <v>17</v>
      </c>
      <c r="H1706">
        <v>1</v>
      </c>
      <c r="I1706">
        <v>12</v>
      </c>
      <c r="J1706" t="s">
        <v>23</v>
      </c>
      <c r="K1706" t="s">
        <v>18</v>
      </c>
      <c r="L1706">
        <v>12</v>
      </c>
    </row>
    <row r="1707" spans="1:12" x14ac:dyDescent="0.3">
      <c r="A1707">
        <v>145</v>
      </c>
      <c r="B1707" t="s">
        <v>19</v>
      </c>
      <c r="C1707" s="1">
        <v>45925</v>
      </c>
      <c r="D1707" s="1" t="str">
        <f xml:space="preserve"> TEXT(FilmaxData[[#This Row],[Show_Date]],"MMM")</f>
        <v>Sep</v>
      </c>
      <c r="E1707" s="1" t="str">
        <f xml:space="preserve"> TEXT(FilmaxData[[#This Row],[Show_Date]],"DDD")</f>
        <v>Thu</v>
      </c>
      <c r="F1707" t="s">
        <v>33</v>
      </c>
      <c r="G1707" t="s">
        <v>17</v>
      </c>
      <c r="H1707">
        <v>4</v>
      </c>
      <c r="I1707">
        <v>12</v>
      </c>
      <c r="J1707" t="s">
        <v>23</v>
      </c>
      <c r="K1707" t="s">
        <v>27</v>
      </c>
      <c r="L1707">
        <v>48</v>
      </c>
    </row>
    <row r="1708" spans="1:12" x14ac:dyDescent="0.3">
      <c r="A1708">
        <v>528</v>
      </c>
      <c r="B1708" t="s">
        <v>26</v>
      </c>
      <c r="C1708" s="1">
        <v>45844</v>
      </c>
      <c r="D1708" s="1" t="str">
        <f xml:space="preserve"> TEXT(FilmaxData[[#This Row],[Show_Date]],"MMM")</f>
        <v>Jul</v>
      </c>
      <c r="E1708" s="1" t="str">
        <f xml:space="preserve"> TEXT(FilmaxData[[#This Row],[Show_Date]],"DDD")</f>
        <v>Sun</v>
      </c>
      <c r="F1708" t="s">
        <v>33</v>
      </c>
      <c r="G1708" t="s">
        <v>29</v>
      </c>
      <c r="H1708">
        <v>3</v>
      </c>
      <c r="I1708">
        <v>30</v>
      </c>
      <c r="J1708" t="s">
        <v>21</v>
      </c>
      <c r="K1708" t="s">
        <v>27</v>
      </c>
      <c r="L1708">
        <v>90</v>
      </c>
    </row>
    <row r="1709" spans="1:12" x14ac:dyDescent="0.3">
      <c r="A1709">
        <v>49</v>
      </c>
      <c r="B1709" t="s">
        <v>10</v>
      </c>
      <c r="C1709" s="1">
        <v>45921</v>
      </c>
      <c r="D1709" s="1" t="str">
        <f xml:space="preserve"> TEXT(FilmaxData[[#This Row],[Show_Date]],"MMM")</f>
        <v>Sep</v>
      </c>
      <c r="E1709" s="1" t="str">
        <f xml:space="preserve"> TEXT(FilmaxData[[#This Row],[Show_Date]],"DDD")</f>
        <v>Sun</v>
      </c>
      <c r="F1709" t="s">
        <v>11</v>
      </c>
      <c r="G1709" t="s">
        <v>12</v>
      </c>
      <c r="H1709">
        <v>2</v>
      </c>
      <c r="I1709">
        <v>25</v>
      </c>
      <c r="J1709" t="s">
        <v>13</v>
      </c>
      <c r="K1709" t="s">
        <v>18</v>
      </c>
      <c r="L1709">
        <v>50</v>
      </c>
    </row>
    <row r="1710" spans="1:12" x14ac:dyDescent="0.3">
      <c r="A1710">
        <v>1467</v>
      </c>
      <c r="B1710" t="s">
        <v>26</v>
      </c>
      <c r="C1710" s="1">
        <v>45913</v>
      </c>
      <c r="D1710" s="1" t="str">
        <f xml:space="preserve"> TEXT(FilmaxData[[#This Row],[Show_Date]],"MMM")</f>
        <v>Sep</v>
      </c>
      <c r="E1710" s="1" t="str">
        <f xml:space="preserve"> TEXT(FilmaxData[[#This Row],[Show_Date]],"DDD")</f>
        <v>Sat</v>
      </c>
      <c r="F1710" t="s">
        <v>11</v>
      </c>
      <c r="G1710" t="s">
        <v>17</v>
      </c>
      <c r="H1710">
        <v>4</v>
      </c>
      <c r="I1710">
        <v>12</v>
      </c>
      <c r="J1710" t="s">
        <v>13</v>
      </c>
      <c r="K1710" t="s">
        <v>25</v>
      </c>
      <c r="L1710">
        <v>48</v>
      </c>
    </row>
    <row r="1711" spans="1:12" x14ac:dyDescent="0.3">
      <c r="A1711">
        <v>578</v>
      </c>
      <c r="B1711" t="s">
        <v>10</v>
      </c>
      <c r="C1711" s="1">
        <v>45891</v>
      </c>
      <c r="D1711" s="1" t="str">
        <f xml:space="preserve"> TEXT(FilmaxData[[#This Row],[Show_Date]],"MMM")</f>
        <v>Aug</v>
      </c>
      <c r="E1711" s="1" t="str">
        <f xml:space="preserve"> TEXT(FilmaxData[[#This Row],[Show_Date]],"DDD")</f>
        <v>Fri</v>
      </c>
      <c r="F1711" t="s">
        <v>33</v>
      </c>
      <c r="G1711" t="s">
        <v>12</v>
      </c>
      <c r="H1711">
        <v>5</v>
      </c>
      <c r="I1711">
        <v>25</v>
      </c>
      <c r="J1711" t="s">
        <v>13</v>
      </c>
      <c r="K1711" t="s">
        <v>25</v>
      </c>
      <c r="L1711">
        <v>125</v>
      </c>
    </row>
    <row r="1712" spans="1:12" x14ac:dyDescent="0.3">
      <c r="A1712">
        <v>1927</v>
      </c>
      <c r="B1712" t="s">
        <v>15</v>
      </c>
      <c r="C1712" s="1">
        <v>45892</v>
      </c>
      <c r="D1712" s="1" t="str">
        <f xml:space="preserve"> TEXT(FilmaxData[[#This Row],[Show_Date]],"MMM")</f>
        <v>Aug</v>
      </c>
      <c r="E1712" s="1" t="str">
        <f xml:space="preserve"> TEXT(FilmaxData[[#This Row],[Show_Date]],"DDD")</f>
        <v>Sat</v>
      </c>
      <c r="F1712" t="s">
        <v>11</v>
      </c>
      <c r="G1712" t="s">
        <v>12</v>
      </c>
      <c r="H1712">
        <v>3</v>
      </c>
      <c r="I1712">
        <v>25</v>
      </c>
      <c r="J1712" t="s">
        <v>23</v>
      </c>
      <c r="K1712" t="s">
        <v>14</v>
      </c>
      <c r="L1712">
        <v>75</v>
      </c>
    </row>
    <row r="1713" spans="1:12" x14ac:dyDescent="0.3">
      <c r="A1713">
        <v>997</v>
      </c>
      <c r="B1713" t="s">
        <v>24</v>
      </c>
      <c r="C1713" s="1">
        <v>45907</v>
      </c>
      <c r="D1713" s="1" t="str">
        <f xml:space="preserve"> TEXT(FilmaxData[[#This Row],[Show_Date]],"MMM")</f>
        <v>Sep</v>
      </c>
      <c r="E1713" s="1" t="str">
        <f xml:space="preserve"> TEXT(FilmaxData[[#This Row],[Show_Date]],"DDD")</f>
        <v>Sun</v>
      </c>
      <c r="F1713" t="s">
        <v>11</v>
      </c>
      <c r="G1713" t="s">
        <v>17</v>
      </c>
      <c r="H1713">
        <v>5</v>
      </c>
      <c r="I1713">
        <v>12</v>
      </c>
      <c r="J1713" t="s">
        <v>23</v>
      </c>
      <c r="K1713" t="s">
        <v>18</v>
      </c>
      <c r="L1713">
        <v>60</v>
      </c>
    </row>
    <row r="1714" spans="1:12" x14ac:dyDescent="0.3">
      <c r="A1714">
        <v>1869</v>
      </c>
      <c r="B1714" t="s">
        <v>15</v>
      </c>
      <c r="C1714" s="1">
        <v>45915</v>
      </c>
      <c r="D1714" s="1" t="str">
        <f xml:space="preserve"> TEXT(FilmaxData[[#This Row],[Show_Date]],"MMM")</f>
        <v>Sep</v>
      </c>
      <c r="E1714" s="1" t="str">
        <f xml:space="preserve"> TEXT(FilmaxData[[#This Row],[Show_Date]],"DDD")</f>
        <v>Mon</v>
      </c>
      <c r="F1714" t="s">
        <v>20</v>
      </c>
      <c r="G1714" t="s">
        <v>30</v>
      </c>
      <c r="H1714">
        <v>1</v>
      </c>
      <c r="I1714">
        <v>8</v>
      </c>
      <c r="J1714" t="s">
        <v>13</v>
      </c>
      <c r="K1714" t="s">
        <v>14</v>
      </c>
      <c r="L1714">
        <v>8</v>
      </c>
    </row>
    <row r="1715" spans="1:12" x14ac:dyDescent="0.3">
      <c r="A1715">
        <v>763</v>
      </c>
      <c r="B1715" t="s">
        <v>15</v>
      </c>
      <c r="C1715" s="1">
        <v>45926</v>
      </c>
      <c r="D1715" s="1" t="str">
        <f xml:space="preserve"> TEXT(FilmaxData[[#This Row],[Show_Date]],"MMM")</f>
        <v>Sep</v>
      </c>
      <c r="E1715" s="1" t="str">
        <f xml:space="preserve"> TEXT(FilmaxData[[#This Row],[Show_Date]],"DDD")</f>
        <v>Fri</v>
      </c>
      <c r="F1715" t="s">
        <v>11</v>
      </c>
      <c r="G1715" t="s">
        <v>12</v>
      </c>
      <c r="H1715">
        <v>3</v>
      </c>
      <c r="I1715">
        <v>25</v>
      </c>
      <c r="J1715" t="s">
        <v>21</v>
      </c>
      <c r="K1715" t="s">
        <v>27</v>
      </c>
      <c r="L1715">
        <v>75</v>
      </c>
    </row>
    <row r="1716" spans="1:12" x14ac:dyDescent="0.3">
      <c r="A1716">
        <v>175</v>
      </c>
      <c r="B1716" t="s">
        <v>19</v>
      </c>
      <c r="C1716" s="1">
        <v>45903</v>
      </c>
      <c r="D1716" s="1" t="str">
        <f xml:space="preserve"> TEXT(FilmaxData[[#This Row],[Show_Date]],"MMM")</f>
        <v>Sep</v>
      </c>
      <c r="E1716" s="1" t="str">
        <f xml:space="preserve"> TEXT(FilmaxData[[#This Row],[Show_Date]],"DDD")</f>
        <v>Wed</v>
      </c>
      <c r="F1716" t="s">
        <v>33</v>
      </c>
      <c r="G1716" t="s">
        <v>17</v>
      </c>
      <c r="H1716">
        <v>3</v>
      </c>
      <c r="I1716">
        <v>12</v>
      </c>
      <c r="J1716" t="s">
        <v>13</v>
      </c>
      <c r="K1716" t="s">
        <v>25</v>
      </c>
      <c r="L1716">
        <v>36</v>
      </c>
    </row>
    <row r="1717" spans="1:12" x14ac:dyDescent="0.3">
      <c r="A1717">
        <v>1662</v>
      </c>
      <c r="B1717" t="s">
        <v>32</v>
      </c>
      <c r="C1717" s="1">
        <v>45878</v>
      </c>
      <c r="D1717" s="1" t="str">
        <f xml:space="preserve"> TEXT(FilmaxData[[#This Row],[Show_Date]],"MMM")</f>
        <v>Aug</v>
      </c>
      <c r="E1717" s="1" t="str">
        <f xml:space="preserve"> TEXT(FilmaxData[[#This Row],[Show_Date]],"DDD")</f>
        <v>Sat</v>
      </c>
      <c r="F1717" t="s">
        <v>20</v>
      </c>
      <c r="G1717" t="s">
        <v>12</v>
      </c>
      <c r="H1717">
        <v>1</v>
      </c>
      <c r="I1717">
        <v>25</v>
      </c>
      <c r="J1717" t="s">
        <v>13</v>
      </c>
      <c r="K1717" t="s">
        <v>14</v>
      </c>
      <c r="L1717">
        <v>25</v>
      </c>
    </row>
    <row r="1718" spans="1:12" x14ac:dyDescent="0.3">
      <c r="A1718">
        <v>516</v>
      </c>
      <c r="B1718" t="s">
        <v>32</v>
      </c>
      <c r="C1718" s="1">
        <v>45880</v>
      </c>
      <c r="D1718" s="1" t="str">
        <f xml:space="preserve"> TEXT(FilmaxData[[#This Row],[Show_Date]],"MMM")</f>
        <v>Aug</v>
      </c>
      <c r="E1718" s="1" t="str">
        <f xml:space="preserve"> TEXT(FilmaxData[[#This Row],[Show_Date]],"DDD")</f>
        <v>Mon</v>
      </c>
      <c r="F1718" t="s">
        <v>16</v>
      </c>
      <c r="G1718" t="s">
        <v>29</v>
      </c>
      <c r="H1718">
        <v>3</v>
      </c>
      <c r="I1718">
        <v>30</v>
      </c>
      <c r="J1718" t="s">
        <v>13</v>
      </c>
      <c r="K1718" t="s">
        <v>25</v>
      </c>
      <c r="L1718">
        <v>90</v>
      </c>
    </row>
    <row r="1719" spans="1:12" x14ac:dyDescent="0.3">
      <c r="A1719">
        <v>1204</v>
      </c>
      <c r="B1719" t="s">
        <v>26</v>
      </c>
      <c r="C1719" s="1">
        <v>45911</v>
      </c>
      <c r="D1719" s="1" t="str">
        <f xml:space="preserve"> TEXT(FilmaxData[[#This Row],[Show_Date]],"MMM")</f>
        <v>Sep</v>
      </c>
      <c r="E1719" s="1" t="str">
        <f xml:space="preserve"> TEXT(FilmaxData[[#This Row],[Show_Date]],"DDD")</f>
        <v>Thu</v>
      </c>
      <c r="F1719" t="s">
        <v>33</v>
      </c>
      <c r="G1719" t="s">
        <v>22</v>
      </c>
      <c r="H1719">
        <v>2</v>
      </c>
      <c r="I1719">
        <v>20</v>
      </c>
      <c r="J1719" t="s">
        <v>13</v>
      </c>
      <c r="K1719" t="s">
        <v>18</v>
      </c>
      <c r="L1719">
        <v>40</v>
      </c>
    </row>
    <row r="1720" spans="1:12" x14ac:dyDescent="0.3">
      <c r="A1720">
        <v>1348</v>
      </c>
      <c r="B1720" t="s">
        <v>28</v>
      </c>
      <c r="C1720" s="1">
        <v>45846</v>
      </c>
      <c r="D1720" s="1" t="str">
        <f xml:space="preserve"> TEXT(FilmaxData[[#This Row],[Show_Date]],"MMM")</f>
        <v>Jul</v>
      </c>
      <c r="E1720" s="1" t="str">
        <f xml:space="preserve"> TEXT(FilmaxData[[#This Row],[Show_Date]],"DDD")</f>
        <v>Tue</v>
      </c>
      <c r="F1720" t="s">
        <v>11</v>
      </c>
      <c r="G1720" t="s">
        <v>17</v>
      </c>
      <c r="H1720">
        <v>4</v>
      </c>
      <c r="I1720">
        <v>12</v>
      </c>
      <c r="J1720" t="s">
        <v>13</v>
      </c>
      <c r="K1720" t="s">
        <v>27</v>
      </c>
      <c r="L1720">
        <v>48</v>
      </c>
    </row>
    <row r="1721" spans="1:12" x14ac:dyDescent="0.3">
      <c r="A1721">
        <v>1500</v>
      </c>
      <c r="B1721" t="s">
        <v>28</v>
      </c>
      <c r="C1721" s="1">
        <v>45849</v>
      </c>
      <c r="D1721" s="1" t="str">
        <f xml:space="preserve"> TEXT(FilmaxData[[#This Row],[Show_Date]],"MMM")</f>
        <v>Jul</v>
      </c>
      <c r="E1721" s="1" t="str">
        <f xml:space="preserve"> TEXT(FilmaxData[[#This Row],[Show_Date]],"DDD")</f>
        <v>Fri</v>
      </c>
      <c r="F1721" t="s">
        <v>16</v>
      </c>
      <c r="G1721" t="s">
        <v>30</v>
      </c>
      <c r="H1721">
        <v>3</v>
      </c>
      <c r="I1721">
        <v>8</v>
      </c>
      <c r="J1721" t="s">
        <v>13</v>
      </c>
      <c r="K1721" t="s">
        <v>14</v>
      </c>
      <c r="L1721">
        <v>24</v>
      </c>
    </row>
    <row r="1722" spans="1:12" x14ac:dyDescent="0.3">
      <c r="A1722">
        <v>86</v>
      </c>
      <c r="B1722" t="s">
        <v>32</v>
      </c>
      <c r="C1722" s="1">
        <v>45900</v>
      </c>
      <c r="D1722" s="1" t="str">
        <f xml:space="preserve"> TEXT(FilmaxData[[#This Row],[Show_Date]],"MMM")</f>
        <v>Aug</v>
      </c>
      <c r="E1722" s="1" t="str">
        <f xml:space="preserve"> TEXT(FilmaxData[[#This Row],[Show_Date]],"DDD")</f>
        <v>Sun</v>
      </c>
      <c r="F1722" t="s">
        <v>33</v>
      </c>
      <c r="G1722" t="s">
        <v>17</v>
      </c>
      <c r="H1722">
        <v>2</v>
      </c>
      <c r="I1722">
        <v>12</v>
      </c>
      <c r="J1722" t="s">
        <v>21</v>
      </c>
      <c r="K1722" t="s">
        <v>25</v>
      </c>
      <c r="L1722">
        <v>24</v>
      </c>
    </row>
    <row r="1723" spans="1:12" x14ac:dyDescent="0.3">
      <c r="A1723">
        <v>1883</v>
      </c>
      <c r="B1723" t="s">
        <v>24</v>
      </c>
      <c r="C1723" s="1">
        <v>45848</v>
      </c>
      <c r="D1723" s="1" t="str">
        <f xml:space="preserve"> TEXT(FilmaxData[[#This Row],[Show_Date]],"MMM")</f>
        <v>Jul</v>
      </c>
      <c r="E1723" s="1" t="str">
        <f xml:space="preserve"> TEXT(FilmaxData[[#This Row],[Show_Date]],"DDD")</f>
        <v>Thu</v>
      </c>
      <c r="F1723" t="s">
        <v>33</v>
      </c>
      <c r="G1723" t="s">
        <v>29</v>
      </c>
      <c r="H1723">
        <v>5</v>
      </c>
      <c r="I1723">
        <v>30</v>
      </c>
      <c r="J1723" t="s">
        <v>13</v>
      </c>
      <c r="K1723" t="s">
        <v>18</v>
      </c>
      <c r="L1723">
        <v>150</v>
      </c>
    </row>
    <row r="1724" spans="1:12" x14ac:dyDescent="0.3">
      <c r="A1724">
        <v>1826</v>
      </c>
      <c r="B1724" t="s">
        <v>15</v>
      </c>
      <c r="C1724" s="1">
        <v>45854</v>
      </c>
      <c r="D1724" s="1" t="str">
        <f xml:space="preserve"> TEXT(FilmaxData[[#This Row],[Show_Date]],"MMM")</f>
        <v>Jul</v>
      </c>
      <c r="E1724" s="1" t="str">
        <f xml:space="preserve"> TEXT(FilmaxData[[#This Row],[Show_Date]],"DDD")</f>
        <v>Wed</v>
      </c>
      <c r="F1724" t="s">
        <v>20</v>
      </c>
      <c r="G1724" t="s">
        <v>17</v>
      </c>
      <c r="H1724">
        <v>5</v>
      </c>
      <c r="I1724">
        <v>12</v>
      </c>
      <c r="J1724" t="s">
        <v>23</v>
      </c>
      <c r="K1724" t="s">
        <v>14</v>
      </c>
      <c r="L1724">
        <v>60</v>
      </c>
    </row>
    <row r="1725" spans="1:12" x14ac:dyDescent="0.3">
      <c r="A1725">
        <v>1160</v>
      </c>
      <c r="B1725" t="s">
        <v>31</v>
      </c>
      <c r="C1725" s="1">
        <v>45875</v>
      </c>
      <c r="D1725" s="1" t="str">
        <f xml:space="preserve"> TEXT(FilmaxData[[#This Row],[Show_Date]],"MMM")</f>
        <v>Aug</v>
      </c>
      <c r="E1725" s="1" t="str">
        <f xml:space="preserve"> TEXT(FilmaxData[[#This Row],[Show_Date]],"DDD")</f>
        <v>Wed</v>
      </c>
      <c r="F1725" t="s">
        <v>11</v>
      </c>
      <c r="G1725" t="s">
        <v>17</v>
      </c>
      <c r="H1725">
        <v>1</v>
      </c>
      <c r="I1725">
        <v>12</v>
      </c>
      <c r="J1725" t="s">
        <v>13</v>
      </c>
      <c r="K1725" t="s">
        <v>14</v>
      </c>
      <c r="L1725">
        <v>12</v>
      </c>
    </row>
    <row r="1726" spans="1:12" x14ac:dyDescent="0.3">
      <c r="A1726">
        <v>1827</v>
      </c>
      <c r="B1726" t="s">
        <v>10</v>
      </c>
      <c r="C1726" s="1">
        <v>45841</v>
      </c>
      <c r="D1726" s="1" t="str">
        <f xml:space="preserve"> TEXT(FilmaxData[[#This Row],[Show_Date]],"MMM")</f>
        <v>Jul</v>
      </c>
      <c r="E1726" s="1" t="str">
        <f xml:space="preserve"> TEXT(FilmaxData[[#This Row],[Show_Date]],"DDD")</f>
        <v>Thu</v>
      </c>
      <c r="F1726" t="s">
        <v>16</v>
      </c>
      <c r="G1726" t="s">
        <v>17</v>
      </c>
      <c r="H1726">
        <v>3</v>
      </c>
      <c r="I1726">
        <v>12</v>
      </c>
      <c r="J1726" t="s">
        <v>13</v>
      </c>
      <c r="K1726" t="s">
        <v>25</v>
      </c>
      <c r="L1726">
        <v>36</v>
      </c>
    </row>
    <row r="1727" spans="1:12" x14ac:dyDescent="0.3">
      <c r="A1727">
        <v>1983</v>
      </c>
      <c r="B1727" t="s">
        <v>31</v>
      </c>
      <c r="C1727" s="1">
        <v>45916</v>
      </c>
      <c r="D1727" s="1" t="str">
        <f xml:space="preserve"> TEXT(FilmaxData[[#This Row],[Show_Date]],"MMM")</f>
        <v>Sep</v>
      </c>
      <c r="E1727" s="1" t="str">
        <f xml:space="preserve"> TEXT(FilmaxData[[#This Row],[Show_Date]],"DDD")</f>
        <v>Tue</v>
      </c>
      <c r="F1727" t="s">
        <v>20</v>
      </c>
      <c r="G1727" t="s">
        <v>17</v>
      </c>
      <c r="H1727">
        <v>4</v>
      </c>
      <c r="I1727">
        <v>12</v>
      </c>
      <c r="J1727" t="s">
        <v>21</v>
      </c>
      <c r="K1727" t="s">
        <v>18</v>
      </c>
      <c r="L1727">
        <v>48</v>
      </c>
    </row>
    <row r="1728" spans="1:12" x14ac:dyDescent="0.3">
      <c r="A1728">
        <v>1628</v>
      </c>
      <c r="B1728" t="s">
        <v>24</v>
      </c>
      <c r="C1728" s="1">
        <v>45872</v>
      </c>
      <c r="D1728" s="1" t="str">
        <f xml:space="preserve"> TEXT(FilmaxData[[#This Row],[Show_Date]],"MMM")</f>
        <v>Aug</v>
      </c>
      <c r="E1728" s="1" t="str">
        <f xml:space="preserve"> TEXT(FilmaxData[[#This Row],[Show_Date]],"DDD")</f>
        <v>Sun</v>
      </c>
      <c r="F1728" t="s">
        <v>11</v>
      </c>
      <c r="G1728" t="s">
        <v>22</v>
      </c>
      <c r="H1728">
        <v>2</v>
      </c>
      <c r="I1728">
        <v>20</v>
      </c>
      <c r="J1728" t="s">
        <v>23</v>
      </c>
      <c r="K1728" t="s">
        <v>14</v>
      </c>
      <c r="L1728">
        <v>40</v>
      </c>
    </row>
    <row r="1729" spans="1:12" x14ac:dyDescent="0.3">
      <c r="A1729">
        <v>1343</v>
      </c>
      <c r="B1729" t="s">
        <v>28</v>
      </c>
      <c r="C1729" s="1">
        <v>45917</v>
      </c>
      <c r="D1729" s="1" t="str">
        <f xml:space="preserve"> TEXT(FilmaxData[[#This Row],[Show_Date]],"MMM")</f>
        <v>Sep</v>
      </c>
      <c r="E1729" s="1" t="str">
        <f xml:space="preserve"> TEXT(FilmaxData[[#This Row],[Show_Date]],"DDD")</f>
        <v>Wed</v>
      </c>
      <c r="F1729" t="s">
        <v>16</v>
      </c>
      <c r="G1729" t="s">
        <v>12</v>
      </c>
      <c r="H1729">
        <v>1</v>
      </c>
      <c r="I1729">
        <v>25</v>
      </c>
      <c r="J1729" t="s">
        <v>23</v>
      </c>
      <c r="K1729" t="s">
        <v>27</v>
      </c>
      <c r="L1729">
        <v>25</v>
      </c>
    </row>
    <row r="1730" spans="1:12" x14ac:dyDescent="0.3">
      <c r="A1730">
        <v>1036</v>
      </c>
      <c r="B1730" t="s">
        <v>26</v>
      </c>
      <c r="C1730" s="1">
        <v>45879</v>
      </c>
      <c r="D1730" s="1" t="str">
        <f xml:space="preserve"> TEXT(FilmaxData[[#This Row],[Show_Date]],"MMM")</f>
        <v>Aug</v>
      </c>
      <c r="E1730" s="1" t="str">
        <f xml:space="preserve"> TEXT(FilmaxData[[#This Row],[Show_Date]],"DDD")</f>
        <v>Sun</v>
      </c>
      <c r="F1730" t="s">
        <v>11</v>
      </c>
      <c r="G1730" t="s">
        <v>17</v>
      </c>
      <c r="H1730">
        <v>2</v>
      </c>
      <c r="I1730">
        <v>12</v>
      </c>
      <c r="J1730" t="s">
        <v>13</v>
      </c>
      <c r="K1730" t="s">
        <v>14</v>
      </c>
      <c r="L1730">
        <v>24</v>
      </c>
    </row>
    <row r="1731" spans="1:12" x14ac:dyDescent="0.3">
      <c r="A1731">
        <v>1056</v>
      </c>
      <c r="B1731" t="s">
        <v>15</v>
      </c>
      <c r="C1731" s="1">
        <v>45895</v>
      </c>
      <c r="D1731" s="1" t="str">
        <f xml:space="preserve"> TEXT(FilmaxData[[#This Row],[Show_Date]],"MMM")</f>
        <v>Aug</v>
      </c>
      <c r="E1731" s="1" t="str">
        <f xml:space="preserve"> TEXT(FilmaxData[[#This Row],[Show_Date]],"DDD")</f>
        <v>Tue</v>
      </c>
      <c r="F1731" t="s">
        <v>33</v>
      </c>
      <c r="G1731" t="s">
        <v>29</v>
      </c>
      <c r="H1731">
        <v>5</v>
      </c>
      <c r="I1731">
        <v>30</v>
      </c>
      <c r="J1731" t="s">
        <v>23</v>
      </c>
      <c r="K1731" t="s">
        <v>25</v>
      </c>
      <c r="L1731">
        <v>150</v>
      </c>
    </row>
    <row r="1732" spans="1:12" x14ac:dyDescent="0.3">
      <c r="A1732">
        <v>1593</v>
      </c>
      <c r="B1732" t="s">
        <v>31</v>
      </c>
      <c r="C1732" s="1">
        <v>45893</v>
      </c>
      <c r="D1732" s="1" t="str">
        <f xml:space="preserve"> TEXT(FilmaxData[[#This Row],[Show_Date]],"MMM")</f>
        <v>Aug</v>
      </c>
      <c r="E1732" s="1" t="str">
        <f xml:space="preserve"> TEXT(FilmaxData[[#This Row],[Show_Date]],"DDD")</f>
        <v>Sun</v>
      </c>
      <c r="F1732" t="s">
        <v>11</v>
      </c>
      <c r="G1732" t="s">
        <v>12</v>
      </c>
      <c r="H1732">
        <v>4</v>
      </c>
      <c r="I1732">
        <v>25</v>
      </c>
      <c r="J1732" t="s">
        <v>13</v>
      </c>
      <c r="K1732" t="s">
        <v>18</v>
      </c>
      <c r="L1732">
        <v>100</v>
      </c>
    </row>
    <row r="1733" spans="1:12" x14ac:dyDescent="0.3">
      <c r="A1733">
        <v>1049</v>
      </c>
      <c r="B1733" t="s">
        <v>15</v>
      </c>
      <c r="C1733" s="1">
        <v>45893</v>
      </c>
      <c r="D1733" s="1" t="str">
        <f xml:space="preserve"> TEXT(FilmaxData[[#This Row],[Show_Date]],"MMM")</f>
        <v>Aug</v>
      </c>
      <c r="E1733" s="1" t="str">
        <f xml:space="preserve"> TEXT(FilmaxData[[#This Row],[Show_Date]],"DDD")</f>
        <v>Sun</v>
      </c>
      <c r="F1733" t="s">
        <v>33</v>
      </c>
      <c r="G1733" t="s">
        <v>17</v>
      </c>
      <c r="H1733">
        <v>3</v>
      </c>
      <c r="I1733">
        <v>12</v>
      </c>
      <c r="J1733" t="s">
        <v>23</v>
      </c>
      <c r="K1733" t="s">
        <v>25</v>
      </c>
      <c r="L1733">
        <v>36</v>
      </c>
    </row>
    <row r="1734" spans="1:12" x14ac:dyDescent="0.3">
      <c r="A1734">
        <v>595</v>
      </c>
      <c r="B1734" t="s">
        <v>31</v>
      </c>
      <c r="C1734" s="1">
        <v>45844</v>
      </c>
      <c r="D1734" s="1" t="str">
        <f xml:space="preserve"> TEXT(FilmaxData[[#This Row],[Show_Date]],"MMM")</f>
        <v>Jul</v>
      </c>
      <c r="E1734" s="1" t="str">
        <f xml:space="preserve"> TEXT(FilmaxData[[#This Row],[Show_Date]],"DDD")</f>
        <v>Sun</v>
      </c>
      <c r="F1734" t="s">
        <v>33</v>
      </c>
      <c r="G1734" t="s">
        <v>17</v>
      </c>
      <c r="H1734">
        <v>1</v>
      </c>
      <c r="I1734">
        <v>12</v>
      </c>
      <c r="J1734" t="s">
        <v>23</v>
      </c>
      <c r="K1734" t="s">
        <v>18</v>
      </c>
      <c r="L1734">
        <v>12</v>
      </c>
    </row>
    <row r="1735" spans="1:12" x14ac:dyDescent="0.3">
      <c r="A1735">
        <v>761</v>
      </c>
      <c r="B1735" t="s">
        <v>31</v>
      </c>
      <c r="C1735" s="1">
        <v>45907</v>
      </c>
      <c r="D1735" s="1" t="str">
        <f xml:space="preserve"> TEXT(FilmaxData[[#This Row],[Show_Date]],"MMM")</f>
        <v>Sep</v>
      </c>
      <c r="E1735" s="1" t="str">
        <f xml:space="preserve"> TEXT(FilmaxData[[#This Row],[Show_Date]],"DDD")</f>
        <v>Sun</v>
      </c>
      <c r="F1735" t="s">
        <v>20</v>
      </c>
      <c r="G1735" t="s">
        <v>17</v>
      </c>
      <c r="H1735">
        <v>3</v>
      </c>
      <c r="I1735">
        <v>12</v>
      </c>
      <c r="J1735" t="s">
        <v>13</v>
      </c>
      <c r="K1735" t="s">
        <v>14</v>
      </c>
      <c r="L1735">
        <v>36</v>
      </c>
    </row>
    <row r="1736" spans="1:12" x14ac:dyDescent="0.3">
      <c r="A1736">
        <v>1790</v>
      </c>
      <c r="B1736" t="s">
        <v>10</v>
      </c>
      <c r="C1736" s="1">
        <v>45883</v>
      </c>
      <c r="D1736" s="1" t="str">
        <f xml:space="preserve"> TEXT(FilmaxData[[#This Row],[Show_Date]],"MMM")</f>
        <v>Aug</v>
      </c>
      <c r="E1736" s="1" t="str">
        <f xml:space="preserve"> TEXT(FilmaxData[[#This Row],[Show_Date]],"DDD")</f>
        <v>Thu</v>
      </c>
      <c r="F1736" t="s">
        <v>33</v>
      </c>
      <c r="G1736" t="s">
        <v>29</v>
      </c>
      <c r="H1736">
        <v>1</v>
      </c>
      <c r="I1736">
        <v>30</v>
      </c>
      <c r="J1736" t="s">
        <v>23</v>
      </c>
      <c r="K1736" t="s">
        <v>27</v>
      </c>
      <c r="L1736">
        <v>30</v>
      </c>
    </row>
    <row r="1737" spans="1:12" x14ac:dyDescent="0.3">
      <c r="A1737">
        <v>891</v>
      </c>
      <c r="B1737" t="s">
        <v>28</v>
      </c>
      <c r="C1737" s="1">
        <v>45882</v>
      </c>
      <c r="D1737" s="1" t="str">
        <f xml:space="preserve"> TEXT(FilmaxData[[#This Row],[Show_Date]],"MMM")</f>
        <v>Aug</v>
      </c>
      <c r="E1737" s="1" t="str">
        <f xml:space="preserve"> TEXT(FilmaxData[[#This Row],[Show_Date]],"DDD")</f>
        <v>Wed</v>
      </c>
      <c r="F1737" t="s">
        <v>20</v>
      </c>
      <c r="G1737" t="s">
        <v>17</v>
      </c>
      <c r="H1737">
        <v>1</v>
      </c>
      <c r="I1737">
        <v>12</v>
      </c>
      <c r="J1737" t="s">
        <v>23</v>
      </c>
      <c r="K1737" t="s">
        <v>18</v>
      </c>
      <c r="L1737">
        <v>12</v>
      </c>
    </row>
    <row r="1738" spans="1:12" x14ac:dyDescent="0.3">
      <c r="A1738">
        <v>1612</v>
      </c>
      <c r="B1738" t="s">
        <v>10</v>
      </c>
      <c r="C1738" s="1">
        <v>45920</v>
      </c>
      <c r="D1738" s="1" t="str">
        <f xml:space="preserve"> TEXT(FilmaxData[[#This Row],[Show_Date]],"MMM")</f>
        <v>Sep</v>
      </c>
      <c r="E1738" s="1" t="str">
        <f xml:space="preserve"> TEXT(FilmaxData[[#This Row],[Show_Date]],"DDD")</f>
        <v>Sat</v>
      </c>
      <c r="F1738" t="s">
        <v>11</v>
      </c>
      <c r="G1738" t="s">
        <v>17</v>
      </c>
      <c r="H1738">
        <v>1</v>
      </c>
      <c r="I1738">
        <v>12</v>
      </c>
      <c r="J1738" t="s">
        <v>23</v>
      </c>
      <c r="K1738" t="s">
        <v>18</v>
      </c>
      <c r="L1738">
        <v>12</v>
      </c>
    </row>
    <row r="1739" spans="1:12" x14ac:dyDescent="0.3">
      <c r="A1739">
        <v>1771</v>
      </c>
      <c r="B1739" t="s">
        <v>32</v>
      </c>
      <c r="C1739" s="1">
        <v>45895</v>
      </c>
      <c r="D1739" s="1" t="str">
        <f xml:space="preserve"> TEXT(FilmaxData[[#This Row],[Show_Date]],"MMM")</f>
        <v>Aug</v>
      </c>
      <c r="E1739" s="1" t="str">
        <f xml:space="preserve"> TEXT(FilmaxData[[#This Row],[Show_Date]],"DDD")</f>
        <v>Tue</v>
      </c>
      <c r="F1739" t="s">
        <v>20</v>
      </c>
      <c r="G1739" t="s">
        <v>12</v>
      </c>
      <c r="H1739">
        <v>4</v>
      </c>
      <c r="I1739">
        <v>25</v>
      </c>
      <c r="J1739" t="s">
        <v>21</v>
      </c>
      <c r="K1739" t="s">
        <v>14</v>
      </c>
      <c r="L1739">
        <v>100</v>
      </c>
    </row>
    <row r="1740" spans="1:12" x14ac:dyDescent="0.3">
      <c r="A1740">
        <v>1729</v>
      </c>
      <c r="B1740" t="s">
        <v>26</v>
      </c>
      <c r="C1740" s="1">
        <v>45909</v>
      </c>
      <c r="D1740" s="1" t="str">
        <f xml:space="preserve"> TEXT(FilmaxData[[#This Row],[Show_Date]],"MMM")</f>
        <v>Sep</v>
      </c>
      <c r="E1740" s="1" t="str">
        <f xml:space="preserve"> TEXT(FilmaxData[[#This Row],[Show_Date]],"DDD")</f>
        <v>Tue</v>
      </c>
      <c r="F1740" t="s">
        <v>11</v>
      </c>
      <c r="G1740" t="s">
        <v>17</v>
      </c>
      <c r="H1740">
        <v>3</v>
      </c>
      <c r="I1740">
        <v>12</v>
      </c>
      <c r="J1740" t="s">
        <v>21</v>
      </c>
      <c r="K1740" t="s">
        <v>25</v>
      </c>
      <c r="L1740">
        <v>36</v>
      </c>
    </row>
    <row r="1741" spans="1:12" x14ac:dyDescent="0.3">
      <c r="A1741">
        <v>1059</v>
      </c>
      <c r="B1741" t="s">
        <v>10</v>
      </c>
      <c r="C1741" s="1">
        <v>45859</v>
      </c>
      <c r="D1741" s="1" t="str">
        <f xml:space="preserve"> TEXT(FilmaxData[[#This Row],[Show_Date]],"MMM")</f>
        <v>Jul</v>
      </c>
      <c r="E1741" s="1" t="str">
        <f xml:space="preserve"> TEXT(FilmaxData[[#This Row],[Show_Date]],"DDD")</f>
        <v>Mon</v>
      </c>
      <c r="F1741" t="s">
        <v>11</v>
      </c>
      <c r="G1741" t="s">
        <v>17</v>
      </c>
      <c r="H1741">
        <v>3</v>
      </c>
      <c r="I1741">
        <v>12</v>
      </c>
      <c r="J1741" t="s">
        <v>21</v>
      </c>
      <c r="K1741" t="s">
        <v>14</v>
      </c>
      <c r="L1741">
        <v>36</v>
      </c>
    </row>
    <row r="1742" spans="1:12" x14ac:dyDescent="0.3">
      <c r="A1742">
        <v>607</v>
      </c>
      <c r="B1742" t="s">
        <v>28</v>
      </c>
      <c r="C1742" s="1">
        <v>45924</v>
      </c>
      <c r="D1742" s="1" t="str">
        <f xml:space="preserve"> TEXT(FilmaxData[[#This Row],[Show_Date]],"MMM")</f>
        <v>Sep</v>
      </c>
      <c r="E1742" s="1" t="str">
        <f xml:space="preserve"> TEXT(FilmaxData[[#This Row],[Show_Date]],"DDD")</f>
        <v>Wed</v>
      </c>
      <c r="F1742" t="s">
        <v>16</v>
      </c>
      <c r="G1742" t="s">
        <v>17</v>
      </c>
      <c r="H1742">
        <v>4</v>
      </c>
      <c r="I1742">
        <v>12</v>
      </c>
      <c r="J1742" t="s">
        <v>23</v>
      </c>
      <c r="K1742" t="s">
        <v>27</v>
      </c>
      <c r="L1742">
        <v>48</v>
      </c>
    </row>
    <row r="1743" spans="1:12" x14ac:dyDescent="0.3">
      <c r="A1743">
        <v>229</v>
      </c>
      <c r="B1743" t="s">
        <v>24</v>
      </c>
      <c r="C1743" s="1">
        <v>45921</v>
      </c>
      <c r="D1743" s="1" t="str">
        <f xml:space="preserve"> TEXT(FilmaxData[[#This Row],[Show_Date]],"MMM")</f>
        <v>Sep</v>
      </c>
      <c r="E1743" s="1" t="str">
        <f xml:space="preserve"> TEXT(FilmaxData[[#This Row],[Show_Date]],"DDD")</f>
        <v>Sun</v>
      </c>
      <c r="F1743" t="s">
        <v>33</v>
      </c>
      <c r="G1743" t="s">
        <v>17</v>
      </c>
      <c r="H1743">
        <v>5</v>
      </c>
      <c r="I1743">
        <v>12</v>
      </c>
      <c r="J1743" t="s">
        <v>13</v>
      </c>
      <c r="K1743" t="s">
        <v>14</v>
      </c>
      <c r="L1743">
        <v>60</v>
      </c>
    </row>
    <row r="1744" spans="1:12" x14ac:dyDescent="0.3">
      <c r="A1744">
        <v>62</v>
      </c>
      <c r="B1744" t="s">
        <v>28</v>
      </c>
      <c r="C1744" s="1">
        <v>45884</v>
      </c>
      <c r="D1744" s="1" t="str">
        <f xml:space="preserve"> TEXT(FilmaxData[[#This Row],[Show_Date]],"MMM")</f>
        <v>Aug</v>
      </c>
      <c r="E1744" s="1" t="str">
        <f xml:space="preserve"> TEXT(FilmaxData[[#This Row],[Show_Date]],"DDD")</f>
        <v>Fri</v>
      </c>
      <c r="F1744" t="s">
        <v>20</v>
      </c>
      <c r="G1744" t="s">
        <v>12</v>
      </c>
      <c r="H1744">
        <v>4</v>
      </c>
      <c r="I1744">
        <v>25</v>
      </c>
      <c r="J1744" t="s">
        <v>21</v>
      </c>
      <c r="K1744" t="s">
        <v>18</v>
      </c>
      <c r="L1744">
        <v>100</v>
      </c>
    </row>
    <row r="1745" spans="1:12" x14ac:dyDescent="0.3">
      <c r="A1745">
        <v>1569</v>
      </c>
      <c r="B1745" t="s">
        <v>32</v>
      </c>
      <c r="C1745" s="1">
        <v>45850</v>
      </c>
      <c r="D1745" s="1" t="str">
        <f xml:space="preserve"> TEXT(FilmaxData[[#This Row],[Show_Date]],"MMM")</f>
        <v>Jul</v>
      </c>
      <c r="E1745" s="1" t="str">
        <f xml:space="preserve"> TEXT(FilmaxData[[#This Row],[Show_Date]],"DDD")</f>
        <v>Sat</v>
      </c>
      <c r="F1745" t="s">
        <v>20</v>
      </c>
      <c r="G1745" t="s">
        <v>30</v>
      </c>
      <c r="H1745">
        <v>5</v>
      </c>
      <c r="I1745">
        <v>8</v>
      </c>
      <c r="J1745" t="s">
        <v>21</v>
      </c>
      <c r="K1745" t="s">
        <v>14</v>
      </c>
      <c r="L1745">
        <v>40</v>
      </c>
    </row>
    <row r="1746" spans="1:12" x14ac:dyDescent="0.3">
      <c r="A1746">
        <v>508</v>
      </c>
      <c r="B1746" t="s">
        <v>32</v>
      </c>
      <c r="C1746" s="1">
        <v>45887</v>
      </c>
      <c r="D1746" s="1" t="str">
        <f xml:space="preserve"> TEXT(FilmaxData[[#This Row],[Show_Date]],"MMM")</f>
        <v>Aug</v>
      </c>
      <c r="E1746" s="1" t="str">
        <f xml:space="preserve"> TEXT(FilmaxData[[#This Row],[Show_Date]],"DDD")</f>
        <v>Mon</v>
      </c>
      <c r="F1746" t="s">
        <v>20</v>
      </c>
      <c r="G1746" t="s">
        <v>17</v>
      </c>
      <c r="H1746">
        <v>1</v>
      </c>
      <c r="I1746">
        <v>12</v>
      </c>
      <c r="J1746" t="s">
        <v>21</v>
      </c>
      <c r="K1746" t="s">
        <v>14</v>
      </c>
      <c r="L1746">
        <v>12</v>
      </c>
    </row>
    <row r="1747" spans="1:12" x14ac:dyDescent="0.3">
      <c r="A1747">
        <v>1523</v>
      </c>
      <c r="B1747" t="s">
        <v>24</v>
      </c>
      <c r="C1747" s="1">
        <v>45866</v>
      </c>
      <c r="D1747" s="1" t="str">
        <f xml:space="preserve"> TEXT(FilmaxData[[#This Row],[Show_Date]],"MMM")</f>
        <v>Jul</v>
      </c>
      <c r="E1747" s="1" t="str">
        <f xml:space="preserve"> TEXT(FilmaxData[[#This Row],[Show_Date]],"DDD")</f>
        <v>Mon</v>
      </c>
      <c r="F1747" t="s">
        <v>16</v>
      </c>
      <c r="G1747" t="s">
        <v>17</v>
      </c>
      <c r="H1747">
        <v>1</v>
      </c>
      <c r="I1747">
        <v>12</v>
      </c>
      <c r="J1747" t="s">
        <v>23</v>
      </c>
      <c r="K1747" t="s">
        <v>14</v>
      </c>
      <c r="L1747">
        <v>12</v>
      </c>
    </row>
    <row r="1748" spans="1:12" x14ac:dyDescent="0.3">
      <c r="A1748">
        <v>26</v>
      </c>
      <c r="B1748" t="s">
        <v>10</v>
      </c>
      <c r="C1748" s="1">
        <v>45893</v>
      </c>
      <c r="D1748" s="1" t="str">
        <f xml:space="preserve"> TEXT(FilmaxData[[#This Row],[Show_Date]],"MMM")</f>
        <v>Aug</v>
      </c>
      <c r="E1748" s="1" t="str">
        <f xml:space="preserve"> TEXT(FilmaxData[[#This Row],[Show_Date]],"DDD")</f>
        <v>Sun</v>
      </c>
      <c r="F1748" t="s">
        <v>20</v>
      </c>
      <c r="G1748" t="s">
        <v>17</v>
      </c>
      <c r="H1748">
        <v>3</v>
      </c>
      <c r="I1748">
        <v>12</v>
      </c>
      <c r="J1748" t="s">
        <v>13</v>
      </c>
      <c r="K1748" t="s">
        <v>27</v>
      </c>
      <c r="L1748">
        <v>36</v>
      </c>
    </row>
    <row r="1749" spans="1:12" x14ac:dyDescent="0.3">
      <c r="A1749">
        <v>1138</v>
      </c>
      <c r="B1749" t="s">
        <v>26</v>
      </c>
      <c r="C1749" s="1">
        <v>45907</v>
      </c>
      <c r="D1749" s="1" t="str">
        <f xml:space="preserve"> TEXT(FilmaxData[[#This Row],[Show_Date]],"MMM")</f>
        <v>Sep</v>
      </c>
      <c r="E1749" s="1" t="str">
        <f xml:space="preserve"> TEXT(FilmaxData[[#This Row],[Show_Date]],"DDD")</f>
        <v>Sun</v>
      </c>
      <c r="F1749" t="s">
        <v>20</v>
      </c>
      <c r="G1749" t="s">
        <v>30</v>
      </c>
      <c r="H1749">
        <v>1</v>
      </c>
      <c r="I1749">
        <v>8</v>
      </c>
      <c r="J1749" t="s">
        <v>13</v>
      </c>
      <c r="K1749" t="s">
        <v>18</v>
      </c>
      <c r="L1749">
        <v>8</v>
      </c>
    </row>
    <row r="1750" spans="1:12" x14ac:dyDescent="0.3">
      <c r="A1750">
        <v>1895</v>
      </c>
      <c r="B1750" t="s">
        <v>24</v>
      </c>
      <c r="C1750" s="1">
        <v>45882</v>
      </c>
      <c r="D1750" s="1" t="str">
        <f xml:space="preserve"> TEXT(FilmaxData[[#This Row],[Show_Date]],"MMM")</f>
        <v>Aug</v>
      </c>
      <c r="E1750" s="1" t="str">
        <f xml:space="preserve"> TEXT(FilmaxData[[#This Row],[Show_Date]],"DDD")</f>
        <v>Wed</v>
      </c>
      <c r="F1750" t="s">
        <v>16</v>
      </c>
      <c r="G1750" t="s">
        <v>30</v>
      </c>
      <c r="H1750">
        <v>1</v>
      </c>
      <c r="I1750">
        <v>8</v>
      </c>
      <c r="J1750" t="s">
        <v>13</v>
      </c>
      <c r="K1750" t="s">
        <v>27</v>
      </c>
      <c r="L1750">
        <v>8</v>
      </c>
    </row>
    <row r="1751" spans="1:12" x14ac:dyDescent="0.3">
      <c r="A1751">
        <v>1216</v>
      </c>
      <c r="B1751" t="s">
        <v>24</v>
      </c>
      <c r="C1751" s="1">
        <v>45907</v>
      </c>
      <c r="D1751" s="1" t="str">
        <f xml:space="preserve"> TEXT(FilmaxData[[#This Row],[Show_Date]],"MMM")</f>
        <v>Sep</v>
      </c>
      <c r="E1751" s="1" t="str">
        <f xml:space="preserve"> TEXT(FilmaxData[[#This Row],[Show_Date]],"DDD")</f>
        <v>Sun</v>
      </c>
      <c r="F1751" t="s">
        <v>16</v>
      </c>
      <c r="G1751" t="s">
        <v>17</v>
      </c>
      <c r="H1751">
        <v>2</v>
      </c>
      <c r="I1751">
        <v>12</v>
      </c>
      <c r="J1751" t="s">
        <v>21</v>
      </c>
      <c r="K1751" t="s">
        <v>25</v>
      </c>
      <c r="L1751">
        <v>24</v>
      </c>
    </row>
    <row r="1752" spans="1:12" x14ac:dyDescent="0.3">
      <c r="A1752">
        <v>449</v>
      </c>
      <c r="B1752" t="s">
        <v>28</v>
      </c>
      <c r="C1752" s="1">
        <v>45908</v>
      </c>
      <c r="D1752" s="1" t="str">
        <f xml:space="preserve"> TEXT(FilmaxData[[#This Row],[Show_Date]],"MMM")</f>
        <v>Sep</v>
      </c>
      <c r="E1752" s="1" t="str">
        <f xml:space="preserve"> TEXT(FilmaxData[[#This Row],[Show_Date]],"DDD")</f>
        <v>Mon</v>
      </c>
      <c r="F1752" t="s">
        <v>16</v>
      </c>
      <c r="G1752" t="s">
        <v>17</v>
      </c>
      <c r="H1752">
        <v>1</v>
      </c>
      <c r="I1752">
        <v>12</v>
      </c>
      <c r="J1752" t="s">
        <v>21</v>
      </c>
      <c r="K1752" t="s">
        <v>18</v>
      </c>
      <c r="L1752">
        <v>12</v>
      </c>
    </row>
    <row r="1753" spans="1:12" x14ac:dyDescent="0.3">
      <c r="A1753">
        <v>1681</v>
      </c>
      <c r="B1753" t="s">
        <v>31</v>
      </c>
      <c r="C1753" s="1">
        <v>45879</v>
      </c>
      <c r="D1753" s="1" t="str">
        <f xml:space="preserve"> TEXT(FilmaxData[[#This Row],[Show_Date]],"MMM")</f>
        <v>Aug</v>
      </c>
      <c r="E1753" s="1" t="str">
        <f xml:space="preserve"> TEXT(FilmaxData[[#This Row],[Show_Date]],"DDD")</f>
        <v>Sun</v>
      </c>
      <c r="F1753" t="s">
        <v>33</v>
      </c>
      <c r="G1753" t="s">
        <v>30</v>
      </c>
      <c r="H1753">
        <v>3</v>
      </c>
      <c r="I1753">
        <v>8</v>
      </c>
      <c r="J1753" t="s">
        <v>21</v>
      </c>
      <c r="K1753" t="s">
        <v>18</v>
      </c>
      <c r="L1753">
        <v>24</v>
      </c>
    </row>
    <row r="1754" spans="1:12" x14ac:dyDescent="0.3">
      <c r="A1754">
        <v>1287</v>
      </c>
      <c r="B1754" t="s">
        <v>26</v>
      </c>
      <c r="C1754" s="1">
        <v>45868</v>
      </c>
      <c r="D1754" s="1" t="str">
        <f xml:space="preserve"> TEXT(FilmaxData[[#This Row],[Show_Date]],"MMM")</f>
        <v>Jul</v>
      </c>
      <c r="E1754" s="1" t="str">
        <f xml:space="preserve"> TEXT(FilmaxData[[#This Row],[Show_Date]],"DDD")</f>
        <v>Wed</v>
      </c>
      <c r="F1754" t="s">
        <v>20</v>
      </c>
      <c r="G1754" t="s">
        <v>17</v>
      </c>
      <c r="H1754">
        <v>5</v>
      </c>
      <c r="I1754">
        <v>12</v>
      </c>
      <c r="J1754" t="s">
        <v>13</v>
      </c>
      <c r="K1754" t="s">
        <v>27</v>
      </c>
      <c r="L1754">
        <v>60</v>
      </c>
    </row>
    <row r="1755" spans="1:12" x14ac:dyDescent="0.3">
      <c r="A1755">
        <v>12</v>
      </c>
      <c r="B1755" t="s">
        <v>28</v>
      </c>
      <c r="C1755" s="1">
        <v>45926</v>
      </c>
      <c r="D1755" s="1" t="str">
        <f xml:space="preserve"> TEXT(FilmaxData[[#This Row],[Show_Date]],"MMM")</f>
        <v>Sep</v>
      </c>
      <c r="E1755" s="1" t="str">
        <f xml:space="preserve"> TEXT(FilmaxData[[#This Row],[Show_Date]],"DDD")</f>
        <v>Fri</v>
      </c>
      <c r="F1755" t="s">
        <v>33</v>
      </c>
      <c r="G1755" t="s">
        <v>17</v>
      </c>
      <c r="H1755">
        <v>5</v>
      </c>
      <c r="I1755">
        <v>12</v>
      </c>
      <c r="J1755" t="s">
        <v>23</v>
      </c>
      <c r="K1755" t="s">
        <v>14</v>
      </c>
      <c r="L1755">
        <v>60</v>
      </c>
    </row>
    <row r="1756" spans="1:12" x14ac:dyDescent="0.3">
      <c r="A1756">
        <v>1806</v>
      </c>
      <c r="B1756" t="s">
        <v>32</v>
      </c>
      <c r="C1756" s="1">
        <v>45918</v>
      </c>
      <c r="D1756" s="1" t="str">
        <f xml:space="preserve"> TEXT(FilmaxData[[#This Row],[Show_Date]],"MMM")</f>
        <v>Sep</v>
      </c>
      <c r="E1756" s="1" t="str">
        <f xml:space="preserve"> TEXT(FilmaxData[[#This Row],[Show_Date]],"DDD")</f>
        <v>Thu</v>
      </c>
      <c r="F1756" t="s">
        <v>20</v>
      </c>
      <c r="G1756" t="s">
        <v>29</v>
      </c>
      <c r="H1756">
        <v>3</v>
      </c>
      <c r="I1756">
        <v>30</v>
      </c>
      <c r="J1756" t="s">
        <v>23</v>
      </c>
      <c r="K1756" t="s">
        <v>27</v>
      </c>
      <c r="L1756">
        <v>90</v>
      </c>
    </row>
    <row r="1757" spans="1:12" x14ac:dyDescent="0.3">
      <c r="A1757">
        <v>1546</v>
      </c>
      <c r="B1757" t="s">
        <v>31</v>
      </c>
      <c r="C1757" s="1">
        <v>45897</v>
      </c>
      <c r="D1757" s="1" t="str">
        <f xml:space="preserve"> TEXT(FilmaxData[[#This Row],[Show_Date]],"MMM")</f>
        <v>Aug</v>
      </c>
      <c r="E1757" s="1" t="str">
        <f xml:space="preserve"> TEXT(FilmaxData[[#This Row],[Show_Date]],"DDD")</f>
        <v>Thu</v>
      </c>
      <c r="F1757" t="s">
        <v>33</v>
      </c>
      <c r="G1757" t="s">
        <v>17</v>
      </c>
      <c r="H1757">
        <v>4</v>
      </c>
      <c r="I1757">
        <v>12</v>
      </c>
      <c r="J1757" t="s">
        <v>13</v>
      </c>
      <c r="K1757" t="s">
        <v>14</v>
      </c>
      <c r="L1757">
        <v>48</v>
      </c>
    </row>
    <row r="1758" spans="1:12" x14ac:dyDescent="0.3">
      <c r="A1758">
        <v>879</v>
      </c>
      <c r="B1758" t="s">
        <v>15</v>
      </c>
      <c r="C1758" s="1">
        <v>45928</v>
      </c>
      <c r="D1758" s="1" t="str">
        <f xml:space="preserve"> TEXT(FilmaxData[[#This Row],[Show_Date]],"MMM")</f>
        <v>Sep</v>
      </c>
      <c r="E1758" s="1" t="str">
        <f xml:space="preserve"> TEXT(FilmaxData[[#This Row],[Show_Date]],"DDD")</f>
        <v>Sun</v>
      </c>
      <c r="F1758" t="s">
        <v>11</v>
      </c>
      <c r="G1758" t="s">
        <v>12</v>
      </c>
      <c r="H1758">
        <v>5</v>
      </c>
      <c r="I1758">
        <v>25</v>
      </c>
      <c r="J1758" t="s">
        <v>13</v>
      </c>
      <c r="K1758" t="s">
        <v>25</v>
      </c>
      <c r="L1758">
        <v>125</v>
      </c>
    </row>
    <row r="1759" spans="1:12" x14ac:dyDescent="0.3">
      <c r="A1759">
        <v>856</v>
      </c>
      <c r="B1759" t="s">
        <v>15</v>
      </c>
      <c r="C1759" s="1">
        <v>45850</v>
      </c>
      <c r="D1759" s="1" t="str">
        <f xml:space="preserve"> TEXT(FilmaxData[[#This Row],[Show_Date]],"MMM")</f>
        <v>Jul</v>
      </c>
      <c r="E1759" s="1" t="str">
        <f xml:space="preserve"> TEXT(FilmaxData[[#This Row],[Show_Date]],"DDD")</f>
        <v>Sat</v>
      </c>
      <c r="F1759" t="s">
        <v>33</v>
      </c>
      <c r="G1759" t="s">
        <v>12</v>
      </c>
      <c r="H1759">
        <v>1</v>
      </c>
      <c r="I1759">
        <v>25</v>
      </c>
      <c r="J1759" t="s">
        <v>21</v>
      </c>
      <c r="K1759" t="s">
        <v>14</v>
      </c>
      <c r="L1759">
        <v>25</v>
      </c>
    </row>
    <row r="1760" spans="1:12" x14ac:dyDescent="0.3">
      <c r="A1760">
        <v>82</v>
      </c>
      <c r="B1760" t="s">
        <v>31</v>
      </c>
      <c r="C1760" s="1">
        <v>45892</v>
      </c>
      <c r="D1760" s="1" t="str">
        <f xml:space="preserve"> TEXT(FilmaxData[[#This Row],[Show_Date]],"MMM")</f>
        <v>Aug</v>
      </c>
      <c r="E1760" s="1" t="str">
        <f xml:space="preserve"> TEXT(FilmaxData[[#This Row],[Show_Date]],"DDD")</f>
        <v>Sat</v>
      </c>
      <c r="F1760" t="s">
        <v>16</v>
      </c>
      <c r="G1760" t="s">
        <v>17</v>
      </c>
      <c r="H1760">
        <v>2</v>
      </c>
      <c r="I1760">
        <v>12</v>
      </c>
      <c r="J1760" t="s">
        <v>23</v>
      </c>
      <c r="K1760" t="s">
        <v>18</v>
      </c>
      <c r="L1760">
        <v>24</v>
      </c>
    </row>
    <row r="1761" spans="1:12" x14ac:dyDescent="0.3">
      <c r="A1761">
        <v>899</v>
      </c>
      <c r="B1761" t="s">
        <v>28</v>
      </c>
      <c r="C1761" s="1">
        <v>45886</v>
      </c>
      <c r="D1761" s="1" t="str">
        <f xml:space="preserve"> TEXT(FilmaxData[[#This Row],[Show_Date]],"MMM")</f>
        <v>Aug</v>
      </c>
      <c r="E1761" s="1" t="str">
        <f xml:space="preserve"> TEXT(FilmaxData[[#This Row],[Show_Date]],"DDD")</f>
        <v>Sun</v>
      </c>
      <c r="F1761" t="s">
        <v>20</v>
      </c>
      <c r="G1761" t="s">
        <v>17</v>
      </c>
      <c r="H1761">
        <v>5</v>
      </c>
      <c r="I1761">
        <v>12</v>
      </c>
      <c r="J1761" t="s">
        <v>21</v>
      </c>
      <c r="K1761" t="s">
        <v>14</v>
      </c>
      <c r="L1761">
        <v>60</v>
      </c>
    </row>
    <row r="1762" spans="1:12" x14ac:dyDescent="0.3">
      <c r="A1762">
        <v>1918</v>
      </c>
      <c r="B1762" t="s">
        <v>10</v>
      </c>
      <c r="C1762" s="1">
        <v>45887</v>
      </c>
      <c r="D1762" s="1" t="str">
        <f xml:space="preserve"> TEXT(FilmaxData[[#This Row],[Show_Date]],"MMM")</f>
        <v>Aug</v>
      </c>
      <c r="E1762" s="1" t="str">
        <f xml:space="preserve"> TEXT(FilmaxData[[#This Row],[Show_Date]],"DDD")</f>
        <v>Mon</v>
      </c>
      <c r="F1762" t="s">
        <v>16</v>
      </c>
      <c r="G1762" t="s">
        <v>17</v>
      </c>
      <c r="H1762">
        <v>5</v>
      </c>
      <c r="I1762">
        <v>12</v>
      </c>
      <c r="J1762" t="s">
        <v>13</v>
      </c>
      <c r="K1762" t="s">
        <v>18</v>
      </c>
      <c r="L1762">
        <v>60</v>
      </c>
    </row>
    <row r="1763" spans="1:12" x14ac:dyDescent="0.3">
      <c r="A1763">
        <v>533</v>
      </c>
      <c r="B1763" t="s">
        <v>24</v>
      </c>
      <c r="C1763" s="1">
        <v>45874</v>
      </c>
      <c r="D1763" s="1" t="str">
        <f xml:space="preserve"> TEXT(FilmaxData[[#This Row],[Show_Date]],"MMM")</f>
        <v>Aug</v>
      </c>
      <c r="E1763" s="1" t="str">
        <f xml:space="preserve"> TEXT(FilmaxData[[#This Row],[Show_Date]],"DDD")</f>
        <v>Tue</v>
      </c>
      <c r="F1763" t="s">
        <v>16</v>
      </c>
      <c r="G1763" t="s">
        <v>17</v>
      </c>
      <c r="H1763">
        <v>4</v>
      </c>
      <c r="I1763">
        <v>12</v>
      </c>
      <c r="J1763" t="s">
        <v>23</v>
      </c>
      <c r="K1763" t="s">
        <v>25</v>
      </c>
      <c r="L1763">
        <v>48</v>
      </c>
    </row>
    <row r="1764" spans="1:12" x14ac:dyDescent="0.3">
      <c r="A1764">
        <v>959</v>
      </c>
      <c r="B1764" t="s">
        <v>26</v>
      </c>
      <c r="C1764" s="1">
        <v>45892</v>
      </c>
      <c r="D1764" s="1" t="str">
        <f xml:space="preserve"> TEXT(FilmaxData[[#This Row],[Show_Date]],"MMM")</f>
        <v>Aug</v>
      </c>
      <c r="E1764" s="1" t="str">
        <f xml:space="preserve"> TEXT(FilmaxData[[#This Row],[Show_Date]],"DDD")</f>
        <v>Sat</v>
      </c>
      <c r="F1764" t="s">
        <v>11</v>
      </c>
      <c r="G1764" t="s">
        <v>17</v>
      </c>
      <c r="H1764">
        <v>1</v>
      </c>
      <c r="I1764">
        <v>12</v>
      </c>
      <c r="J1764" t="s">
        <v>21</v>
      </c>
      <c r="K1764" t="s">
        <v>18</v>
      </c>
      <c r="L1764">
        <v>12</v>
      </c>
    </row>
    <row r="1765" spans="1:12" x14ac:dyDescent="0.3">
      <c r="A1765">
        <v>473</v>
      </c>
      <c r="B1765" t="s">
        <v>32</v>
      </c>
      <c r="C1765" s="1">
        <v>45843</v>
      </c>
      <c r="D1765" s="1" t="str">
        <f xml:space="preserve"> TEXT(FilmaxData[[#This Row],[Show_Date]],"MMM")</f>
        <v>Jul</v>
      </c>
      <c r="E1765" s="1" t="str">
        <f xml:space="preserve"> TEXT(FilmaxData[[#This Row],[Show_Date]],"DDD")</f>
        <v>Sat</v>
      </c>
      <c r="F1765" t="s">
        <v>11</v>
      </c>
      <c r="G1765" t="s">
        <v>29</v>
      </c>
      <c r="H1765">
        <v>4</v>
      </c>
      <c r="I1765">
        <v>30</v>
      </c>
      <c r="J1765" t="s">
        <v>21</v>
      </c>
      <c r="K1765" t="s">
        <v>14</v>
      </c>
      <c r="L1765">
        <v>120</v>
      </c>
    </row>
    <row r="1766" spans="1:12" x14ac:dyDescent="0.3">
      <c r="A1766">
        <v>1245</v>
      </c>
      <c r="B1766" t="s">
        <v>28</v>
      </c>
      <c r="C1766" s="1">
        <v>45890</v>
      </c>
      <c r="D1766" s="1" t="str">
        <f xml:space="preserve"> TEXT(FilmaxData[[#This Row],[Show_Date]],"MMM")</f>
        <v>Aug</v>
      </c>
      <c r="E1766" s="1" t="str">
        <f xml:space="preserve"> TEXT(FilmaxData[[#This Row],[Show_Date]],"DDD")</f>
        <v>Thu</v>
      </c>
      <c r="F1766" t="s">
        <v>16</v>
      </c>
      <c r="G1766" t="s">
        <v>30</v>
      </c>
      <c r="H1766">
        <v>3</v>
      </c>
      <c r="I1766">
        <v>8</v>
      </c>
      <c r="J1766" t="s">
        <v>13</v>
      </c>
      <c r="K1766" t="s">
        <v>14</v>
      </c>
      <c r="L1766">
        <v>24</v>
      </c>
    </row>
    <row r="1767" spans="1:12" x14ac:dyDescent="0.3">
      <c r="A1767">
        <v>1514</v>
      </c>
      <c r="B1767" t="s">
        <v>24</v>
      </c>
      <c r="C1767" s="1">
        <v>45878</v>
      </c>
      <c r="D1767" s="1" t="str">
        <f xml:space="preserve"> TEXT(FilmaxData[[#This Row],[Show_Date]],"MMM")</f>
        <v>Aug</v>
      </c>
      <c r="E1767" s="1" t="str">
        <f xml:space="preserve"> TEXT(FilmaxData[[#This Row],[Show_Date]],"DDD")</f>
        <v>Sat</v>
      </c>
      <c r="F1767" t="s">
        <v>16</v>
      </c>
      <c r="G1767" t="s">
        <v>22</v>
      </c>
      <c r="H1767">
        <v>5</v>
      </c>
      <c r="I1767">
        <v>20</v>
      </c>
      <c r="J1767" t="s">
        <v>21</v>
      </c>
      <c r="K1767" t="s">
        <v>14</v>
      </c>
      <c r="L1767">
        <v>100</v>
      </c>
    </row>
    <row r="1768" spans="1:12" x14ac:dyDescent="0.3">
      <c r="A1768">
        <v>243</v>
      </c>
      <c r="B1768" t="s">
        <v>31</v>
      </c>
      <c r="C1768" s="1">
        <v>45890</v>
      </c>
      <c r="D1768" s="1" t="str">
        <f xml:space="preserve"> TEXT(FilmaxData[[#This Row],[Show_Date]],"MMM")</f>
        <v>Aug</v>
      </c>
      <c r="E1768" s="1" t="str">
        <f xml:space="preserve"> TEXT(FilmaxData[[#This Row],[Show_Date]],"DDD")</f>
        <v>Thu</v>
      </c>
      <c r="F1768" t="s">
        <v>33</v>
      </c>
      <c r="G1768" t="s">
        <v>12</v>
      </c>
      <c r="H1768">
        <v>4</v>
      </c>
      <c r="I1768">
        <v>25</v>
      </c>
      <c r="J1768" t="s">
        <v>13</v>
      </c>
      <c r="K1768" t="s">
        <v>27</v>
      </c>
      <c r="L1768">
        <v>100</v>
      </c>
    </row>
    <row r="1769" spans="1:12" x14ac:dyDescent="0.3">
      <c r="A1769">
        <v>466</v>
      </c>
      <c r="B1769" t="s">
        <v>28</v>
      </c>
      <c r="C1769" s="1">
        <v>45886</v>
      </c>
      <c r="D1769" s="1" t="str">
        <f xml:space="preserve"> TEXT(FilmaxData[[#This Row],[Show_Date]],"MMM")</f>
        <v>Aug</v>
      </c>
      <c r="E1769" s="1" t="str">
        <f xml:space="preserve"> TEXT(FilmaxData[[#This Row],[Show_Date]],"DDD")</f>
        <v>Sun</v>
      </c>
      <c r="F1769" t="s">
        <v>11</v>
      </c>
      <c r="G1769" t="s">
        <v>17</v>
      </c>
      <c r="H1769">
        <v>3</v>
      </c>
      <c r="I1769">
        <v>12</v>
      </c>
      <c r="J1769" t="s">
        <v>23</v>
      </c>
      <c r="K1769" t="s">
        <v>25</v>
      </c>
      <c r="L1769">
        <v>36</v>
      </c>
    </row>
    <row r="1770" spans="1:12" x14ac:dyDescent="0.3">
      <c r="A1770">
        <v>838</v>
      </c>
      <c r="B1770" t="s">
        <v>15</v>
      </c>
      <c r="C1770" s="1">
        <v>45910</v>
      </c>
      <c r="D1770" s="1" t="str">
        <f xml:space="preserve"> TEXT(FilmaxData[[#This Row],[Show_Date]],"MMM")</f>
        <v>Sep</v>
      </c>
      <c r="E1770" s="1" t="str">
        <f xml:space="preserve"> TEXT(FilmaxData[[#This Row],[Show_Date]],"DDD")</f>
        <v>Wed</v>
      </c>
      <c r="F1770" t="s">
        <v>33</v>
      </c>
      <c r="G1770" t="s">
        <v>17</v>
      </c>
      <c r="H1770">
        <v>4</v>
      </c>
      <c r="I1770">
        <v>12</v>
      </c>
      <c r="J1770" t="s">
        <v>13</v>
      </c>
      <c r="K1770" t="s">
        <v>18</v>
      </c>
      <c r="L1770">
        <v>48</v>
      </c>
    </row>
    <row r="1771" spans="1:12" x14ac:dyDescent="0.3">
      <c r="A1771">
        <v>1095</v>
      </c>
      <c r="B1771" t="s">
        <v>26</v>
      </c>
      <c r="C1771" s="1">
        <v>45893</v>
      </c>
      <c r="D1771" s="1" t="str">
        <f xml:space="preserve"> TEXT(FilmaxData[[#This Row],[Show_Date]],"MMM")</f>
        <v>Aug</v>
      </c>
      <c r="E1771" s="1" t="str">
        <f xml:space="preserve"> TEXT(FilmaxData[[#This Row],[Show_Date]],"DDD")</f>
        <v>Sun</v>
      </c>
      <c r="F1771" t="s">
        <v>33</v>
      </c>
      <c r="G1771" t="s">
        <v>17</v>
      </c>
      <c r="H1771">
        <v>2</v>
      </c>
      <c r="I1771">
        <v>12</v>
      </c>
      <c r="J1771" t="s">
        <v>13</v>
      </c>
      <c r="K1771" t="s">
        <v>18</v>
      </c>
      <c r="L1771">
        <v>24</v>
      </c>
    </row>
    <row r="1772" spans="1:12" x14ac:dyDescent="0.3">
      <c r="A1772">
        <v>1480</v>
      </c>
      <c r="B1772" t="s">
        <v>19</v>
      </c>
      <c r="C1772" s="1">
        <v>45851</v>
      </c>
      <c r="D1772" s="1" t="str">
        <f xml:space="preserve"> TEXT(FilmaxData[[#This Row],[Show_Date]],"MMM")</f>
        <v>Jul</v>
      </c>
      <c r="E1772" s="1" t="str">
        <f xml:space="preserve"> TEXT(FilmaxData[[#This Row],[Show_Date]],"DDD")</f>
        <v>Sun</v>
      </c>
      <c r="F1772" t="s">
        <v>20</v>
      </c>
      <c r="G1772" t="s">
        <v>17</v>
      </c>
      <c r="H1772">
        <v>2</v>
      </c>
      <c r="I1772">
        <v>12</v>
      </c>
      <c r="J1772" t="s">
        <v>23</v>
      </c>
      <c r="K1772" t="s">
        <v>27</v>
      </c>
      <c r="L1772">
        <v>24</v>
      </c>
    </row>
    <row r="1773" spans="1:12" x14ac:dyDescent="0.3">
      <c r="A1773">
        <v>125</v>
      </c>
      <c r="B1773" t="s">
        <v>15</v>
      </c>
      <c r="C1773" s="1">
        <v>45919</v>
      </c>
      <c r="D1773" s="1" t="str">
        <f xml:space="preserve"> TEXT(FilmaxData[[#This Row],[Show_Date]],"MMM")</f>
        <v>Sep</v>
      </c>
      <c r="E1773" s="1" t="str">
        <f xml:space="preserve"> TEXT(FilmaxData[[#This Row],[Show_Date]],"DDD")</f>
        <v>Fri</v>
      </c>
      <c r="F1773" t="s">
        <v>20</v>
      </c>
      <c r="G1773" t="s">
        <v>29</v>
      </c>
      <c r="H1773">
        <v>4</v>
      </c>
      <c r="I1773">
        <v>30</v>
      </c>
      <c r="J1773" t="s">
        <v>21</v>
      </c>
      <c r="K1773" t="s">
        <v>14</v>
      </c>
      <c r="L1773">
        <v>120</v>
      </c>
    </row>
    <row r="1774" spans="1:12" x14ac:dyDescent="0.3">
      <c r="A1774">
        <v>1843</v>
      </c>
      <c r="B1774" t="s">
        <v>19</v>
      </c>
      <c r="C1774" s="1">
        <v>45839</v>
      </c>
      <c r="D1774" s="1" t="str">
        <f xml:space="preserve"> TEXT(FilmaxData[[#This Row],[Show_Date]],"MMM")</f>
        <v>Jul</v>
      </c>
      <c r="E1774" s="1" t="str">
        <f xml:space="preserve"> TEXT(FilmaxData[[#This Row],[Show_Date]],"DDD")</f>
        <v>Tue</v>
      </c>
      <c r="F1774" t="s">
        <v>33</v>
      </c>
      <c r="G1774" t="s">
        <v>17</v>
      </c>
      <c r="H1774">
        <v>1</v>
      </c>
      <c r="I1774">
        <v>12</v>
      </c>
      <c r="J1774" t="s">
        <v>13</v>
      </c>
      <c r="K1774" t="s">
        <v>25</v>
      </c>
      <c r="L1774">
        <v>12</v>
      </c>
    </row>
    <row r="1775" spans="1:12" x14ac:dyDescent="0.3">
      <c r="A1775">
        <v>852</v>
      </c>
      <c r="B1775" t="s">
        <v>26</v>
      </c>
      <c r="C1775" s="1">
        <v>45902</v>
      </c>
      <c r="D1775" s="1" t="str">
        <f xml:space="preserve"> TEXT(FilmaxData[[#This Row],[Show_Date]],"MMM")</f>
        <v>Sep</v>
      </c>
      <c r="E1775" s="1" t="str">
        <f xml:space="preserve"> TEXT(FilmaxData[[#This Row],[Show_Date]],"DDD")</f>
        <v>Tue</v>
      </c>
      <c r="F1775" t="s">
        <v>11</v>
      </c>
      <c r="G1775" t="s">
        <v>17</v>
      </c>
      <c r="H1775">
        <v>1</v>
      </c>
      <c r="I1775">
        <v>12</v>
      </c>
      <c r="J1775" t="s">
        <v>21</v>
      </c>
      <c r="K1775" t="s">
        <v>14</v>
      </c>
      <c r="L1775">
        <v>12</v>
      </c>
    </row>
    <row r="1776" spans="1:12" x14ac:dyDescent="0.3">
      <c r="A1776">
        <v>869</v>
      </c>
      <c r="B1776" t="s">
        <v>28</v>
      </c>
      <c r="C1776" s="1">
        <v>45851</v>
      </c>
      <c r="D1776" s="1" t="str">
        <f xml:space="preserve"> TEXT(FilmaxData[[#This Row],[Show_Date]],"MMM")</f>
        <v>Jul</v>
      </c>
      <c r="E1776" s="1" t="str">
        <f xml:space="preserve"> TEXT(FilmaxData[[#This Row],[Show_Date]],"DDD")</f>
        <v>Sun</v>
      </c>
      <c r="F1776" t="s">
        <v>16</v>
      </c>
      <c r="G1776" t="s">
        <v>17</v>
      </c>
      <c r="H1776">
        <v>2</v>
      </c>
      <c r="I1776">
        <v>12</v>
      </c>
      <c r="J1776" t="s">
        <v>13</v>
      </c>
      <c r="K1776" t="s">
        <v>25</v>
      </c>
      <c r="L1776">
        <v>24</v>
      </c>
    </row>
    <row r="1777" spans="1:12" x14ac:dyDescent="0.3">
      <c r="A1777">
        <v>162</v>
      </c>
      <c r="B1777" t="s">
        <v>24</v>
      </c>
      <c r="C1777" s="1">
        <v>45864</v>
      </c>
      <c r="D1777" s="1" t="str">
        <f xml:space="preserve"> TEXT(FilmaxData[[#This Row],[Show_Date]],"MMM")</f>
        <v>Jul</v>
      </c>
      <c r="E1777" s="1" t="str">
        <f xml:space="preserve"> TEXT(FilmaxData[[#This Row],[Show_Date]],"DDD")</f>
        <v>Sat</v>
      </c>
      <c r="F1777" t="s">
        <v>33</v>
      </c>
      <c r="G1777" t="s">
        <v>12</v>
      </c>
      <c r="H1777">
        <v>1</v>
      </c>
      <c r="I1777">
        <v>25</v>
      </c>
      <c r="J1777" t="s">
        <v>13</v>
      </c>
      <c r="K1777" t="s">
        <v>25</v>
      </c>
      <c r="L1777">
        <v>25</v>
      </c>
    </row>
    <row r="1778" spans="1:12" x14ac:dyDescent="0.3">
      <c r="A1778">
        <v>308</v>
      </c>
      <c r="B1778" t="s">
        <v>26</v>
      </c>
      <c r="C1778" s="1">
        <v>45889</v>
      </c>
      <c r="D1778" s="1" t="str">
        <f xml:space="preserve"> TEXT(FilmaxData[[#This Row],[Show_Date]],"MMM")</f>
        <v>Aug</v>
      </c>
      <c r="E1778" s="1" t="str">
        <f xml:space="preserve"> TEXT(FilmaxData[[#This Row],[Show_Date]],"DDD")</f>
        <v>Wed</v>
      </c>
      <c r="F1778" t="s">
        <v>16</v>
      </c>
      <c r="G1778" t="s">
        <v>12</v>
      </c>
      <c r="H1778">
        <v>1</v>
      </c>
      <c r="I1778">
        <v>25</v>
      </c>
      <c r="J1778" t="s">
        <v>21</v>
      </c>
      <c r="K1778" t="s">
        <v>18</v>
      </c>
      <c r="L1778">
        <v>25</v>
      </c>
    </row>
    <row r="1779" spans="1:12" x14ac:dyDescent="0.3">
      <c r="A1779">
        <v>1385</v>
      </c>
      <c r="B1779" t="s">
        <v>24</v>
      </c>
      <c r="C1779" s="1">
        <v>45915</v>
      </c>
      <c r="D1779" s="1" t="str">
        <f xml:space="preserve"> TEXT(FilmaxData[[#This Row],[Show_Date]],"MMM")</f>
        <v>Sep</v>
      </c>
      <c r="E1779" s="1" t="str">
        <f xml:space="preserve"> TEXT(FilmaxData[[#This Row],[Show_Date]],"DDD")</f>
        <v>Mon</v>
      </c>
      <c r="F1779" t="s">
        <v>33</v>
      </c>
      <c r="G1779" t="s">
        <v>17</v>
      </c>
      <c r="H1779">
        <v>2</v>
      </c>
      <c r="I1779">
        <v>12</v>
      </c>
      <c r="J1779" t="s">
        <v>13</v>
      </c>
      <c r="K1779" t="s">
        <v>18</v>
      </c>
      <c r="L1779">
        <v>24</v>
      </c>
    </row>
    <row r="1780" spans="1:12" x14ac:dyDescent="0.3">
      <c r="A1780">
        <v>1937</v>
      </c>
      <c r="B1780" t="s">
        <v>32</v>
      </c>
      <c r="C1780" s="1">
        <v>45913</v>
      </c>
      <c r="D1780" s="1" t="str">
        <f xml:space="preserve"> TEXT(FilmaxData[[#This Row],[Show_Date]],"MMM")</f>
        <v>Sep</v>
      </c>
      <c r="E1780" s="1" t="str">
        <f xml:space="preserve"> TEXT(FilmaxData[[#This Row],[Show_Date]],"DDD")</f>
        <v>Sat</v>
      </c>
      <c r="F1780" t="s">
        <v>20</v>
      </c>
      <c r="G1780" t="s">
        <v>17</v>
      </c>
      <c r="H1780">
        <v>5</v>
      </c>
      <c r="I1780">
        <v>12</v>
      </c>
      <c r="J1780" t="s">
        <v>23</v>
      </c>
      <c r="K1780" t="s">
        <v>14</v>
      </c>
      <c r="L1780">
        <v>60</v>
      </c>
    </row>
    <row r="1781" spans="1:12" x14ac:dyDescent="0.3">
      <c r="A1781">
        <v>1917</v>
      </c>
      <c r="B1781" t="s">
        <v>31</v>
      </c>
      <c r="C1781" s="1">
        <v>45843</v>
      </c>
      <c r="D1781" s="1" t="str">
        <f xml:space="preserve"> TEXT(FilmaxData[[#This Row],[Show_Date]],"MMM")</f>
        <v>Jul</v>
      </c>
      <c r="E1781" s="1" t="str">
        <f xml:space="preserve"> TEXT(FilmaxData[[#This Row],[Show_Date]],"DDD")</f>
        <v>Sat</v>
      </c>
      <c r="F1781" t="s">
        <v>16</v>
      </c>
      <c r="G1781" t="s">
        <v>30</v>
      </c>
      <c r="H1781">
        <v>2</v>
      </c>
      <c r="I1781">
        <v>8</v>
      </c>
      <c r="J1781" t="s">
        <v>23</v>
      </c>
      <c r="K1781" t="s">
        <v>14</v>
      </c>
      <c r="L1781">
        <v>16</v>
      </c>
    </row>
    <row r="1782" spans="1:12" x14ac:dyDescent="0.3">
      <c r="A1782">
        <v>148</v>
      </c>
      <c r="B1782" t="s">
        <v>32</v>
      </c>
      <c r="C1782" s="1">
        <v>45927</v>
      </c>
      <c r="D1782" s="1" t="str">
        <f xml:space="preserve"> TEXT(FilmaxData[[#This Row],[Show_Date]],"MMM")</f>
        <v>Sep</v>
      </c>
      <c r="E1782" s="1" t="str">
        <f xml:space="preserve"> TEXT(FilmaxData[[#This Row],[Show_Date]],"DDD")</f>
        <v>Sat</v>
      </c>
      <c r="F1782" t="s">
        <v>33</v>
      </c>
      <c r="G1782" t="s">
        <v>17</v>
      </c>
      <c r="H1782">
        <v>4</v>
      </c>
      <c r="I1782">
        <v>12</v>
      </c>
      <c r="J1782" t="s">
        <v>21</v>
      </c>
      <c r="K1782" t="s">
        <v>14</v>
      </c>
      <c r="L1782">
        <v>48</v>
      </c>
    </row>
    <row r="1783" spans="1:12" x14ac:dyDescent="0.3">
      <c r="A1783">
        <v>1967</v>
      </c>
      <c r="B1783" t="s">
        <v>24</v>
      </c>
      <c r="C1783" s="1">
        <v>45921</v>
      </c>
      <c r="D1783" s="1" t="str">
        <f xml:space="preserve"> TEXT(FilmaxData[[#This Row],[Show_Date]],"MMM")</f>
        <v>Sep</v>
      </c>
      <c r="E1783" s="1" t="str">
        <f xml:space="preserve"> TEXT(FilmaxData[[#This Row],[Show_Date]],"DDD")</f>
        <v>Sun</v>
      </c>
      <c r="F1783" t="s">
        <v>33</v>
      </c>
      <c r="G1783" t="s">
        <v>17</v>
      </c>
      <c r="H1783">
        <v>3</v>
      </c>
      <c r="I1783">
        <v>12</v>
      </c>
      <c r="J1783" t="s">
        <v>21</v>
      </c>
      <c r="K1783" t="s">
        <v>14</v>
      </c>
      <c r="L1783">
        <v>36</v>
      </c>
    </row>
    <row r="1784" spans="1:12" x14ac:dyDescent="0.3">
      <c r="A1784">
        <v>1667</v>
      </c>
      <c r="B1784" t="s">
        <v>19</v>
      </c>
      <c r="C1784" s="1">
        <v>45871</v>
      </c>
      <c r="D1784" s="1" t="str">
        <f xml:space="preserve"> TEXT(FilmaxData[[#This Row],[Show_Date]],"MMM")</f>
        <v>Aug</v>
      </c>
      <c r="E1784" s="1" t="str">
        <f xml:space="preserve"> TEXT(FilmaxData[[#This Row],[Show_Date]],"DDD")</f>
        <v>Sat</v>
      </c>
      <c r="F1784" t="s">
        <v>11</v>
      </c>
      <c r="G1784" t="s">
        <v>22</v>
      </c>
      <c r="H1784">
        <v>4</v>
      </c>
      <c r="I1784">
        <v>20</v>
      </c>
      <c r="J1784" t="s">
        <v>21</v>
      </c>
      <c r="K1784" t="s">
        <v>27</v>
      </c>
      <c r="L1784">
        <v>80</v>
      </c>
    </row>
    <row r="1785" spans="1:12" x14ac:dyDescent="0.3">
      <c r="A1785">
        <v>791</v>
      </c>
      <c r="B1785" t="s">
        <v>10</v>
      </c>
      <c r="C1785" s="1">
        <v>45846</v>
      </c>
      <c r="D1785" s="1" t="str">
        <f xml:space="preserve"> TEXT(FilmaxData[[#This Row],[Show_Date]],"MMM")</f>
        <v>Jul</v>
      </c>
      <c r="E1785" s="1" t="str">
        <f xml:space="preserve"> TEXT(FilmaxData[[#This Row],[Show_Date]],"DDD")</f>
        <v>Tue</v>
      </c>
      <c r="F1785" t="s">
        <v>20</v>
      </c>
      <c r="G1785" t="s">
        <v>30</v>
      </c>
      <c r="H1785">
        <v>1</v>
      </c>
      <c r="I1785">
        <v>8</v>
      </c>
      <c r="J1785" t="s">
        <v>13</v>
      </c>
      <c r="K1785" t="s">
        <v>14</v>
      </c>
      <c r="L1785">
        <v>8</v>
      </c>
    </row>
    <row r="1786" spans="1:12" x14ac:dyDescent="0.3">
      <c r="A1786">
        <v>714</v>
      </c>
      <c r="B1786" t="s">
        <v>31</v>
      </c>
      <c r="C1786" s="1">
        <v>45912</v>
      </c>
      <c r="D1786" s="1" t="str">
        <f xml:space="preserve"> TEXT(FilmaxData[[#This Row],[Show_Date]],"MMM")</f>
        <v>Sep</v>
      </c>
      <c r="E1786" s="1" t="str">
        <f xml:space="preserve"> TEXT(FilmaxData[[#This Row],[Show_Date]],"DDD")</f>
        <v>Fri</v>
      </c>
      <c r="F1786" t="s">
        <v>16</v>
      </c>
      <c r="G1786" t="s">
        <v>17</v>
      </c>
      <c r="H1786">
        <v>2</v>
      </c>
      <c r="I1786">
        <v>12</v>
      </c>
      <c r="J1786" t="s">
        <v>21</v>
      </c>
      <c r="K1786" t="s">
        <v>18</v>
      </c>
      <c r="L1786">
        <v>24</v>
      </c>
    </row>
    <row r="1787" spans="1:12" x14ac:dyDescent="0.3">
      <c r="A1787">
        <v>1258</v>
      </c>
      <c r="B1787" t="s">
        <v>32</v>
      </c>
      <c r="C1787" s="1">
        <v>45911</v>
      </c>
      <c r="D1787" s="1" t="str">
        <f xml:space="preserve"> TEXT(FilmaxData[[#This Row],[Show_Date]],"MMM")</f>
        <v>Sep</v>
      </c>
      <c r="E1787" s="1" t="str">
        <f xml:space="preserve"> TEXT(FilmaxData[[#This Row],[Show_Date]],"DDD")</f>
        <v>Thu</v>
      </c>
      <c r="F1787" t="s">
        <v>20</v>
      </c>
      <c r="G1787" t="s">
        <v>17</v>
      </c>
      <c r="H1787">
        <v>5</v>
      </c>
      <c r="I1787">
        <v>12</v>
      </c>
      <c r="J1787" t="s">
        <v>13</v>
      </c>
      <c r="K1787" t="s">
        <v>27</v>
      </c>
      <c r="L1787">
        <v>60</v>
      </c>
    </row>
    <row r="1788" spans="1:12" x14ac:dyDescent="0.3">
      <c r="A1788">
        <v>1045</v>
      </c>
      <c r="B1788" t="s">
        <v>10</v>
      </c>
      <c r="C1788" s="1">
        <v>45881</v>
      </c>
      <c r="D1788" s="1" t="str">
        <f xml:space="preserve"> TEXT(FilmaxData[[#This Row],[Show_Date]],"MMM")</f>
        <v>Aug</v>
      </c>
      <c r="E1788" s="1" t="str">
        <f xml:space="preserve"> TEXT(FilmaxData[[#This Row],[Show_Date]],"DDD")</f>
        <v>Tue</v>
      </c>
      <c r="F1788" t="s">
        <v>20</v>
      </c>
      <c r="G1788" t="s">
        <v>30</v>
      </c>
      <c r="H1788">
        <v>2</v>
      </c>
      <c r="I1788">
        <v>8</v>
      </c>
      <c r="J1788" t="s">
        <v>21</v>
      </c>
      <c r="K1788" t="s">
        <v>18</v>
      </c>
      <c r="L1788">
        <v>16</v>
      </c>
    </row>
    <row r="1789" spans="1:12" x14ac:dyDescent="0.3">
      <c r="A1789">
        <v>492</v>
      </c>
      <c r="B1789" t="s">
        <v>15</v>
      </c>
      <c r="C1789" s="1">
        <v>45844</v>
      </c>
      <c r="D1789" s="1" t="str">
        <f xml:space="preserve"> TEXT(FilmaxData[[#This Row],[Show_Date]],"MMM")</f>
        <v>Jul</v>
      </c>
      <c r="E1789" s="1" t="str">
        <f xml:space="preserve"> TEXT(FilmaxData[[#This Row],[Show_Date]],"DDD")</f>
        <v>Sun</v>
      </c>
      <c r="F1789" t="s">
        <v>33</v>
      </c>
      <c r="G1789" t="s">
        <v>17</v>
      </c>
      <c r="H1789">
        <v>5</v>
      </c>
      <c r="I1789">
        <v>12</v>
      </c>
      <c r="J1789" t="s">
        <v>23</v>
      </c>
      <c r="K1789" t="s">
        <v>14</v>
      </c>
      <c r="L1789">
        <v>60</v>
      </c>
    </row>
    <row r="1790" spans="1:12" x14ac:dyDescent="0.3">
      <c r="A1790">
        <v>1674</v>
      </c>
      <c r="B1790" t="s">
        <v>24</v>
      </c>
      <c r="C1790" s="1">
        <v>45859</v>
      </c>
      <c r="D1790" s="1" t="str">
        <f xml:space="preserve"> TEXT(FilmaxData[[#This Row],[Show_Date]],"MMM")</f>
        <v>Jul</v>
      </c>
      <c r="E1790" s="1" t="str">
        <f xml:space="preserve"> TEXT(FilmaxData[[#This Row],[Show_Date]],"DDD")</f>
        <v>Mon</v>
      </c>
      <c r="F1790" t="s">
        <v>20</v>
      </c>
      <c r="G1790" t="s">
        <v>17</v>
      </c>
      <c r="H1790">
        <v>5</v>
      </c>
      <c r="I1790">
        <v>12</v>
      </c>
      <c r="J1790" t="s">
        <v>21</v>
      </c>
      <c r="K1790" t="s">
        <v>18</v>
      </c>
      <c r="L1790">
        <v>60</v>
      </c>
    </row>
    <row r="1791" spans="1:12" x14ac:dyDescent="0.3">
      <c r="A1791">
        <v>1526</v>
      </c>
      <c r="B1791" t="s">
        <v>32</v>
      </c>
      <c r="C1791" s="1">
        <v>45885</v>
      </c>
      <c r="D1791" s="1" t="str">
        <f xml:space="preserve"> TEXT(FilmaxData[[#This Row],[Show_Date]],"MMM")</f>
        <v>Aug</v>
      </c>
      <c r="E1791" s="1" t="str">
        <f xml:space="preserve"> TEXT(FilmaxData[[#This Row],[Show_Date]],"DDD")</f>
        <v>Sat</v>
      </c>
      <c r="F1791" t="s">
        <v>33</v>
      </c>
      <c r="G1791" t="s">
        <v>17</v>
      </c>
      <c r="H1791">
        <v>4</v>
      </c>
      <c r="I1791">
        <v>12</v>
      </c>
      <c r="J1791" t="s">
        <v>13</v>
      </c>
      <c r="K1791" t="s">
        <v>27</v>
      </c>
      <c r="L1791">
        <v>48</v>
      </c>
    </row>
    <row r="1792" spans="1:12" x14ac:dyDescent="0.3">
      <c r="A1792">
        <v>543</v>
      </c>
      <c r="B1792" t="s">
        <v>32</v>
      </c>
      <c r="C1792" s="1">
        <v>45879</v>
      </c>
      <c r="D1792" s="1" t="str">
        <f xml:space="preserve"> TEXT(FilmaxData[[#This Row],[Show_Date]],"MMM")</f>
        <v>Aug</v>
      </c>
      <c r="E1792" s="1" t="str">
        <f xml:space="preserve"> TEXT(FilmaxData[[#This Row],[Show_Date]],"DDD")</f>
        <v>Sun</v>
      </c>
      <c r="F1792" t="s">
        <v>33</v>
      </c>
      <c r="G1792" t="s">
        <v>22</v>
      </c>
      <c r="H1792">
        <v>2</v>
      </c>
      <c r="I1792">
        <v>20</v>
      </c>
      <c r="J1792" t="s">
        <v>13</v>
      </c>
      <c r="K1792" t="s">
        <v>18</v>
      </c>
      <c r="L1792">
        <v>40</v>
      </c>
    </row>
    <row r="1793" spans="1:12" x14ac:dyDescent="0.3">
      <c r="A1793">
        <v>1943</v>
      </c>
      <c r="B1793" t="s">
        <v>10</v>
      </c>
      <c r="C1793" s="1">
        <v>45843</v>
      </c>
      <c r="D1793" s="1" t="str">
        <f xml:space="preserve"> TEXT(FilmaxData[[#This Row],[Show_Date]],"MMM")</f>
        <v>Jul</v>
      </c>
      <c r="E1793" s="1" t="str">
        <f xml:space="preserve"> TEXT(FilmaxData[[#This Row],[Show_Date]],"DDD")</f>
        <v>Sat</v>
      </c>
      <c r="F1793" t="s">
        <v>20</v>
      </c>
      <c r="G1793" t="s">
        <v>17</v>
      </c>
      <c r="H1793">
        <v>3</v>
      </c>
      <c r="I1793">
        <v>12</v>
      </c>
      <c r="J1793" t="s">
        <v>21</v>
      </c>
      <c r="K1793" t="s">
        <v>27</v>
      </c>
      <c r="L1793">
        <v>36</v>
      </c>
    </row>
    <row r="1794" spans="1:12" x14ac:dyDescent="0.3">
      <c r="A1794">
        <v>1224</v>
      </c>
      <c r="B1794" t="s">
        <v>28</v>
      </c>
      <c r="C1794" s="1">
        <v>45854</v>
      </c>
      <c r="D1794" s="1" t="str">
        <f xml:space="preserve"> TEXT(FilmaxData[[#This Row],[Show_Date]],"MMM")</f>
        <v>Jul</v>
      </c>
      <c r="E1794" s="1" t="str">
        <f xml:space="preserve"> TEXT(FilmaxData[[#This Row],[Show_Date]],"DDD")</f>
        <v>Wed</v>
      </c>
      <c r="F1794" t="s">
        <v>11</v>
      </c>
      <c r="G1794" t="s">
        <v>17</v>
      </c>
      <c r="H1794">
        <v>1</v>
      </c>
      <c r="I1794">
        <v>12</v>
      </c>
      <c r="J1794" t="s">
        <v>21</v>
      </c>
      <c r="K1794" t="s">
        <v>27</v>
      </c>
      <c r="L1794">
        <v>12</v>
      </c>
    </row>
    <row r="1795" spans="1:12" x14ac:dyDescent="0.3">
      <c r="A1795">
        <v>1996</v>
      </c>
      <c r="B1795" t="s">
        <v>24</v>
      </c>
      <c r="C1795" s="1">
        <v>45857</v>
      </c>
      <c r="D1795" s="1" t="str">
        <f xml:space="preserve"> TEXT(FilmaxData[[#This Row],[Show_Date]],"MMM")</f>
        <v>Jul</v>
      </c>
      <c r="E1795" s="1" t="str">
        <f xml:space="preserve"> TEXT(FilmaxData[[#This Row],[Show_Date]],"DDD")</f>
        <v>Sat</v>
      </c>
      <c r="F1795" t="s">
        <v>16</v>
      </c>
      <c r="G1795" t="s">
        <v>17</v>
      </c>
      <c r="H1795">
        <v>5</v>
      </c>
      <c r="I1795">
        <v>12</v>
      </c>
      <c r="J1795" t="s">
        <v>13</v>
      </c>
      <c r="K1795" t="s">
        <v>14</v>
      </c>
      <c r="L1795">
        <v>60</v>
      </c>
    </row>
    <row r="1796" spans="1:12" x14ac:dyDescent="0.3">
      <c r="A1796">
        <v>128</v>
      </c>
      <c r="B1796" t="s">
        <v>24</v>
      </c>
      <c r="C1796" s="1">
        <v>45861</v>
      </c>
      <c r="D1796" s="1" t="str">
        <f xml:space="preserve"> TEXT(FilmaxData[[#This Row],[Show_Date]],"MMM")</f>
        <v>Jul</v>
      </c>
      <c r="E1796" s="1" t="str">
        <f xml:space="preserve"> TEXT(FilmaxData[[#This Row],[Show_Date]],"DDD")</f>
        <v>Wed</v>
      </c>
      <c r="F1796" t="s">
        <v>11</v>
      </c>
      <c r="G1796" t="s">
        <v>17</v>
      </c>
      <c r="H1796">
        <v>2</v>
      </c>
      <c r="I1796">
        <v>12</v>
      </c>
      <c r="J1796" t="s">
        <v>23</v>
      </c>
      <c r="K1796" t="s">
        <v>25</v>
      </c>
      <c r="L1796">
        <v>24</v>
      </c>
    </row>
    <row r="1797" spans="1:12" x14ac:dyDescent="0.3">
      <c r="A1797">
        <v>1014</v>
      </c>
      <c r="B1797" t="s">
        <v>32</v>
      </c>
      <c r="C1797" s="1">
        <v>45850</v>
      </c>
      <c r="D1797" s="1" t="str">
        <f xml:space="preserve"> TEXT(FilmaxData[[#This Row],[Show_Date]],"MMM")</f>
        <v>Jul</v>
      </c>
      <c r="E1797" s="1" t="str">
        <f xml:space="preserve"> TEXT(FilmaxData[[#This Row],[Show_Date]],"DDD")</f>
        <v>Sat</v>
      </c>
      <c r="F1797" t="s">
        <v>11</v>
      </c>
      <c r="G1797" t="s">
        <v>17</v>
      </c>
      <c r="H1797">
        <v>3</v>
      </c>
      <c r="I1797">
        <v>12</v>
      </c>
      <c r="J1797" t="s">
        <v>13</v>
      </c>
      <c r="K1797" t="s">
        <v>27</v>
      </c>
      <c r="L1797">
        <v>36</v>
      </c>
    </row>
    <row r="1798" spans="1:12" x14ac:dyDescent="0.3">
      <c r="A1798">
        <v>1260</v>
      </c>
      <c r="B1798" t="s">
        <v>32</v>
      </c>
      <c r="C1798" s="1">
        <v>45930</v>
      </c>
      <c r="D1798" s="1" t="str">
        <f xml:space="preserve"> TEXT(FilmaxData[[#This Row],[Show_Date]],"MMM")</f>
        <v>Sep</v>
      </c>
      <c r="E1798" s="1" t="str">
        <f xml:space="preserve"> TEXT(FilmaxData[[#This Row],[Show_Date]],"DDD")</f>
        <v>Tue</v>
      </c>
      <c r="F1798" t="s">
        <v>11</v>
      </c>
      <c r="G1798" t="s">
        <v>22</v>
      </c>
      <c r="H1798">
        <v>1</v>
      </c>
      <c r="I1798">
        <v>20</v>
      </c>
      <c r="J1798" t="s">
        <v>21</v>
      </c>
      <c r="K1798" t="s">
        <v>27</v>
      </c>
      <c r="L1798">
        <v>20</v>
      </c>
    </row>
    <row r="1799" spans="1:12" x14ac:dyDescent="0.3">
      <c r="A1799">
        <v>675</v>
      </c>
      <c r="B1799" t="s">
        <v>31</v>
      </c>
      <c r="C1799" s="1">
        <v>45890</v>
      </c>
      <c r="D1799" s="1" t="str">
        <f xml:space="preserve"> TEXT(FilmaxData[[#This Row],[Show_Date]],"MMM")</f>
        <v>Aug</v>
      </c>
      <c r="E1799" s="1" t="str">
        <f xml:space="preserve"> TEXT(FilmaxData[[#This Row],[Show_Date]],"DDD")</f>
        <v>Thu</v>
      </c>
      <c r="F1799" t="s">
        <v>11</v>
      </c>
      <c r="G1799" t="s">
        <v>22</v>
      </c>
      <c r="H1799">
        <v>4</v>
      </c>
      <c r="I1799">
        <v>20</v>
      </c>
      <c r="J1799" t="s">
        <v>13</v>
      </c>
      <c r="K1799" t="s">
        <v>27</v>
      </c>
      <c r="L1799">
        <v>80</v>
      </c>
    </row>
    <row r="1800" spans="1:12" x14ac:dyDescent="0.3">
      <c r="A1800">
        <v>740</v>
      </c>
      <c r="B1800" t="s">
        <v>31</v>
      </c>
      <c r="C1800" s="1">
        <v>45888</v>
      </c>
      <c r="D1800" s="1" t="str">
        <f xml:space="preserve"> TEXT(FilmaxData[[#This Row],[Show_Date]],"MMM")</f>
        <v>Aug</v>
      </c>
      <c r="E1800" s="1" t="str">
        <f xml:space="preserve"> TEXT(FilmaxData[[#This Row],[Show_Date]],"DDD")</f>
        <v>Tue</v>
      </c>
      <c r="F1800" t="s">
        <v>20</v>
      </c>
      <c r="G1800" t="s">
        <v>17</v>
      </c>
      <c r="H1800">
        <v>5</v>
      </c>
      <c r="I1800">
        <v>12</v>
      </c>
      <c r="J1800" t="s">
        <v>23</v>
      </c>
      <c r="K1800" t="s">
        <v>18</v>
      </c>
      <c r="L1800">
        <v>60</v>
      </c>
    </row>
    <row r="1801" spans="1:12" x14ac:dyDescent="0.3">
      <c r="A1801">
        <v>1677</v>
      </c>
      <c r="B1801" t="s">
        <v>28</v>
      </c>
      <c r="C1801" s="1">
        <v>45858</v>
      </c>
      <c r="D1801" s="1" t="str">
        <f xml:space="preserve"> TEXT(FilmaxData[[#This Row],[Show_Date]],"MMM")</f>
        <v>Jul</v>
      </c>
      <c r="E1801" s="1" t="str">
        <f xml:space="preserve"> TEXT(FilmaxData[[#This Row],[Show_Date]],"DDD")</f>
        <v>Sun</v>
      </c>
      <c r="F1801" t="s">
        <v>16</v>
      </c>
      <c r="G1801" t="s">
        <v>17</v>
      </c>
      <c r="H1801">
        <v>1</v>
      </c>
      <c r="I1801">
        <v>12</v>
      </c>
      <c r="J1801" t="s">
        <v>23</v>
      </c>
      <c r="K1801" t="s">
        <v>25</v>
      </c>
      <c r="L1801">
        <v>12</v>
      </c>
    </row>
    <row r="1802" spans="1:12" x14ac:dyDescent="0.3">
      <c r="A1802">
        <v>1265</v>
      </c>
      <c r="B1802" t="s">
        <v>10</v>
      </c>
      <c r="C1802" s="1">
        <v>45857</v>
      </c>
      <c r="D1802" s="1" t="str">
        <f xml:space="preserve"> TEXT(FilmaxData[[#This Row],[Show_Date]],"MMM")</f>
        <v>Jul</v>
      </c>
      <c r="E1802" s="1" t="str">
        <f xml:space="preserve"> TEXT(FilmaxData[[#This Row],[Show_Date]],"DDD")</f>
        <v>Sat</v>
      </c>
      <c r="F1802" t="s">
        <v>16</v>
      </c>
      <c r="G1802" t="s">
        <v>30</v>
      </c>
      <c r="H1802">
        <v>5</v>
      </c>
      <c r="I1802">
        <v>8</v>
      </c>
      <c r="J1802" t="s">
        <v>21</v>
      </c>
      <c r="K1802" t="s">
        <v>27</v>
      </c>
      <c r="L1802">
        <v>40</v>
      </c>
    </row>
    <row r="1803" spans="1:12" x14ac:dyDescent="0.3">
      <c r="A1803">
        <v>772</v>
      </c>
      <c r="B1803" t="s">
        <v>15</v>
      </c>
      <c r="C1803" s="1">
        <v>45868</v>
      </c>
      <c r="D1803" s="1" t="str">
        <f xml:space="preserve"> TEXT(FilmaxData[[#This Row],[Show_Date]],"MMM")</f>
        <v>Jul</v>
      </c>
      <c r="E1803" s="1" t="str">
        <f xml:space="preserve"> TEXT(FilmaxData[[#This Row],[Show_Date]],"DDD")</f>
        <v>Wed</v>
      </c>
      <c r="F1803" t="s">
        <v>33</v>
      </c>
      <c r="G1803" t="s">
        <v>17</v>
      </c>
      <c r="H1803">
        <v>3</v>
      </c>
      <c r="I1803">
        <v>12</v>
      </c>
      <c r="J1803" t="s">
        <v>13</v>
      </c>
      <c r="K1803" t="s">
        <v>27</v>
      </c>
      <c r="L1803">
        <v>36</v>
      </c>
    </row>
    <row r="1804" spans="1:12" x14ac:dyDescent="0.3">
      <c r="A1804">
        <v>590</v>
      </c>
      <c r="B1804" t="s">
        <v>15</v>
      </c>
      <c r="C1804" s="1">
        <v>45911</v>
      </c>
      <c r="D1804" s="1" t="str">
        <f xml:space="preserve"> TEXT(FilmaxData[[#This Row],[Show_Date]],"MMM")</f>
        <v>Sep</v>
      </c>
      <c r="E1804" s="1" t="str">
        <f xml:space="preserve"> TEXT(FilmaxData[[#This Row],[Show_Date]],"DDD")</f>
        <v>Thu</v>
      </c>
      <c r="F1804" t="s">
        <v>11</v>
      </c>
      <c r="G1804" t="s">
        <v>30</v>
      </c>
      <c r="H1804">
        <v>5</v>
      </c>
      <c r="I1804">
        <v>8</v>
      </c>
      <c r="J1804" t="s">
        <v>21</v>
      </c>
      <c r="K1804" t="s">
        <v>27</v>
      </c>
      <c r="L1804">
        <v>40</v>
      </c>
    </row>
    <row r="1805" spans="1:12" x14ac:dyDescent="0.3">
      <c r="A1805">
        <v>505</v>
      </c>
      <c r="B1805" t="s">
        <v>28</v>
      </c>
      <c r="C1805" s="1">
        <v>45884</v>
      </c>
      <c r="D1805" s="1" t="str">
        <f xml:space="preserve"> TEXT(FilmaxData[[#This Row],[Show_Date]],"MMM")</f>
        <v>Aug</v>
      </c>
      <c r="E1805" s="1" t="str">
        <f xml:space="preserve"> TEXT(FilmaxData[[#This Row],[Show_Date]],"DDD")</f>
        <v>Fri</v>
      </c>
      <c r="F1805" t="s">
        <v>20</v>
      </c>
      <c r="G1805" t="s">
        <v>17</v>
      </c>
      <c r="H1805">
        <v>2</v>
      </c>
      <c r="I1805">
        <v>12</v>
      </c>
      <c r="J1805" t="s">
        <v>21</v>
      </c>
      <c r="K1805" t="s">
        <v>18</v>
      </c>
      <c r="L1805">
        <v>24</v>
      </c>
    </row>
    <row r="1806" spans="1:12" x14ac:dyDescent="0.3">
      <c r="A1806">
        <v>642</v>
      </c>
      <c r="B1806" t="s">
        <v>10</v>
      </c>
      <c r="C1806" s="1">
        <v>45892</v>
      </c>
      <c r="D1806" s="1" t="str">
        <f xml:space="preserve"> TEXT(FilmaxData[[#This Row],[Show_Date]],"MMM")</f>
        <v>Aug</v>
      </c>
      <c r="E1806" s="1" t="str">
        <f xml:space="preserve"> TEXT(FilmaxData[[#This Row],[Show_Date]],"DDD")</f>
        <v>Sat</v>
      </c>
      <c r="F1806" t="s">
        <v>16</v>
      </c>
      <c r="G1806" t="s">
        <v>17</v>
      </c>
      <c r="H1806">
        <v>2</v>
      </c>
      <c r="I1806">
        <v>12</v>
      </c>
      <c r="J1806" t="s">
        <v>23</v>
      </c>
      <c r="K1806" t="s">
        <v>14</v>
      </c>
      <c r="L1806">
        <v>24</v>
      </c>
    </row>
    <row r="1807" spans="1:12" x14ac:dyDescent="0.3">
      <c r="A1807">
        <v>923</v>
      </c>
      <c r="B1807" t="s">
        <v>24</v>
      </c>
      <c r="C1807" s="1">
        <v>45914</v>
      </c>
      <c r="D1807" s="1" t="str">
        <f xml:space="preserve"> TEXT(FilmaxData[[#This Row],[Show_Date]],"MMM")</f>
        <v>Sep</v>
      </c>
      <c r="E1807" s="1" t="str">
        <f xml:space="preserve"> TEXT(FilmaxData[[#This Row],[Show_Date]],"DDD")</f>
        <v>Sun</v>
      </c>
      <c r="F1807" t="s">
        <v>33</v>
      </c>
      <c r="G1807" t="s">
        <v>22</v>
      </c>
      <c r="H1807">
        <v>2</v>
      </c>
      <c r="I1807">
        <v>20</v>
      </c>
      <c r="J1807" t="s">
        <v>13</v>
      </c>
      <c r="K1807" t="s">
        <v>14</v>
      </c>
      <c r="L1807">
        <v>40</v>
      </c>
    </row>
    <row r="1808" spans="1:12" x14ac:dyDescent="0.3">
      <c r="A1808">
        <v>1112</v>
      </c>
      <c r="B1808" t="s">
        <v>24</v>
      </c>
      <c r="C1808" s="1">
        <v>45908</v>
      </c>
      <c r="D1808" s="1" t="str">
        <f xml:space="preserve"> TEXT(FilmaxData[[#This Row],[Show_Date]],"MMM")</f>
        <v>Sep</v>
      </c>
      <c r="E1808" s="1" t="str">
        <f xml:space="preserve"> TEXT(FilmaxData[[#This Row],[Show_Date]],"DDD")</f>
        <v>Mon</v>
      </c>
      <c r="F1808" t="s">
        <v>11</v>
      </c>
      <c r="G1808" t="s">
        <v>17</v>
      </c>
      <c r="H1808">
        <v>1</v>
      </c>
      <c r="I1808">
        <v>12</v>
      </c>
      <c r="J1808" t="s">
        <v>21</v>
      </c>
      <c r="K1808" t="s">
        <v>18</v>
      </c>
      <c r="L1808">
        <v>12</v>
      </c>
    </row>
    <row r="1809" spans="1:12" x14ac:dyDescent="0.3">
      <c r="A1809">
        <v>514</v>
      </c>
      <c r="B1809" t="s">
        <v>10</v>
      </c>
      <c r="C1809" s="1">
        <v>45844</v>
      </c>
      <c r="D1809" s="1" t="str">
        <f xml:space="preserve"> TEXT(FilmaxData[[#This Row],[Show_Date]],"MMM")</f>
        <v>Jul</v>
      </c>
      <c r="E1809" s="1" t="str">
        <f xml:space="preserve"> TEXT(FilmaxData[[#This Row],[Show_Date]],"DDD")</f>
        <v>Sun</v>
      </c>
      <c r="F1809" t="s">
        <v>16</v>
      </c>
      <c r="G1809" t="s">
        <v>12</v>
      </c>
      <c r="H1809">
        <v>3</v>
      </c>
      <c r="I1809">
        <v>25</v>
      </c>
      <c r="J1809" t="s">
        <v>13</v>
      </c>
      <c r="K1809" t="s">
        <v>27</v>
      </c>
      <c r="L1809">
        <v>75</v>
      </c>
    </row>
    <row r="1810" spans="1:12" x14ac:dyDescent="0.3">
      <c r="A1810">
        <v>1005</v>
      </c>
      <c r="B1810" t="s">
        <v>24</v>
      </c>
      <c r="C1810" s="1">
        <v>45930</v>
      </c>
      <c r="D1810" s="1" t="str">
        <f xml:space="preserve"> TEXT(FilmaxData[[#This Row],[Show_Date]],"MMM")</f>
        <v>Sep</v>
      </c>
      <c r="E1810" s="1" t="str">
        <f xml:space="preserve"> TEXT(FilmaxData[[#This Row],[Show_Date]],"DDD")</f>
        <v>Tue</v>
      </c>
      <c r="F1810" t="s">
        <v>33</v>
      </c>
      <c r="G1810" t="s">
        <v>12</v>
      </c>
      <c r="H1810">
        <v>5</v>
      </c>
      <c r="I1810">
        <v>25</v>
      </c>
      <c r="J1810" t="s">
        <v>23</v>
      </c>
      <c r="K1810" t="s">
        <v>27</v>
      </c>
      <c r="L1810">
        <v>125</v>
      </c>
    </row>
    <row r="1811" spans="1:12" x14ac:dyDescent="0.3">
      <c r="A1811">
        <v>276</v>
      </c>
      <c r="B1811" t="s">
        <v>31</v>
      </c>
      <c r="C1811" s="1">
        <v>45925</v>
      </c>
      <c r="D1811" s="1" t="str">
        <f xml:space="preserve"> TEXT(FilmaxData[[#This Row],[Show_Date]],"MMM")</f>
        <v>Sep</v>
      </c>
      <c r="E1811" s="1" t="str">
        <f xml:space="preserve"> TEXT(FilmaxData[[#This Row],[Show_Date]],"DDD")</f>
        <v>Thu</v>
      </c>
      <c r="F1811" t="s">
        <v>33</v>
      </c>
      <c r="G1811" t="s">
        <v>12</v>
      </c>
      <c r="H1811">
        <v>3</v>
      </c>
      <c r="I1811">
        <v>25</v>
      </c>
      <c r="J1811" t="s">
        <v>21</v>
      </c>
      <c r="K1811" t="s">
        <v>18</v>
      </c>
      <c r="L1811">
        <v>75</v>
      </c>
    </row>
    <row r="1812" spans="1:12" x14ac:dyDescent="0.3">
      <c r="A1812">
        <v>816</v>
      </c>
      <c r="B1812" t="s">
        <v>15</v>
      </c>
      <c r="C1812" s="1">
        <v>45913</v>
      </c>
      <c r="D1812" s="1" t="str">
        <f xml:space="preserve"> TEXT(FilmaxData[[#This Row],[Show_Date]],"MMM")</f>
        <v>Sep</v>
      </c>
      <c r="E1812" s="1" t="str">
        <f xml:space="preserve"> TEXT(FilmaxData[[#This Row],[Show_Date]],"DDD")</f>
        <v>Sat</v>
      </c>
      <c r="F1812" t="s">
        <v>16</v>
      </c>
      <c r="G1812" t="s">
        <v>30</v>
      </c>
      <c r="H1812">
        <v>5</v>
      </c>
      <c r="I1812">
        <v>8</v>
      </c>
      <c r="J1812" t="s">
        <v>23</v>
      </c>
      <c r="K1812" t="s">
        <v>25</v>
      </c>
      <c r="L1812">
        <v>40</v>
      </c>
    </row>
    <row r="1813" spans="1:12" x14ac:dyDescent="0.3">
      <c r="A1813">
        <v>1923</v>
      </c>
      <c r="B1813" t="s">
        <v>31</v>
      </c>
      <c r="C1813" s="1">
        <v>45847</v>
      </c>
      <c r="D1813" s="1" t="str">
        <f xml:space="preserve"> TEXT(FilmaxData[[#This Row],[Show_Date]],"MMM")</f>
        <v>Jul</v>
      </c>
      <c r="E1813" s="1" t="str">
        <f xml:space="preserve"> TEXT(FilmaxData[[#This Row],[Show_Date]],"DDD")</f>
        <v>Wed</v>
      </c>
      <c r="F1813" t="s">
        <v>20</v>
      </c>
      <c r="G1813" t="s">
        <v>30</v>
      </c>
      <c r="H1813">
        <v>3</v>
      </c>
      <c r="I1813">
        <v>8</v>
      </c>
      <c r="J1813" t="s">
        <v>13</v>
      </c>
      <c r="K1813" t="s">
        <v>18</v>
      </c>
      <c r="L1813">
        <v>24</v>
      </c>
    </row>
    <row r="1814" spans="1:12" x14ac:dyDescent="0.3">
      <c r="A1814">
        <v>279</v>
      </c>
      <c r="B1814" t="s">
        <v>24</v>
      </c>
      <c r="C1814" s="1">
        <v>45878</v>
      </c>
      <c r="D1814" s="1" t="str">
        <f xml:space="preserve"> TEXT(FilmaxData[[#This Row],[Show_Date]],"MMM")</f>
        <v>Aug</v>
      </c>
      <c r="E1814" s="1" t="str">
        <f xml:space="preserve"> TEXT(FilmaxData[[#This Row],[Show_Date]],"DDD")</f>
        <v>Sat</v>
      </c>
      <c r="F1814" t="s">
        <v>33</v>
      </c>
      <c r="G1814" t="s">
        <v>12</v>
      </c>
      <c r="H1814">
        <v>3</v>
      </c>
      <c r="I1814">
        <v>25</v>
      </c>
      <c r="J1814" t="s">
        <v>21</v>
      </c>
      <c r="K1814" t="s">
        <v>25</v>
      </c>
      <c r="L1814">
        <v>75</v>
      </c>
    </row>
    <row r="1815" spans="1:12" x14ac:dyDescent="0.3">
      <c r="A1815">
        <v>1824</v>
      </c>
      <c r="B1815" t="s">
        <v>31</v>
      </c>
      <c r="C1815" s="1">
        <v>45880</v>
      </c>
      <c r="D1815" s="1" t="str">
        <f xml:space="preserve"> TEXT(FilmaxData[[#This Row],[Show_Date]],"MMM")</f>
        <v>Aug</v>
      </c>
      <c r="E1815" s="1" t="str">
        <f xml:space="preserve"> TEXT(FilmaxData[[#This Row],[Show_Date]],"DDD")</f>
        <v>Mon</v>
      </c>
      <c r="F1815" t="s">
        <v>11</v>
      </c>
      <c r="G1815" t="s">
        <v>17</v>
      </c>
      <c r="H1815">
        <v>1</v>
      </c>
      <c r="I1815">
        <v>12</v>
      </c>
      <c r="J1815" t="s">
        <v>23</v>
      </c>
      <c r="K1815" t="s">
        <v>14</v>
      </c>
      <c r="L1815">
        <v>12</v>
      </c>
    </row>
    <row r="1816" spans="1:12" x14ac:dyDescent="0.3">
      <c r="A1816">
        <v>1178</v>
      </c>
      <c r="B1816" t="s">
        <v>19</v>
      </c>
      <c r="C1816" s="1">
        <v>45857</v>
      </c>
      <c r="D1816" s="1" t="str">
        <f xml:space="preserve"> TEXT(FilmaxData[[#This Row],[Show_Date]],"MMM")</f>
        <v>Jul</v>
      </c>
      <c r="E1816" s="1" t="str">
        <f xml:space="preserve"> TEXT(FilmaxData[[#This Row],[Show_Date]],"DDD")</f>
        <v>Sat</v>
      </c>
      <c r="F1816" t="s">
        <v>33</v>
      </c>
      <c r="G1816" t="s">
        <v>22</v>
      </c>
      <c r="H1816">
        <v>4</v>
      </c>
      <c r="I1816">
        <v>20</v>
      </c>
      <c r="J1816" t="s">
        <v>21</v>
      </c>
      <c r="K1816" t="s">
        <v>18</v>
      </c>
      <c r="L1816">
        <v>80</v>
      </c>
    </row>
    <row r="1817" spans="1:12" x14ac:dyDescent="0.3">
      <c r="A1817">
        <v>273</v>
      </c>
      <c r="B1817" t="s">
        <v>19</v>
      </c>
      <c r="C1817" s="1">
        <v>45916</v>
      </c>
      <c r="D1817" s="1" t="str">
        <f xml:space="preserve"> TEXT(FilmaxData[[#This Row],[Show_Date]],"MMM")</f>
        <v>Sep</v>
      </c>
      <c r="E1817" s="1" t="str">
        <f xml:space="preserve"> TEXT(FilmaxData[[#This Row],[Show_Date]],"DDD")</f>
        <v>Tue</v>
      </c>
      <c r="F1817" t="s">
        <v>33</v>
      </c>
      <c r="G1817" t="s">
        <v>17</v>
      </c>
      <c r="H1817">
        <v>2</v>
      </c>
      <c r="I1817">
        <v>12</v>
      </c>
      <c r="J1817" t="s">
        <v>23</v>
      </c>
      <c r="K1817" t="s">
        <v>25</v>
      </c>
      <c r="L1817">
        <v>24</v>
      </c>
    </row>
    <row r="1818" spans="1:12" x14ac:dyDescent="0.3">
      <c r="A1818">
        <v>1855</v>
      </c>
      <c r="B1818" t="s">
        <v>19</v>
      </c>
      <c r="C1818" s="1">
        <v>45858</v>
      </c>
      <c r="D1818" s="1" t="str">
        <f xml:space="preserve"> TEXT(FilmaxData[[#This Row],[Show_Date]],"MMM")</f>
        <v>Jul</v>
      </c>
      <c r="E1818" s="1" t="str">
        <f xml:space="preserve"> TEXT(FilmaxData[[#This Row],[Show_Date]],"DDD")</f>
        <v>Sun</v>
      </c>
      <c r="F1818" t="s">
        <v>16</v>
      </c>
      <c r="G1818" t="s">
        <v>30</v>
      </c>
      <c r="H1818">
        <v>4</v>
      </c>
      <c r="I1818">
        <v>8</v>
      </c>
      <c r="J1818" t="s">
        <v>13</v>
      </c>
      <c r="K1818" t="s">
        <v>18</v>
      </c>
      <c r="L1818">
        <v>32</v>
      </c>
    </row>
    <row r="1819" spans="1:12" x14ac:dyDescent="0.3">
      <c r="A1819">
        <v>1675</v>
      </c>
      <c r="B1819" t="s">
        <v>24</v>
      </c>
      <c r="C1819" s="1">
        <v>45884</v>
      </c>
      <c r="D1819" s="1" t="str">
        <f xml:space="preserve"> TEXT(FilmaxData[[#This Row],[Show_Date]],"MMM")</f>
        <v>Aug</v>
      </c>
      <c r="E1819" s="1" t="str">
        <f xml:space="preserve"> TEXT(FilmaxData[[#This Row],[Show_Date]],"DDD")</f>
        <v>Fri</v>
      </c>
      <c r="F1819" t="s">
        <v>11</v>
      </c>
      <c r="G1819" t="s">
        <v>12</v>
      </c>
      <c r="H1819">
        <v>5</v>
      </c>
      <c r="I1819">
        <v>25</v>
      </c>
      <c r="J1819" t="s">
        <v>21</v>
      </c>
      <c r="K1819" t="s">
        <v>25</v>
      </c>
      <c r="L1819">
        <v>125</v>
      </c>
    </row>
    <row r="1820" spans="1:12" x14ac:dyDescent="0.3">
      <c r="A1820">
        <v>1490</v>
      </c>
      <c r="B1820" t="s">
        <v>24</v>
      </c>
      <c r="C1820" s="1">
        <v>45885</v>
      </c>
      <c r="D1820" s="1" t="str">
        <f xml:space="preserve"> TEXT(FilmaxData[[#This Row],[Show_Date]],"MMM")</f>
        <v>Aug</v>
      </c>
      <c r="E1820" s="1" t="str">
        <f xml:space="preserve"> TEXT(FilmaxData[[#This Row],[Show_Date]],"DDD")</f>
        <v>Sat</v>
      </c>
      <c r="F1820" t="s">
        <v>20</v>
      </c>
      <c r="G1820" t="s">
        <v>17</v>
      </c>
      <c r="H1820">
        <v>1</v>
      </c>
      <c r="I1820">
        <v>12</v>
      </c>
      <c r="J1820" t="s">
        <v>13</v>
      </c>
      <c r="K1820" t="s">
        <v>27</v>
      </c>
      <c r="L1820">
        <v>12</v>
      </c>
    </row>
    <row r="1821" spans="1:12" x14ac:dyDescent="0.3">
      <c r="A1821">
        <v>1880</v>
      </c>
      <c r="B1821" t="s">
        <v>24</v>
      </c>
      <c r="C1821" s="1">
        <v>45851</v>
      </c>
      <c r="D1821" s="1" t="str">
        <f xml:space="preserve"> TEXT(FilmaxData[[#This Row],[Show_Date]],"MMM")</f>
        <v>Jul</v>
      </c>
      <c r="E1821" s="1" t="str">
        <f xml:space="preserve"> TEXT(FilmaxData[[#This Row],[Show_Date]],"DDD")</f>
        <v>Sun</v>
      </c>
      <c r="F1821" t="s">
        <v>11</v>
      </c>
      <c r="G1821" t="s">
        <v>17</v>
      </c>
      <c r="H1821">
        <v>5</v>
      </c>
      <c r="I1821">
        <v>12</v>
      </c>
      <c r="J1821" t="s">
        <v>23</v>
      </c>
      <c r="K1821" t="s">
        <v>27</v>
      </c>
      <c r="L1821">
        <v>60</v>
      </c>
    </row>
    <row r="1822" spans="1:12" x14ac:dyDescent="0.3">
      <c r="A1822">
        <v>665</v>
      </c>
      <c r="B1822" t="s">
        <v>24</v>
      </c>
      <c r="C1822" s="1">
        <v>45915</v>
      </c>
      <c r="D1822" s="1" t="str">
        <f xml:space="preserve"> TEXT(FilmaxData[[#This Row],[Show_Date]],"MMM")</f>
        <v>Sep</v>
      </c>
      <c r="E1822" s="1" t="str">
        <f xml:space="preserve"> TEXT(FilmaxData[[#This Row],[Show_Date]],"DDD")</f>
        <v>Mon</v>
      </c>
      <c r="F1822" t="s">
        <v>20</v>
      </c>
      <c r="G1822" t="s">
        <v>12</v>
      </c>
      <c r="H1822">
        <v>3</v>
      </c>
      <c r="I1822">
        <v>25</v>
      </c>
      <c r="J1822" t="s">
        <v>23</v>
      </c>
      <c r="K1822" t="s">
        <v>18</v>
      </c>
      <c r="L1822">
        <v>75</v>
      </c>
    </row>
    <row r="1823" spans="1:12" x14ac:dyDescent="0.3">
      <c r="A1823">
        <v>212</v>
      </c>
      <c r="B1823" t="s">
        <v>28</v>
      </c>
      <c r="C1823" s="1">
        <v>45906</v>
      </c>
      <c r="D1823" s="1" t="str">
        <f xml:space="preserve"> TEXT(FilmaxData[[#This Row],[Show_Date]],"MMM")</f>
        <v>Sep</v>
      </c>
      <c r="E1823" s="1" t="str">
        <f xml:space="preserve"> TEXT(FilmaxData[[#This Row],[Show_Date]],"DDD")</f>
        <v>Sat</v>
      </c>
      <c r="F1823" t="s">
        <v>11</v>
      </c>
      <c r="G1823" t="s">
        <v>22</v>
      </c>
      <c r="H1823">
        <v>4</v>
      </c>
      <c r="I1823">
        <v>20</v>
      </c>
      <c r="J1823" t="s">
        <v>21</v>
      </c>
      <c r="K1823" t="s">
        <v>18</v>
      </c>
      <c r="L1823">
        <v>80</v>
      </c>
    </row>
    <row r="1824" spans="1:12" x14ac:dyDescent="0.3">
      <c r="A1824">
        <v>498</v>
      </c>
      <c r="B1824" t="s">
        <v>31</v>
      </c>
      <c r="C1824" s="1">
        <v>45924</v>
      </c>
      <c r="D1824" s="1" t="str">
        <f xml:space="preserve"> TEXT(FilmaxData[[#This Row],[Show_Date]],"MMM")</f>
        <v>Sep</v>
      </c>
      <c r="E1824" s="1" t="str">
        <f xml:space="preserve"> TEXT(FilmaxData[[#This Row],[Show_Date]],"DDD")</f>
        <v>Wed</v>
      </c>
      <c r="F1824" t="s">
        <v>20</v>
      </c>
      <c r="G1824" t="s">
        <v>22</v>
      </c>
      <c r="H1824">
        <v>5</v>
      </c>
      <c r="I1824">
        <v>20</v>
      </c>
      <c r="J1824" t="s">
        <v>23</v>
      </c>
      <c r="K1824" t="s">
        <v>27</v>
      </c>
      <c r="L1824">
        <v>100</v>
      </c>
    </row>
    <row r="1825" spans="1:12" x14ac:dyDescent="0.3">
      <c r="A1825">
        <v>1273</v>
      </c>
      <c r="B1825" t="s">
        <v>32</v>
      </c>
      <c r="C1825" s="1">
        <v>45924</v>
      </c>
      <c r="D1825" s="1" t="str">
        <f xml:space="preserve"> TEXT(FilmaxData[[#This Row],[Show_Date]],"MMM")</f>
        <v>Sep</v>
      </c>
      <c r="E1825" s="1" t="str">
        <f xml:space="preserve"> TEXT(FilmaxData[[#This Row],[Show_Date]],"DDD")</f>
        <v>Wed</v>
      </c>
      <c r="F1825" t="s">
        <v>16</v>
      </c>
      <c r="G1825" t="s">
        <v>30</v>
      </c>
      <c r="H1825">
        <v>4</v>
      </c>
      <c r="I1825">
        <v>8</v>
      </c>
      <c r="J1825" t="s">
        <v>23</v>
      </c>
      <c r="K1825" t="s">
        <v>25</v>
      </c>
      <c r="L1825">
        <v>32</v>
      </c>
    </row>
    <row r="1826" spans="1:12" x14ac:dyDescent="0.3">
      <c r="A1826">
        <v>855</v>
      </c>
      <c r="B1826" t="s">
        <v>28</v>
      </c>
      <c r="C1826" s="1">
        <v>45886</v>
      </c>
      <c r="D1826" s="1" t="str">
        <f xml:space="preserve"> TEXT(FilmaxData[[#This Row],[Show_Date]],"MMM")</f>
        <v>Aug</v>
      </c>
      <c r="E1826" s="1" t="str">
        <f xml:space="preserve"> TEXT(FilmaxData[[#This Row],[Show_Date]],"DDD")</f>
        <v>Sun</v>
      </c>
      <c r="F1826" t="s">
        <v>20</v>
      </c>
      <c r="G1826" t="s">
        <v>17</v>
      </c>
      <c r="H1826">
        <v>4</v>
      </c>
      <c r="I1826">
        <v>12</v>
      </c>
      <c r="J1826" t="s">
        <v>21</v>
      </c>
      <c r="K1826" t="s">
        <v>25</v>
      </c>
      <c r="L1826">
        <v>48</v>
      </c>
    </row>
    <row r="1827" spans="1:12" x14ac:dyDescent="0.3">
      <c r="A1827">
        <v>1220</v>
      </c>
      <c r="B1827" t="s">
        <v>32</v>
      </c>
      <c r="C1827" s="1">
        <v>45914</v>
      </c>
      <c r="D1827" s="1" t="str">
        <f xml:space="preserve"> TEXT(FilmaxData[[#This Row],[Show_Date]],"MMM")</f>
        <v>Sep</v>
      </c>
      <c r="E1827" s="1" t="str">
        <f xml:space="preserve"> TEXT(FilmaxData[[#This Row],[Show_Date]],"DDD")</f>
        <v>Sun</v>
      </c>
      <c r="F1827" t="s">
        <v>16</v>
      </c>
      <c r="G1827" t="s">
        <v>30</v>
      </c>
      <c r="H1827">
        <v>2</v>
      </c>
      <c r="I1827">
        <v>8</v>
      </c>
      <c r="J1827" t="s">
        <v>13</v>
      </c>
      <c r="K1827" t="s">
        <v>18</v>
      </c>
      <c r="L1827">
        <v>16</v>
      </c>
    </row>
    <row r="1828" spans="1:12" x14ac:dyDescent="0.3">
      <c r="A1828">
        <v>1459</v>
      </c>
      <c r="B1828" t="s">
        <v>10</v>
      </c>
      <c r="C1828" s="1">
        <v>45909</v>
      </c>
      <c r="D1828" s="1" t="str">
        <f xml:space="preserve"> TEXT(FilmaxData[[#This Row],[Show_Date]],"MMM")</f>
        <v>Sep</v>
      </c>
      <c r="E1828" s="1" t="str">
        <f xml:space="preserve"> TEXT(FilmaxData[[#This Row],[Show_Date]],"DDD")</f>
        <v>Tue</v>
      </c>
      <c r="F1828" t="s">
        <v>11</v>
      </c>
      <c r="G1828" t="s">
        <v>30</v>
      </c>
      <c r="H1828">
        <v>3</v>
      </c>
      <c r="I1828">
        <v>8</v>
      </c>
      <c r="J1828" t="s">
        <v>23</v>
      </c>
      <c r="K1828" t="s">
        <v>25</v>
      </c>
      <c r="L1828">
        <v>24</v>
      </c>
    </row>
    <row r="1829" spans="1:12" x14ac:dyDescent="0.3">
      <c r="A1829">
        <v>1360</v>
      </c>
      <c r="B1829" t="s">
        <v>28</v>
      </c>
      <c r="C1829" s="1">
        <v>45913</v>
      </c>
      <c r="D1829" s="1" t="str">
        <f xml:space="preserve"> TEXT(FilmaxData[[#This Row],[Show_Date]],"MMM")</f>
        <v>Sep</v>
      </c>
      <c r="E1829" s="1" t="str">
        <f xml:space="preserve"> TEXT(FilmaxData[[#This Row],[Show_Date]],"DDD")</f>
        <v>Sat</v>
      </c>
      <c r="F1829" t="s">
        <v>11</v>
      </c>
      <c r="G1829" t="s">
        <v>30</v>
      </c>
      <c r="H1829">
        <v>2</v>
      </c>
      <c r="I1829">
        <v>8</v>
      </c>
      <c r="J1829" t="s">
        <v>21</v>
      </c>
      <c r="K1829" t="s">
        <v>14</v>
      </c>
      <c r="L1829">
        <v>16</v>
      </c>
    </row>
    <row r="1830" spans="1:12" x14ac:dyDescent="0.3">
      <c r="A1830">
        <v>482</v>
      </c>
      <c r="B1830" t="s">
        <v>10</v>
      </c>
      <c r="C1830" s="1">
        <v>45883</v>
      </c>
      <c r="D1830" s="1" t="str">
        <f xml:space="preserve"> TEXT(FilmaxData[[#This Row],[Show_Date]],"MMM")</f>
        <v>Aug</v>
      </c>
      <c r="E1830" s="1" t="str">
        <f xml:space="preserve"> TEXT(FilmaxData[[#This Row],[Show_Date]],"DDD")</f>
        <v>Thu</v>
      </c>
      <c r="F1830" t="s">
        <v>33</v>
      </c>
      <c r="G1830" t="s">
        <v>22</v>
      </c>
      <c r="H1830">
        <v>4</v>
      </c>
      <c r="I1830">
        <v>20</v>
      </c>
      <c r="J1830" t="s">
        <v>21</v>
      </c>
      <c r="K1830" t="s">
        <v>27</v>
      </c>
      <c r="L1830">
        <v>80</v>
      </c>
    </row>
    <row r="1831" spans="1:12" x14ac:dyDescent="0.3">
      <c r="A1831">
        <v>194</v>
      </c>
      <c r="B1831" t="s">
        <v>28</v>
      </c>
      <c r="C1831" s="1">
        <v>45849</v>
      </c>
      <c r="D1831" s="1" t="str">
        <f xml:space="preserve"> TEXT(FilmaxData[[#This Row],[Show_Date]],"MMM")</f>
        <v>Jul</v>
      </c>
      <c r="E1831" s="1" t="str">
        <f xml:space="preserve"> TEXT(FilmaxData[[#This Row],[Show_Date]],"DDD")</f>
        <v>Fri</v>
      </c>
      <c r="F1831" t="s">
        <v>33</v>
      </c>
      <c r="G1831" t="s">
        <v>12</v>
      </c>
      <c r="H1831">
        <v>1</v>
      </c>
      <c r="I1831">
        <v>25</v>
      </c>
      <c r="J1831" t="s">
        <v>13</v>
      </c>
      <c r="K1831" t="s">
        <v>14</v>
      </c>
      <c r="L1831">
        <v>25</v>
      </c>
    </row>
    <row r="1832" spans="1:12" x14ac:dyDescent="0.3">
      <c r="A1832">
        <v>1714</v>
      </c>
      <c r="B1832" t="s">
        <v>15</v>
      </c>
      <c r="C1832" s="1">
        <v>45864</v>
      </c>
      <c r="D1832" s="1" t="str">
        <f xml:space="preserve"> TEXT(FilmaxData[[#This Row],[Show_Date]],"MMM")</f>
        <v>Jul</v>
      </c>
      <c r="E1832" s="1" t="str">
        <f xml:space="preserve"> TEXT(FilmaxData[[#This Row],[Show_Date]],"DDD")</f>
        <v>Sat</v>
      </c>
      <c r="F1832" t="s">
        <v>20</v>
      </c>
      <c r="G1832" t="s">
        <v>12</v>
      </c>
      <c r="H1832">
        <v>3</v>
      </c>
      <c r="I1832">
        <v>25</v>
      </c>
      <c r="J1832" t="s">
        <v>13</v>
      </c>
      <c r="K1832" t="s">
        <v>25</v>
      </c>
      <c r="L1832">
        <v>75</v>
      </c>
    </row>
    <row r="1833" spans="1:12" x14ac:dyDescent="0.3">
      <c r="A1833">
        <v>1538</v>
      </c>
      <c r="B1833" t="s">
        <v>10</v>
      </c>
      <c r="C1833" s="1">
        <v>45882</v>
      </c>
      <c r="D1833" s="1" t="str">
        <f xml:space="preserve"> TEXT(FilmaxData[[#This Row],[Show_Date]],"MMM")</f>
        <v>Aug</v>
      </c>
      <c r="E1833" s="1" t="str">
        <f xml:space="preserve"> TEXT(FilmaxData[[#This Row],[Show_Date]],"DDD")</f>
        <v>Wed</v>
      </c>
      <c r="F1833" t="s">
        <v>33</v>
      </c>
      <c r="G1833" t="s">
        <v>17</v>
      </c>
      <c r="H1833">
        <v>3</v>
      </c>
      <c r="I1833">
        <v>12</v>
      </c>
      <c r="J1833" t="s">
        <v>21</v>
      </c>
      <c r="K1833" t="s">
        <v>27</v>
      </c>
      <c r="L1833">
        <v>36</v>
      </c>
    </row>
    <row r="1834" spans="1:12" x14ac:dyDescent="0.3">
      <c r="A1834">
        <v>779</v>
      </c>
      <c r="B1834" t="s">
        <v>19</v>
      </c>
      <c r="C1834" s="1">
        <v>45872</v>
      </c>
      <c r="D1834" s="1" t="str">
        <f xml:space="preserve"> TEXT(FilmaxData[[#This Row],[Show_Date]],"MMM")</f>
        <v>Aug</v>
      </c>
      <c r="E1834" s="1" t="str">
        <f xml:space="preserve"> TEXT(FilmaxData[[#This Row],[Show_Date]],"DDD")</f>
        <v>Sun</v>
      </c>
      <c r="F1834" t="s">
        <v>11</v>
      </c>
      <c r="G1834" t="s">
        <v>17</v>
      </c>
      <c r="H1834">
        <v>3</v>
      </c>
      <c r="I1834">
        <v>12</v>
      </c>
      <c r="J1834" t="s">
        <v>13</v>
      </c>
      <c r="K1834" t="s">
        <v>18</v>
      </c>
      <c r="L1834">
        <v>36</v>
      </c>
    </row>
    <row r="1835" spans="1:12" x14ac:dyDescent="0.3">
      <c r="A1835">
        <v>716</v>
      </c>
      <c r="B1835" t="s">
        <v>19</v>
      </c>
      <c r="C1835" s="1">
        <v>45865</v>
      </c>
      <c r="D1835" s="1" t="str">
        <f xml:space="preserve"> TEXT(FilmaxData[[#This Row],[Show_Date]],"MMM")</f>
        <v>Jul</v>
      </c>
      <c r="E1835" s="1" t="str">
        <f xml:space="preserve"> TEXT(FilmaxData[[#This Row],[Show_Date]],"DDD")</f>
        <v>Sun</v>
      </c>
      <c r="F1835" t="s">
        <v>11</v>
      </c>
      <c r="G1835" t="s">
        <v>17</v>
      </c>
      <c r="H1835">
        <v>1</v>
      </c>
      <c r="I1835">
        <v>12</v>
      </c>
      <c r="J1835" t="s">
        <v>23</v>
      </c>
      <c r="K1835" t="s">
        <v>14</v>
      </c>
      <c r="L1835">
        <v>12</v>
      </c>
    </row>
    <row r="1836" spans="1:12" x14ac:dyDescent="0.3">
      <c r="A1836">
        <v>661</v>
      </c>
      <c r="B1836" t="s">
        <v>19</v>
      </c>
      <c r="C1836" s="1">
        <v>45871</v>
      </c>
      <c r="D1836" s="1" t="str">
        <f xml:space="preserve"> TEXT(FilmaxData[[#This Row],[Show_Date]],"MMM")</f>
        <v>Aug</v>
      </c>
      <c r="E1836" s="1" t="str">
        <f xml:space="preserve"> TEXT(FilmaxData[[#This Row],[Show_Date]],"DDD")</f>
        <v>Sat</v>
      </c>
      <c r="F1836" t="s">
        <v>20</v>
      </c>
      <c r="G1836" t="s">
        <v>17</v>
      </c>
      <c r="H1836">
        <v>2</v>
      </c>
      <c r="I1836">
        <v>12</v>
      </c>
      <c r="J1836" t="s">
        <v>21</v>
      </c>
      <c r="K1836" t="s">
        <v>14</v>
      </c>
      <c r="L1836">
        <v>24</v>
      </c>
    </row>
    <row r="1837" spans="1:12" x14ac:dyDescent="0.3">
      <c r="A1837">
        <v>1494</v>
      </c>
      <c r="B1837" t="s">
        <v>26</v>
      </c>
      <c r="C1837" s="1">
        <v>45922</v>
      </c>
      <c r="D1837" s="1" t="str">
        <f xml:space="preserve"> TEXT(FilmaxData[[#This Row],[Show_Date]],"MMM")</f>
        <v>Sep</v>
      </c>
      <c r="E1837" s="1" t="str">
        <f xml:space="preserve"> TEXT(FilmaxData[[#This Row],[Show_Date]],"DDD")</f>
        <v>Mon</v>
      </c>
      <c r="F1837" t="s">
        <v>20</v>
      </c>
      <c r="G1837" t="s">
        <v>22</v>
      </c>
      <c r="H1837">
        <v>2</v>
      </c>
      <c r="I1837">
        <v>20</v>
      </c>
      <c r="J1837" t="s">
        <v>23</v>
      </c>
      <c r="K1837" t="s">
        <v>18</v>
      </c>
      <c r="L1837">
        <v>40</v>
      </c>
    </row>
    <row r="1838" spans="1:12" x14ac:dyDescent="0.3">
      <c r="A1838">
        <v>926</v>
      </c>
      <c r="B1838" t="s">
        <v>32</v>
      </c>
      <c r="C1838" s="1">
        <v>45847</v>
      </c>
      <c r="D1838" s="1" t="str">
        <f xml:space="preserve"> TEXT(FilmaxData[[#This Row],[Show_Date]],"MMM")</f>
        <v>Jul</v>
      </c>
      <c r="E1838" s="1" t="str">
        <f xml:space="preserve"> TEXT(FilmaxData[[#This Row],[Show_Date]],"DDD")</f>
        <v>Wed</v>
      </c>
      <c r="F1838" t="s">
        <v>20</v>
      </c>
      <c r="G1838" t="s">
        <v>29</v>
      </c>
      <c r="H1838">
        <v>4</v>
      </c>
      <c r="I1838">
        <v>30</v>
      </c>
      <c r="J1838" t="s">
        <v>21</v>
      </c>
      <c r="K1838" t="s">
        <v>14</v>
      </c>
      <c r="L1838">
        <v>120</v>
      </c>
    </row>
    <row r="1839" spans="1:12" x14ac:dyDescent="0.3">
      <c r="A1839">
        <v>553</v>
      </c>
      <c r="B1839" t="s">
        <v>15</v>
      </c>
      <c r="C1839" s="1">
        <v>45913</v>
      </c>
      <c r="D1839" s="1" t="str">
        <f xml:space="preserve"> TEXT(FilmaxData[[#This Row],[Show_Date]],"MMM")</f>
        <v>Sep</v>
      </c>
      <c r="E1839" s="1" t="str">
        <f xml:space="preserve"> TEXT(FilmaxData[[#This Row],[Show_Date]],"DDD")</f>
        <v>Sat</v>
      </c>
      <c r="F1839" t="s">
        <v>33</v>
      </c>
      <c r="G1839" t="s">
        <v>22</v>
      </c>
      <c r="H1839">
        <v>3</v>
      </c>
      <c r="I1839">
        <v>20</v>
      </c>
      <c r="J1839" t="s">
        <v>21</v>
      </c>
      <c r="K1839" t="s">
        <v>14</v>
      </c>
      <c r="L1839">
        <v>60</v>
      </c>
    </row>
    <row r="1840" spans="1:12" x14ac:dyDescent="0.3">
      <c r="A1840">
        <v>1119</v>
      </c>
      <c r="B1840" t="s">
        <v>15</v>
      </c>
      <c r="C1840" s="1">
        <v>45904</v>
      </c>
      <c r="D1840" s="1" t="str">
        <f xml:space="preserve"> TEXT(FilmaxData[[#This Row],[Show_Date]],"MMM")</f>
        <v>Sep</v>
      </c>
      <c r="E1840" s="1" t="str">
        <f xml:space="preserve"> TEXT(FilmaxData[[#This Row],[Show_Date]],"DDD")</f>
        <v>Thu</v>
      </c>
      <c r="F1840" t="s">
        <v>16</v>
      </c>
      <c r="G1840" t="s">
        <v>17</v>
      </c>
      <c r="H1840">
        <v>1</v>
      </c>
      <c r="I1840">
        <v>12</v>
      </c>
      <c r="J1840" t="s">
        <v>21</v>
      </c>
      <c r="K1840" t="s">
        <v>14</v>
      </c>
      <c r="L1840">
        <v>12</v>
      </c>
    </row>
    <row r="1841" spans="1:12" x14ac:dyDescent="0.3">
      <c r="A1841">
        <v>797</v>
      </c>
      <c r="B1841" t="s">
        <v>15</v>
      </c>
      <c r="C1841" s="1">
        <v>45876</v>
      </c>
      <c r="D1841" s="1" t="str">
        <f xml:space="preserve"> TEXT(FilmaxData[[#This Row],[Show_Date]],"MMM")</f>
        <v>Aug</v>
      </c>
      <c r="E1841" s="1" t="str">
        <f xml:space="preserve"> TEXT(FilmaxData[[#This Row],[Show_Date]],"DDD")</f>
        <v>Thu</v>
      </c>
      <c r="F1841" t="s">
        <v>11</v>
      </c>
      <c r="G1841" t="s">
        <v>17</v>
      </c>
      <c r="H1841">
        <v>4</v>
      </c>
      <c r="I1841">
        <v>12</v>
      </c>
      <c r="J1841" t="s">
        <v>21</v>
      </c>
      <c r="K1841" t="s">
        <v>14</v>
      </c>
      <c r="L1841">
        <v>48</v>
      </c>
    </row>
    <row r="1842" spans="1:12" x14ac:dyDescent="0.3">
      <c r="A1842">
        <v>1288</v>
      </c>
      <c r="B1842" t="s">
        <v>10</v>
      </c>
      <c r="C1842" s="1">
        <v>45863</v>
      </c>
      <c r="D1842" s="1" t="str">
        <f xml:space="preserve"> TEXT(FilmaxData[[#This Row],[Show_Date]],"MMM")</f>
        <v>Jul</v>
      </c>
      <c r="E1842" s="1" t="str">
        <f xml:space="preserve"> TEXT(FilmaxData[[#This Row],[Show_Date]],"DDD")</f>
        <v>Fri</v>
      </c>
      <c r="F1842" t="s">
        <v>20</v>
      </c>
      <c r="G1842" t="s">
        <v>22</v>
      </c>
      <c r="H1842">
        <v>2</v>
      </c>
      <c r="I1842">
        <v>20</v>
      </c>
      <c r="J1842" t="s">
        <v>21</v>
      </c>
      <c r="K1842" t="s">
        <v>25</v>
      </c>
      <c r="L1842">
        <v>40</v>
      </c>
    </row>
    <row r="1843" spans="1:12" x14ac:dyDescent="0.3">
      <c r="A1843">
        <v>1858</v>
      </c>
      <c r="B1843" t="s">
        <v>24</v>
      </c>
      <c r="C1843" s="1">
        <v>45919</v>
      </c>
      <c r="D1843" s="1" t="str">
        <f xml:space="preserve"> TEXT(FilmaxData[[#This Row],[Show_Date]],"MMM")</f>
        <v>Sep</v>
      </c>
      <c r="E1843" s="1" t="str">
        <f xml:space="preserve"> TEXT(FilmaxData[[#This Row],[Show_Date]],"DDD")</f>
        <v>Fri</v>
      </c>
      <c r="F1843" t="s">
        <v>11</v>
      </c>
      <c r="G1843" t="s">
        <v>12</v>
      </c>
      <c r="H1843">
        <v>2</v>
      </c>
      <c r="I1843">
        <v>25</v>
      </c>
      <c r="J1843" t="s">
        <v>23</v>
      </c>
      <c r="K1843" t="s">
        <v>25</v>
      </c>
      <c r="L1843">
        <v>50</v>
      </c>
    </row>
    <row r="1844" spans="1:12" x14ac:dyDescent="0.3">
      <c r="A1844">
        <v>61</v>
      </c>
      <c r="B1844" t="s">
        <v>32</v>
      </c>
      <c r="C1844" s="1">
        <v>45925</v>
      </c>
      <c r="D1844" s="1" t="str">
        <f xml:space="preserve"> TEXT(FilmaxData[[#This Row],[Show_Date]],"MMM")</f>
        <v>Sep</v>
      </c>
      <c r="E1844" s="1" t="str">
        <f xml:space="preserve"> TEXT(FilmaxData[[#This Row],[Show_Date]],"DDD")</f>
        <v>Thu</v>
      </c>
      <c r="F1844" t="s">
        <v>33</v>
      </c>
      <c r="G1844" t="s">
        <v>17</v>
      </c>
      <c r="H1844">
        <v>2</v>
      </c>
      <c r="I1844">
        <v>12</v>
      </c>
      <c r="J1844" t="s">
        <v>21</v>
      </c>
      <c r="K1844" t="s">
        <v>14</v>
      </c>
      <c r="L1844">
        <v>24</v>
      </c>
    </row>
    <row r="1845" spans="1:12" x14ac:dyDescent="0.3">
      <c r="A1845">
        <v>1699</v>
      </c>
      <c r="B1845" t="s">
        <v>24</v>
      </c>
      <c r="C1845" s="1">
        <v>45904</v>
      </c>
      <c r="D1845" s="1" t="str">
        <f xml:space="preserve"> TEXT(FilmaxData[[#This Row],[Show_Date]],"MMM")</f>
        <v>Sep</v>
      </c>
      <c r="E1845" s="1" t="str">
        <f xml:space="preserve"> TEXT(FilmaxData[[#This Row],[Show_Date]],"DDD")</f>
        <v>Thu</v>
      </c>
      <c r="F1845" t="s">
        <v>16</v>
      </c>
      <c r="G1845" t="s">
        <v>29</v>
      </c>
      <c r="H1845">
        <v>4</v>
      </c>
      <c r="I1845">
        <v>30</v>
      </c>
      <c r="J1845" t="s">
        <v>21</v>
      </c>
      <c r="K1845" t="s">
        <v>18</v>
      </c>
      <c r="L1845">
        <v>120</v>
      </c>
    </row>
    <row r="1846" spans="1:12" x14ac:dyDescent="0.3">
      <c r="A1846">
        <v>1215</v>
      </c>
      <c r="B1846" t="s">
        <v>26</v>
      </c>
      <c r="C1846" s="1">
        <v>45848</v>
      </c>
      <c r="D1846" s="1" t="str">
        <f xml:space="preserve"> TEXT(FilmaxData[[#This Row],[Show_Date]],"MMM")</f>
        <v>Jul</v>
      </c>
      <c r="E1846" s="1" t="str">
        <f xml:space="preserve"> TEXT(FilmaxData[[#This Row],[Show_Date]],"DDD")</f>
        <v>Thu</v>
      </c>
      <c r="F1846" t="s">
        <v>33</v>
      </c>
      <c r="G1846" t="s">
        <v>17</v>
      </c>
      <c r="H1846">
        <v>4</v>
      </c>
      <c r="I1846">
        <v>12</v>
      </c>
      <c r="J1846" t="s">
        <v>13</v>
      </c>
      <c r="K1846" t="s">
        <v>27</v>
      </c>
      <c r="L1846">
        <v>48</v>
      </c>
    </row>
    <row r="1847" spans="1:12" x14ac:dyDescent="0.3">
      <c r="A1847">
        <v>269</v>
      </c>
      <c r="B1847" t="s">
        <v>28</v>
      </c>
      <c r="C1847" s="1">
        <v>45920</v>
      </c>
      <c r="D1847" s="1" t="str">
        <f xml:space="preserve"> TEXT(FilmaxData[[#This Row],[Show_Date]],"MMM")</f>
        <v>Sep</v>
      </c>
      <c r="E1847" s="1" t="str">
        <f xml:space="preserve"> TEXT(FilmaxData[[#This Row],[Show_Date]],"DDD")</f>
        <v>Sat</v>
      </c>
      <c r="F1847" t="s">
        <v>33</v>
      </c>
      <c r="G1847" t="s">
        <v>17</v>
      </c>
      <c r="H1847">
        <v>3</v>
      </c>
      <c r="I1847">
        <v>12</v>
      </c>
      <c r="J1847" t="s">
        <v>21</v>
      </c>
      <c r="K1847" t="s">
        <v>14</v>
      </c>
      <c r="L1847">
        <v>36</v>
      </c>
    </row>
    <row r="1848" spans="1:12" x14ac:dyDescent="0.3">
      <c r="A1848">
        <v>1418</v>
      </c>
      <c r="B1848" t="s">
        <v>28</v>
      </c>
      <c r="C1848" s="1">
        <v>45927</v>
      </c>
      <c r="D1848" s="1" t="str">
        <f xml:space="preserve"> TEXT(FilmaxData[[#This Row],[Show_Date]],"MMM")</f>
        <v>Sep</v>
      </c>
      <c r="E1848" s="1" t="str">
        <f xml:space="preserve"> TEXT(FilmaxData[[#This Row],[Show_Date]],"DDD")</f>
        <v>Sat</v>
      </c>
      <c r="F1848" t="s">
        <v>20</v>
      </c>
      <c r="G1848" t="s">
        <v>30</v>
      </c>
      <c r="H1848">
        <v>3</v>
      </c>
      <c r="I1848">
        <v>8</v>
      </c>
      <c r="J1848" t="s">
        <v>23</v>
      </c>
      <c r="K1848" t="s">
        <v>25</v>
      </c>
      <c r="L1848">
        <v>24</v>
      </c>
    </row>
    <row r="1849" spans="1:12" x14ac:dyDescent="0.3">
      <c r="A1849">
        <v>320</v>
      </c>
      <c r="B1849" t="s">
        <v>10</v>
      </c>
      <c r="C1849" s="1">
        <v>45928</v>
      </c>
      <c r="D1849" s="1" t="str">
        <f xml:space="preserve"> TEXT(FilmaxData[[#This Row],[Show_Date]],"MMM")</f>
        <v>Sep</v>
      </c>
      <c r="E1849" s="1" t="str">
        <f xml:space="preserve"> TEXT(FilmaxData[[#This Row],[Show_Date]],"DDD")</f>
        <v>Sun</v>
      </c>
      <c r="F1849" t="s">
        <v>11</v>
      </c>
      <c r="G1849" t="s">
        <v>17</v>
      </c>
      <c r="H1849">
        <v>5</v>
      </c>
      <c r="I1849">
        <v>12</v>
      </c>
      <c r="J1849" t="s">
        <v>21</v>
      </c>
      <c r="K1849" t="s">
        <v>25</v>
      </c>
      <c r="L1849">
        <v>60</v>
      </c>
    </row>
    <row r="1850" spans="1:12" x14ac:dyDescent="0.3">
      <c r="A1850">
        <v>1952</v>
      </c>
      <c r="B1850" t="s">
        <v>32</v>
      </c>
      <c r="C1850" s="1">
        <v>45872</v>
      </c>
      <c r="D1850" s="1" t="str">
        <f xml:space="preserve"> TEXT(FilmaxData[[#This Row],[Show_Date]],"MMM")</f>
        <v>Aug</v>
      </c>
      <c r="E1850" s="1" t="str">
        <f xml:space="preserve"> TEXT(FilmaxData[[#This Row],[Show_Date]],"DDD")</f>
        <v>Sun</v>
      </c>
      <c r="F1850" t="s">
        <v>11</v>
      </c>
      <c r="G1850" t="s">
        <v>22</v>
      </c>
      <c r="H1850">
        <v>2</v>
      </c>
      <c r="I1850">
        <v>20</v>
      </c>
      <c r="J1850" t="s">
        <v>21</v>
      </c>
      <c r="K1850" t="s">
        <v>25</v>
      </c>
      <c r="L1850">
        <v>40</v>
      </c>
    </row>
    <row r="1851" spans="1:12" x14ac:dyDescent="0.3">
      <c r="A1851">
        <v>544</v>
      </c>
      <c r="B1851" t="s">
        <v>26</v>
      </c>
      <c r="C1851" s="1">
        <v>45851</v>
      </c>
      <c r="D1851" s="1" t="str">
        <f xml:space="preserve"> TEXT(FilmaxData[[#This Row],[Show_Date]],"MMM")</f>
        <v>Jul</v>
      </c>
      <c r="E1851" s="1" t="str">
        <f xml:space="preserve"> TEXT(FilmaxData[[#This Row],[Show_Date]],"DDD")</f>
        <v>Sun</v>
      </c>
      <c r="F1851" t="s">
        <v>16</v>
      </c>
      <c r="G1851" t="s">
        <v>12</v>
      </c>
      <c r="H1851">
        <v>2</v>
      </c>
      <c r="I1851">
        <v>25</v>
      </c>
      <c r="J1851" t="s">
        <v>13</v>
      </c>
      <c r="K1851" t="s">
        <v>27</v>
      </c>
      <c r="L1851">
        <v>50</v>
      </c>
    </row>
    <row r="1852" spans="1:12" x14ac:dyDescent="0.3">
      <c r="A1852">
        <v>8</v>
      </c>
      <c r="B1852" t="s">
        <v>15</v>
      </c>
      <c r="C1852" s="1">
        <v>45855</v>
      </c>
      <c r="D1852" s="1" t="str">
        <f xml:space="preserve"> TEXT(FilmaxData[[#This Row],[Show_Date]],"MMM")</f>
        <v>Jul</v>
      </c>
      <c r="E1852" s="1" t="str">
        <f xml:space="preserve"> TEXT(FilmaxData[[#This Row],[Show_Date]],"DDD")</f>
        <v>Thu</v>
      </c>
      <c r="F1852" t="s">
        <v>11</v>
      </c>
      <c r="G1852" t="s">
        <v>30</v>
      </c>
      <c r="H1852">
        <v>1</v>
      </c>
      <c r="I1852">
        <v>8</v>
      </c>
      <c r="J1852" t="s">
        <v>21</v>
      </c>
      <c r="K1852" t="s">
        <v>18</v>
      </c>
      <c r="L1852">
        <v>8</v>
      </c>
    </row>
    <row r="1853" spans="1:12" x14ac:dyDescent="0.3">
      <c r="A1853">
        <v>411</v>
      </c>
      <c r="B1853" t="s">
        <v>32</v>
      </c>
      <c r="C1853" s="1">
        <v>45856</v>
      </c>
      <c r="D1853" s="1" t="str">
        <f xml:space="preserve"> TEXT(FilmaxData[[#This Row],[Show_Date]],"MMM")</f>
        <v>Jul</v>
      </c>
      <c r="E1853" s="1" t="str">
        <f xml:space="preserve"> TEXT(FilmaxData[[#This Row],[Show_Date]],"DDD")</f>
        <v>Fri</v>
      </c>
      <c r="F1853" t="s">
        <v>11</v>
      </c>
      <c r="G1853" t="s">
        <v>30</v>
      </c>
      <c r="H1853">
        <v>1</v>
      </c>
      <c r="I1853">
        <v>8</v>
      </c>
      <c r="J1853" t="s">
        <v>13</v>
      </c>
      <c r="K1853" t="s">
        <v>14</v>
      </c>
      <c r="L1853">
        <v>8</v>
      </c>
    </row>
    <row r="1854" spans="1:12" x14ac:dyDescent="0.3">
      <c r="A1854">
        <v>91</v>
      </c>
      <c r="B1854" t="s">
        <v>19</v>
      </c>
      <c r="C1854" s="1">
        <v>45913</v>
      </c>
      <c r="D1854" s="1" t="str">
        <f xml:space="preserve"> TEXT(FilmaxData[[#This Row],[Show_Date]],"MMM")</f>
        <v>Sep</v>
      </c>
      <c r="E1854" s="1" t="str">
        <f xml:space="preserve"> TEXT(FilmaxData[[#This Row],[Show_Date]],"DDD")</f>
        <v>Sat</v>
      </c>
      <c r="F1854" t="s">
        <v>20</v>
      </c>
      <c r="G1854" t="s">
        <v>30</v>
      </c>
      <c r="H1854">
        <v>5</v>
      </c>
      <c r="I1854">
        <v>8</v>
      </c>
      <c r="J1854" t="s">
        <v>13</v>
      </c>
      <c r="K1854" t="s">
        <v>14</v>
      </c>
      <c r="L1854">
        <v>40</v>
      </c>
    </row>
    <row r="1855" spans="1:12" x14ac:dyDescent="0.3">
      <c r="A1855">
        <v>995</v>
      </c>
      <c r="B1855" t="s">
        <v>31</v>
      </c>
      <c r="C1855" s="1">
        <v>45872</v>
      </c>
      <c r="D1855" s="1" t="str">
        <f xml:space="preserve"> TEXT(FilmaxData[[#This Row],[Show_Date]],"MMM")</f>
        <v>Aug</v>
      </c>
      <c r="E1855" s="1" t="str">
        <f xml:space="preserve"> TEXT(FilmaxData[[#This Row],[Show_Date]],"DDD")</f>
        <v>Sun</v>
      </c>
      <c r="F1855" t="s">
        <v>20</v>
      </c>
      <c r="G1855" t="s">
        <v>17</v>
      </c>
      <c r="H1855">
        <v>1</v>
      </c>
      <c r="I1855">
        <v>12</v>
      </c>
      <c r="J1855" t="s">
        <v>13</v>
      </c>
      <c r="K1855" t="s">
        <v>18</v>
      </c>
      <c r="L1855">
        <v>12</v>
      </c>
    </row>
    <row r="1856" spans="1:12" x14ac:dyDescent="0.3">
      <c r="A1856">
        <v>221</v>
      </c>
      <c r="B1856" t="s">
        <v>32</v>
      </c>
      <c r="C1856" s="1">
        <v>45857</v>
      </c>
      <c r="D1856" s="1" t="str">
        <f xml:space="preserve"> TEXT(FilmaxData[[#This Row],[Show_Date]],"MMM")</f>
        <v>Jul</v>
      </c>
      <c r="E1856" s="1" t="str">
        <f xml:space="preserve"> TEXT(FilmaxData[[#This Row],[Show_Date]],"DDD")</f>
        <v>Sat</v>
      </c>
      <c r="F1856" t="s">
        <v>16</v>
      </c>
      <c r="G1856" t="s">
        <v>30</v>
      </c>
      <c r="H1856">
        <v>1</v>
      </c>
      <c r="I1856">
        <v>8</v>
      </c>
      <c r="J1856" t="s">
        <v>23</v>
      </c>
      <c r="K1856" t="s">
        <v>27</v>
      </c>
      <c r="L1856">
        <v>8</v>
      </c>
    </row>
    <row r="1857" spans="1:12" x14ac:dyDescent="0.3">
      <c r="A1857">
        <v>197</v>
      </c>
      <c r="B1857" t="s">
        <v>26</v>
      </c>
      <c r="C1857" s="1">
        <v>45922</v>
      </c>
      <c r="D1857" s="1" t="str">
        <f xml:space="preserve"> TEXT(FilmaxData[[#This Row],[Show_Date]],"MMM")</f>
        <v>Sep</v>
      </c>
      <c r="E1857" s="1" t="str">
        <f xml:space="preserve"> TEXT(FilmaxData[[#This Row],[Show_Date]],"DDD")</f>
        <v>Mon</v>
      </c>
      <c r="F1857" t="s">
        <v>11</v>
      </c>
      <c r="G1857" t="s">
        <v>17</v>
      </c>
      <c r="H1857">
        <v>5</v>
      </c>
      <c r="I1857">
        <v>12</v>
      </c>
      <c r="J1857" t="s">
        <v>23</v>
      </c>
      <c r="K1857" t="s">
        <v>25</v>
      </c>
      <c r="L1857">
        <v>60</v>
      </c>
    </row>
    <row r="1858" spans="1:12" x14ac:dyDescent="0.3">
      <c r="A1858">
        <v>1939</v>
      </c>
      <c r="B1858" t="s">
        <v>26</v>
      </c>
      <c r="C1858" s="1">
        <v>45857</v>
      </c>
      <c r="D1858" s="1" t="str">
        <f xml:space="preserve"> TEXT(FilmaxData[[#This Row],[Show_Date]],"MMM")</f>
        <v>Jul</v>
      </c>
      <c r="E1858" s="1" t="str">
        <f xml:space="preserve"> TEXT(FilmaxData[[#This Row],[Show_Date]],"DDD")</f>
        <v>Sat</v>
      </c>
      <c r="F1858" t="s">
        <v>33</v>
      </c>
      <c r="G1858" t="s">
        <v>17</v>
      </c>
      <c r="H1858">
        <v>5</v>
      </c>
      <c r="I1858">
        <v>12</v>
      </c>
      <c r="J1858" t="s">
        <v>13</v>
      </c>
      <c r="K1858" t="s">
        <v>25</v>
      </c>
      <c r="L1858">
        <v>60</v>
      </c>
    </row>
    <row r="1859" spans="1:12" x14ac:dyDescent="0.3">
      <c r="A1859">
        <v>1462</v>
      </c>
      <c r="B1859" t="s">
        <v>15</v>
      </c>
      <c r="C1859" s="1">
        <v>45854</v>
      </c>
      <c r="D1859" s="1" t="str">
        <f xml:space="preserve"> TEXT(FilmaxData[[#This Row],[Show_Date]],"MMM")</f>
        <v>Jul</v>
      </c>
      <c r="E1859" s="1" t="str">
        <f xml:space="preserve"> TEXT(FilmaxData[[#This Row],[Show_Date]],"DDD")</f>
        <v>Wed</v>
      </c>
      <c r="F1859" t="s">
        <v>33</v>
      </c>
      <c r="G1859" t="s">
        <v>17</v>
      </c>
      <c r="H1859">
        <v>5</v>
      </c>
      <c r="I1859">
        <v>12</v>
      </c>
      <c r="J1859" t="s">
        <v>23</v>
      </c>
      <c r="K1859" t="s">
        <v>18</v>
      </c>
      <c r="L1859">
        <v>60</v>
      </c>
    </row>
    <row r="1860" spans="1:12" x14ac:dyDescent="0.3">
      <c r="A1860">
        <v>1908</v>
      </c>
      <c r="B1860" t="s">
        <v>24</v>
      </c>
      <c r="C1860" s="1">
        <v>45862</v>
      </c>
      <c r="D1860" s="1" t="str">
        <f xml:space="preserve"> TEXT(FilmaxData[[#This Row],[Show_Date]],"MMM")</f>
        <v>Jul</v>
      </c>
      <c r="E1860" s="1" t="str">
        <f xml:space="preserve"> TEXT(FilmaxData[[#This Row],[Show_Date]],"DDD")</f>
        <v>Thu</v>
      </c>
      <c r="F1860" t="s">
        <v>11</v>
      </c>
      <c r="G1860" t="s">
        <v>17</v>
      </c>
      <c r="H1860">
        <v>4</v>
      </c>
      <c r="I1860">
        <v>12</v>
      </c>
      <c r="J1860" t="s">
        <v>21</v>
      </c>
      <c r="K1860" t="s">
        <v>25</v>
      </c>
      <c r="L1860">
        <v>48</v>
      </c>
    </row>
    <row r="1861" spans="1:12" x14ac:dyDescent="0.3">
      <c r="A1861">
        <v>589</v>
      </c>
      <c r="B1861" t="s">
        <v>31</v>
      </c>
      <c r="C1861" s="1">
        <v>45872</v>
      </c>
      <c r="D1861" s="1" t="str">
        <f xml:space="preserve"> TEXT(FilmaxData[[#This Row],[Show_Date]],"MMM")</f>
        <v>Aug</v>
      </c>
      <c r="E1861" s="1" t="str">
        <f xml:space="preserve"> TEXT(FilmaxData[[#This Row],[Show_Date]],"DDD")</f>
        <v>Sun</v>
      </c>
      <c r="F1861" t="s">
        <v>20</v>
      </c>
      <c r="G1861" t="s">
        <v>17</v>
      </c>
      <c r="H1861">
        <v>4</v>
      </c>
      <c r="I1861">
        <v>12</v>
      </c>
      <c r="J1861" t="s">
        <v>21</v>
      </c>
      <c r="K1861" t="s">
        <v>25</v>
      </c>
      <c r="L1861">
        <v>48</v>
      </c>
    </row>
    <row r="1862" spans="1:12" x14ac:dyDescent="0.3">
      <c r="A1862">
        <v>362</v>
      </c>
      <c r="B1862" t="s">
        <v>24</v>
      </c>
      <c r="C1862" s="1">
        <v>45894</v>
      </c>
      <c r="D1862" s="1" t="str">
        <f xml:space="preserve"> TEXT(FilmaxData[[#This Row],[Show_Date]],"MMM")</f>
        <v>Aug</v>
      </c>
      <c r="E1862" s="1" t="str">
        <f xml:space="preserve"> TEXT(FilmaxData[[#This Row],[Show_Date]],"DDD")</f>
        <v>Mon</v>
      </c>
      <c r="F1862" t="s">
        <v>20</v>
      </c>
      <c r="G1862" t="s">
        <v>17</v>
      </c>
      <c r="H1862">
        <v>4</v>
      </c>
      <c r="I1862">
        <v>12</v>
      </c>
      <c r="J1862" t="s">
        <v>23</v>
      </c>
      <c r="K1862" t="s">
        <v>27</v>
      </c>
      <c r="L1862">
        <v>48</v>
      </c>
    </row>
    <row r="1863" spans="1:12" x14ac:dyDescent="0.3">
      <c r="A1863">
        <v>297</v>
      </c>
      <c r="B1863" t="s">
        <v>10</v>
      </c>
      <c r="C1863" s="1">
        <v>45867</v>
      </c>
      <c r="D1863" s="1" t="str">
        <f xml:space="preserve"> TEXT(FilmaxData[[#This Row],[Show_Date]],"MMM")</f>
        <v>Jul</v>
      </c>
      <c r="E1863" s="1" t="str">
        <f xml:space="preserve"> TEXT(FilmaxData[[#This Row],[Show_Date]],"DDD")</f>
        <v>Tue</v>
      </c>
      <c r="F1863" t="s">
        <v>33</v>
      </c>
      <c r="G1863" t="s">
        <v>17</v>
      </c>
      <c r="H1863">
        <v>5</v>
      </c>
      <c r="I1863">
        <v>12</v>
      </c>
      <c r="J1863" t="s">
        <v>23</v>
      </c>
      <c r="K1863" t="s">
        <v>14</v>
      </c>
      <c r="L1863">
        <v>60</v>
      </c>
    </row>
    <row r="1864" spans="1:12" x14ac:dyDescent="0.3">
      <c r="A1864">
        <v>1525</v>
      </c>
      <c r="B1864" t="s">
        <v>15</v>
      </c>
      <c r="C1864" s="1">
        <v>45857</v>
      </c>
      <c r="D1864" s="1" t="str">
        <f xml:space="preserve"> TEXT(FilmaxData[[#This Row],[Show_Date]],"MMM")</f>
        <v>Jul</v>
      </c>
      <c r="E1864" s="1" t="str">
        <f xml:space="preserve"> TEXT(FilmaxData[[#This Row],[Show_Date]],"DDD")</f>
        <v>Sat</v>
      </c>
      <c r="F1864" t="s">
        <v>11</v>
      </c>
      <c r="G1864" t="s">
        <v>17</v>
      </c>
      <c r="H1864">
        <v>2</v>
      </c>
      <c r="I1864">
        <v>12</v>
      </c>
      <c r="J1864" t="s">
        <v>13</v>
      </c>
      <c r="K1864" t="s">
        <v>18</v>
      </c>
      <c r="L1864">
        <v>24</v>
      </c>
    </row>
    <row r="1865" spans="1:12" x14ac:dyDescent="0.3">
      <c r="A1865">
        <v>1982</v>
      </c>
      <c r="B1865" t="s">
        <v>31</v>
      </c>
      <c r="C1865" s="1">
        <v>45892</v>
      </c>
      <c r="D1865" s="1" t="str">
        <f xml:space="preserve"> TEXT(FilmaxData[[#This Row],[Show_Date]],"MMM")</f>
        <v>Aug</v>
      </c>
      <c r="E1865" s="1" t="str">
        <f xml:space="preserve"> TEXT(FilmaxData[[#This Row],[Show_Date]],"DDD")</f>
        <v>Sat</v>
      </c>
      <c r="F1865" t="s">
        <v>33</v>
      </c>
      <c r="G1865" t="s">
        <v>22</v>
      </c>
      <c r="H1865">
        <v>3</v>
      </c>
      <c r="I1865">
        <v>20</v>
      </c>
      <c r="J1865" t="s">
        <v>13</v>
      </c>
      <c r="K1865" t="s">
        <v>14</v>
      </c>
      <c r="L1865">
        <v>60</v>
      </c>
    </row>
    <row r="1866" spans="1:12" x14ac:dyDescent="0.3">
      <c r="A1866">
        <v>1405</v>
      </c>
      <c r="B1866" t="s">
        <v>26</v>
      </c>
      <c r="C1866" s="1">
        <v>45865</v>
      </c>
      <c r="D1866" s="1" t="str">
        <f xml:space="preserve"> TEXT(FilmaxData[[#This Row],[Show_Date]],"MMM")</f>
        <v>Jul</v>
      </c>
      <c r="E1866" s="1" t="str">
        <f xml:space="preserve"> TEXT(FilmaxData[[#This Row],[Show_Date]],"DDD")</f>
        <v>Sun</v>
      </c>
      <c r="F1866" t="s">
        <v>33</v>
      </c>
      <c r="G1866" t="s">
        <v>30</v>
      </c>
      <c r="H1866">
        <v>1</v>
      </c>
      <c r="I1866">
        <v>8</v>
      </c>
      <c r="J1866" t="s">
        <v>13</v>
      </c>
      <c r="K1866" t="s">
        <v>25</v>
      </c>
      <c r="L1866">
        <v>8</v>
      </c>
    </row>
    <row r="1867" spans="1:12" x14ac:dyDescent="0.3">
      <c r="A1867">
        <v>1799</v>
      </c>
      <c r="B1867" t="s">
        <v>28</v>
      </c>
      <c r="C1867" s="1">
        <v>45844</v>
      </c>
      <c r="D1867" s="1" t="str">
        <f xml:space="preserve"> TEXT(FilmaxData[[#This Row],[Show_Date]],"MMM")</f>
        <v>Jul</v>
      </c>
      <c r="E1867" s="1" t="str">
        <f xml:space="preserve"> TEXT(FilmaxData[[#This Row],[Show_Date]],"DDD")</f>
        <v>Sun</v>
      </c>
      <c r="F1867" t="s">
        <v>33</v>
      </c>
      <c r="G1867" t="s">
        <v>17</v>
      </c>
      <c r="H1867">
        <v>2</v>
      </c>
      <c r="I1867">
        <v>12</v>
      </c>
      <c r="J1867" t="s">
        <v>21</v>
      </c>
      <c r="K1867" t="s">
        <v>14</v>
      </c>
      <c r="L1867">
        <v>24</v>
      </c>
    </row>
    <row r="1868" spans="1:12" x14ac:dyDescent="0.3">
      <c r="A1868">
        <v>299</v>
      </c>
      <c r="B1868" t="s">
        <v>15</v>
      </c>
      <c r="C1868" s="1">
        <v>45866</v>
      </c>
      <c r="D1868" s="1" t="str">
        <f xml:space="preserve"> TEXT(FilmaxData[[#This Row],[Show_Date]],"MMM")</f>
        <v>Jul</v>
      </c>
      <c r="E1868" s="1" t="str">
        <f xml:space="preserve"> TEXT(FilmaxData[[#This Row],[Show_Date]],"DDD")</f>
        <v>Mon</v>
      </c>
      <c r="F1868" t="s">
        <v>11</v>
      </c>
      <c r="G1868" t="s">
        <v>17</v>
      </c>
      <c r="H1868">
        <v>5</v>
      </c>
      <c r="I1868">
        <v>12</v>
      </c>
      <c r="J1868" t="s">
        <v>21</v>
      </c>
      <c r="K1868" t="s">
        <v>18</v>
      </c>
      <c r="L1868">
        <v>60</v>
      </c>
    </row>
    <row r="1869" spans="1:12" x14ac:dyDescent="0.3">
      <c r="A1869">
        <v>1146</v>
      </c>
      <c r="B1869" t="s">
        <v>10</v>
      </c>
      <c r="C1869" s="1">
        <v>45847</v>
      </c>
      <c r="D1869" s="1" t="str">
        <f xml:space="preserve"> TEXT(FilmaxData[[#This Row],[Show_Date]],"MMM")</f>
        <v>Jul</v>
      </c>
      <c r="E1869" s="1" t="str">
        <f xml:space="preserve"> TEXT(FilmaxData[[#This Row],[Show_Date]],"DDD")</f>
        <v>Wed</v>
      </c>
      <c r="F1869" t="s">
        <v>16</v>
      </c>
      <c r="G1869" t="s">
        <v>17</v>
      </c>
      <c r="H1869">
        <v>4</v>
      </c>
      <c r="I1869">
        <v>12</v>
      </c>
      <c r="J1869" t="s">
        <v>21</v>
      </c>
      <c r="K1869" t="s">
        <v>25</v>
      </c>
      <c r="L1869">
        <v>48</v>
      </c>
    </row>
    <row r="1870" spans="1:12" x14ac:dyDescent="0.3">
      <c r="A1870">
        <v>1787</v>
      </c>
      <c r="B1870" t="s">
        <v>31</v>
      </c>
      <c r="C1870" s="1">
        <v>45907</v>
      </c>
      <c r="D1870" s="1" t="str">
        <f xml:space="preserve"> TEXT(FilmaxData[[#This Row],[Show_Date]],"MMM")</f>
        <v>Sep</v>
      </c>
      <c r="E1870" s="1" t="str">
        <f xml:space="preserve"> TEXT(FilmaxData[[#This Row],[Show_Date]],"DDD")</f>
        <v>Sun</v>
      </c>
      <c r="F1870" t="s">
        <v>11</v>
      </c>
      <c r="G1870" t="s">
        <v>12</v>
      </c>
      <c r="H1870">
        <v>2</v>
      </c>
      <c r="I1870">
        <v>25</v>
      </c>
      <c r="J1870" t="s">
        <v>23</v>
      </c>
      <c r="K1870" t="s">
        <v>25</v>
      </c>
      <c r="L1870">
        <v>50</v>
      </c>
    </row>
    <row r="1871" spans="1:12" x14ac:dyDescent="0.3">
      <c r="A1871">
        <v>259</v>
      </c>
      <c r="B1871" t="s">
        <v>19</v>
      </c>
      <c r="C1871" s="1">
        <v>45891</v>
      </c>
      <c r="D1871" s="1" t="str">
        <f xml:space="preserve"> TEXT(FilmaxData[[#This Row],[Show_Date]],"MMM")</f>
        <v>Aug</v>
      </c>
      <c r="E1871" s="1" t="str">
        <f xml:space="preserve"> TEXT(FilmaxData[[#This Row],[Show_Date]],"DDD")</f>
        <v>Fri</v>
      </c>
      <c r="F1871" t="s">
        <v>16</v>
      </c>
      <c r="G1871" t="s">
        <v>17</v>
      </c>
      <c r="H1871">
        <v>4</v>
      </c>
      <c r="I1871">
        <v>12</v>
      </c>
      <c r="J1871" t="s">
        <v>21</v>
      </c>
      <c r="K1871" t="s">
        <v>25</v>
      </c>
      <c r="L1871">
        <v>48</v>
      </c>
    </row>
    <row r="1872" spans="1:12" x14ac:dyDescent="0.3">
      <c r="A1872">
        <v>1694</v>
      </c>
      <c r="B1872" t="s">
        <v>28</v>
      </c>
      <c r="C1872" s="1">
        <v>45910</v>
      </c>
      <c r="D1872" s="1" t="str">
        <f xml:space="preserve"> TEXT(FilmaxData[[#This Row],[Show_Date]],"MMM")</f>
        <v>Sep</v>
      </c>
      <c r="E1872" s="1" t="str">
        <f xml:space="preserve"> TEXT(FilmaxData[[#This Row],[Show_Date]],"DDD")</f>
        <v>Wed</v>
      </c>
      <c r="F1872" t="s">
        <v>16</v>
      </c>
      <c r="G1872" t="s">
        <v>17</v>
      </c>
      <c r="H1872">
        <v>5</v>
      </c>
      <c r="I1872">
        <v>12</v>
      </c>
      <c r="J1872" t="s">
        <v>23</v>
      </c>
      <c r="K1872" t="s">
        <v>14</v>
      </c>
      <c r="L1872">
        <v>60</v>
      </c>
    </row>
    <row r="1873" spans="1:12" x14ac:dyDescent="0.3">
      <c r="A1873">
        <v>1139</v>
      </c>
      <c r="B1873" t="s">
        <v>31</v>
      </c>
      <c r="C1873" s="1">
        <v>45854</v>
      </c>
      <c r="D1873" s="1" t="str">
        <f xml:space="preserve"> TEXT(FilmaxData[[#This Row],[Show_Date]],"MMM")</f>
        <v>Jul</v>
      </c>
      <c r="E1873" s="1" t="str">
        <f xml:space="preserve"> TEXT(FilmaxData[[#This Row],[Show_Date]],"DDD")</f>
        <v>Wed</v>
      </c>
      <c r="F1873" t="s">
        <v>33</v>
      </c>
      <c r="G1873" t="s">
        <v>12</v>
      </c>
      <c r="H1873">
        <v>1</v>
      </c>
      <c r="I1873">
        <v>25</v>
      </c>
      <c r="J1873" t="s">
        <v>23</v>
      </c>
      <c r="K1873" t="s">
        <v>14</v>
      </c>
      <c r="L1873">
        <v>25</v>
      </c>
    </row>
    <row r="1874" spans="1:12" x14ac:dyDescent="0.3">
      <c r="A1874">
        <v>734</v>
      </c>
      <c r="B1874" t="s">
        <v>19</v>
      </c>
      <c r="C1874" s="1">
        <v>45928</v>
      </c>
      <c r="D1874" s="1" t="str">
        <f xml:space="preserve"> TEXT(FilmaxData[[#This Row],[Show_Date]],"MMM")</f>
        <v>Sep</v>
      </c>
      <c r="E1874" s="1" t="str">
        <f xml:space="preserve"> TEXT(FilmaxData[[#This Row],[Show_Date]],"DDD")</f>
        <v>Sun</v>
      </c>
      <c r="F1874" t="s">
        <v>16</v>
      </c>
      <c r="G1874" t="s">
        <v>29</v>
      </c>
      <c r="H1874">
        <v>2</v>
      </c>
      <c r="I1874">
        <v>30</v>
      </c>
      <c r="J1874" t="s">
        <v>13</v>
      </c>
      <c r="K1874" t="s">
        <v>18</v>
      </c>
      <c r="L1874">
        <v>60</v>
      </c>
    </row>
    <row r="1875" spans="1:12" x14ac:dyDescent="0.3">
      <c r="A1875">
        <v>987</v>
      </c>
      <c r="B1875" t="s">
        <v>31</v>
      </c>
      <c r="C1875" s="1">
        <v>45887</v>
      </c>
      <c r="D1875" s="1" t="str">
        <f xml:space="preserve"> TEXT(FilmaxData[[#This Row],[Show_Date]],"MMM")</f>
        <v>Aug</v>
      </c>
      <c r="E1875" s="1" t="str">
        <f xml:space="preserve"> TEXT(FilmaxData[[#This Row],[Show_Date]],"DDD")</f>
        <v>Mon</v>
      </c>
      <c r="F1875" t="s">
        <v>20</v>
      </c>
      <c r="G1875" t="s">
        <v>17</v>
      </c>
      <c r="H1875">
        <v>3</v>
      </c>
      <c r="I1875">
        <v>12</v>
      </c>
      <c r="J1875" t="s">
        <v>13</v>
      </c>
      <c r="K1875" t="s">
        <v>25</v>
      </c>
      <c r="L1875">
        <v>36</v>
      </c>
    </row>
    <row r="1876" spans="1:12" x14ac:dyDescent="0.3">
      <c r="A1876">
        <v>1317</v>
      </c>
      <c r="B1876" t="s">
        <v>26</v>
      </c>
      <c r="C1876" s="1">
        <v>45914</v>
      </c>
      <c r="D1876" s="1" t="str">
        <f xml:space="preserve"> TEXT(FilmaxData[[#This Row],[Show_Date]],"MMM")</f>
        <v>Sep</v>
      </c>
      <c r="E1876" s="1" t="str">
        <f xml:space="preserve"> TEXT(FilmaxData[[#This Row],[Show_Date]],"DDD")</f>
        <v>Sun</v>
      </c>
      <c r="F1876" t="s">
        <v>16</v>
      </c>
      <c r="G1876" t="s">
        <v>17</v>
      </c>
      <c r="H1876">
        <v>5</v>
      </c>
      <c r="I1876">
        <v>12</v>
      </c>
      <c r="J1876" t="s">
        <v>21</v>
      </c>
      <c r="K1876" t="s">
        <v>25</v>
      </c>
      <c r="L1876">
        <v>60</v>
      </c>
    </row>
    <row r="1877" spans="1:12" x14ac:dyDescent="0.3">
      <c r="A1877">
        <v>1690</v>
      </c>
      <c r="B1877" t="s">
        <v>31</v>
      </c>
      <c r="C1877" s="1">
        <v>45886</v>
      </c>
      <c r="D1877" s="1" t="str">
        <f xml:space="preserve"> TEXT(FilmaxData[[#This Row],[Show_Date]],"MMM")</f>
        <v>Aug</v>
      </c>
      <c r="E1877" s="1" t="str">
        <f xml:space="preserve"> TEXT(FilmaxData[[#This Row],[Show_Date]],"DDD")</f>
        <v>Sun</v>
      </c>
      <c r="F1877" t="s">
        <v>16</v>
      </c>
      <c r="G1877" t="s">
        <v>17</v>
      </c>
      <c r="H1877">
        <v>2</v>
      </c>
      <c r="I1877">
        <v>12</v>
      </c>
      <c r="J1877" t="s">
        <v>21</v>
      </c>
      <c r="K1877" t="s">
        <v>14</v>
      </c>
      <c r="L1877">
        <v>24</v>
      </c>
    </row>
    <row r="1878" spans="1:12" x14ac:dyDescent="0.3">
      <c r="A1878">
        <v>1235</v>
      </c>
      <c r="B1878" t="s">
        <v>26</v>
      </c>
      <c r="C1878" s="1">
        <v>45890</v>
      </c>
      <c r="D1878" s="1" t="str">
        <f xml:space="preserve"> TEXT(FilmaxData[[#This Row],[Show_Date]],"MMM")</f>
        <v>Aug</v>
      </c>
      <c r="E1878" s="1" t="str">
        <f xml:space="preserve"> TEXT(FilmaxData[[#This Row],[Show_Date]],"DDD")</f>
        <v>Thu</v>
      </c>
      <c r="F1878" t="s">
        <v>20</v>
      </c>
      <c r="G1878" t="s">
        <v>17</v>
      </c>
      <c r="H1878">
        <v>2</v>
      </c>
      <c r="I1878">
        <v>12</v>
      </c>
      <c r="J1878" t="s">
        <v>21</v>
      </c>
      <c r="K1878" t="s">
        <v>27</v>
      </c>
      <c r="L1878">
        <v>24</v>
      </c>
    </row>
    <row r="1879" spans="1:12" x14ac:dyDescent="0.3">
      <c r="A1879">
        <v>410</v>
      </c>
      <c r="B1879" t="s">
        <v>10</v>
      </c>
      <c r="C1879" s="1">
        <v>45928</v>
      </c>
      <c r="D1879" s="1" t="str">
        <f xml:space="preserve"> TEXT(FilmaxData[[#This Row],[Show_Date]],"MMM")</f>
        <v>Sep</v>
      </c>
      <c r="E1879" s="1" t="str">
        <f xml:space="preserve"> TEXT(FilmaxData[[#This Row],[Show_Date]],"DDD")</f>
        <v>Sun</v>
      </c>
      <c r="F1879" t="s">
        <v>16</v>
      </c>
      <c r="G1879" t="s">
        <v>17</v>
      </c>
      <c r="H1879">
        <v>2</v>
      </c>
      <c r="I1879">
        <v>12</v>
      </c>
      <c r="J1879" t="s">
        <v>13</v>
      </c>
      <c r="K1879" t="s">
        <v>18</v>
      </c>
      <c r="L1879">
        <v>24</v>
      </c>
    </row>
    <row r="1880" spans="1:12" x14ac:dyDescent="0.3">
      <c r="A1880">
        <v>1565</v>
      </c>
      <c r="B1880" t="s">
        <v>32</v>
      </c>
      <c r="C1880" s="1">
        <v>45879</v>
      </c>
      <c r="D1880" s="1" t="str">
        <f xml:space="preserve"> TEXT(FilmaxData[[#This Row],[Show_Date]],"MMM")</f>
        <v>Aug</v>
      </c>
      <c r="E1880" s="1" t="str">
        <f xml:space="preserve"> TEXT(FilmaxData[[#This Row],[Show_Date]],"DDD")</f>
        <v>Sun</v>
      </c>
      <c r="F1880" t="s">
        <v>33</v>
      </c>
      <c r="G1880" t="s">
        <v>17</v>
      </c>
      <c r="H1880">
        <v>2</v>
      </c>
      <c r="I1880">
        <v>12</v>
      </c>
      <c r="J1880" t="s">
        <v>21</v>
      </c>
      <c r="K1880" t="s">
        <v>27</v>
      </c>
      <c r="L1880">
        <v>24</v>
      </c>
    </row>
    <row r="1881" spans="1:12" x14ac:dyDescent="0.3">
      <c r="A1881">
        <v>670</v>
      </c>
      <c r="B1881" t="s">
        <v>28</v>
      </c>
      <c r="C1881" s="1">
        <v>45879</v>
      </c>
      <c r="D1881" s="1" t="str">
        <f xml:space="preserve"> TEXT(FilmaxData[[#This Row],[Show_Date]],"MMM")</f>
        <v>Aug</v>
      </c>
      <c r="E1881" s="1" t="str">
        <f xml:space="preserve"> TEXT(FilmaxData[[#This Row],[Show_Date]],"DDD")</f>
        <v>Sun</v>
      </c>
      <c r="F1881" t="s">
        <v>11</v>
      </c>
      <c r="G1881" t="s">
        <v>17</v>
      </c>
      <c r="H1881">
        <v>1</v>
      </c>
      <c r="I1881">
        <v>12</v>
      </c>
      <c r="J1881" t="s">
        <v>21</v>
      </c>
      <c r="K1881" t="s">
        <v>27</v>
      </c>
      <c r="L1881">
        <v>12</v>
      </c>
    </row>
    <row r="1882" spans="1:12" x14ac:dyDescent="0.3">
      <c r="A1882">
        <v>510</v>
      </c>
      <c r="B1882" t="s">
        <v>26</v>
      </c>
      <c r="C1882" s="1">
        <v>45879</v>
      </c>
      <c r="D1882" s="1" t="str">
        <f xml:space="preserve"> TEXT(FilmaxData[[#This Row],[Show_Date]],"MMM")</f>
        <v>Aug</v>
      </c>
      <c r="E1882" s="1" t="str">
        <f xml:space="preserve"> TEXT(FilmaxData[[#This Row],[Show_Date]],"DDD")</f>
        <v>Sun</v>
      </c>
      <c r="F1882" t="s">
        <v>16</v>
      </c>
      <c r="G1882" t="s">
        <v>22</v>
      </c>
      <c r="H1882">
        <v>2</v>
      </c>
      <c r="I1882">
        <v>20</v>
      </c>
      <c r="J1882" t="s">
        <v>21</v>
      </c>
      <c r="K1882" t="s">
        <v>18</v>
      </c>
      <c r="L1882">
        <v>40</v>
      </c>
    </row>
    <row r="1883" spans="1:12" x14ac:dyDescent="0.3">
      <c r="A1883">
        <v>55</v>
      </c>
      <c r="B1883" t="s">
        <v>28</v>
      </c>
      <c r="C1883" s="1">
        <v>45871</v>
      </c>
      <c r="D1883" s="1" t="str">
        <f xml:space="preserve"> TEXT(FilmaxData[[#This Row],[Show_Date]],"MMM")</f>
        <v>Aug</v>
      </c>
      <c r="E1883" s="1" t="str">
        <f xml:space="preserve"> TEXT(FilmaxData[[#This Row],[Show_Date]],"DDD")</f>
        <v>Sat</v>
      </c>
      <c r="F1883" t="s">
        <v>11</v>
      </c>
      <c r="G1883" t="s">
        <v>22</v>
      </c>
      <c r="H1883">
        <v>5</v>
      </c>
      <c r="I1883">
        <v>20</v>
      </c>
      <c r="J1883" t="s">
        <v>13</v>
      </c>
      <c r="K1883" t="s">
        <v>18</v>
      </c>
      <c r="L1883">
        <v>100</v>
      </c>
    </row>
    <row r="1884" spans="1:12" x14ac:dyDescent="0.3">
      <c r="A1884">
        <v>133</v>
      </c>
      <c r="B1884" t="s">
        <v>24</v>
      </c>
      <c r="C1884" s="1">
        <v>45878</v>
      </c>
      <c r="D1884" s="1" t="str">
        <f xml:space="preserve"> TEXT(FilmaxData[[#This Row],[Show_Date]],"MMM")</f>
        <v>Aug</v>
      </c>
      <c r="E1884" s="1" t="str">
        <f xml:space="preserve"> TEXT(FilmaxData[[#This Row],[Show_Date]],"DDD")</f>
        <v>Sat</v>
      </c>
      <c r="F1884" t="s">
        <v>20</v>
      </c>
      <c r="G1884" t="s">
        <v>12</v>
      </c>
      <c r="H1884">
        <v>4</v>
      </c>
      <c r="I1884">
        <v>25</v>
      </c>
      <c r="J1884" t="s">
        <v>23</v>
      </c>
      <c r="K1884" t="s">
        <v>27</v>
      </c>
      <c r="L1884">
        <v>100</v>
      </c>
    </row>
    <row r="1885" spans="1:12" x14ac:dyDescent="0.3">
      <c r="A1885">
        <v>1836</v>
      </c>
      <c r="B1885" t="s">
        <v>26</v>
      </c>
      <c r="C1885" s="1">
        <v>45886</v>
      </c>
      <c r="D1885" s="1" t="str">
        <f xml:space="preserve"> TEXT(FilmaxData[[#This Row],[Show_Date]],"MMM")</f>
        <v>Aug</v>
      </c>
      <c r="E1885" s="1" t="str">
        <f xml:space="preserve"> TEXT(FilmaxData[[#This Row],[Show_Date]],"DDD")</f>
        <v>Sun</v>
      </c>
      <c r="F1885" t="s">
        <v>20</v>
      </c>
      <c r="G1885" t="s">
        <v>17</v>
      </c>
      <c r="H1885">
        <v>3</v>
      </c>
      <c r="I1885">
        <v>12</v>
      </c>
      <c r="J1885" t="s">
        <v>13</v>
      </c>
      <c r="K1885" t="s">
        <v>18</v>
      </c>
      <c r="L1885">
        <v>36</v>
      </c>
    </row>
    <row r="1886" spans="1:12" x14ac:dyDescent="0.3">
      <c r="A1886">
        <v>1629</v>
      </c>
      <c r="B1886" t="s">
        <v>28</v>
      </c>
      <c r="C1886" s="1">
        <v>45845</v>
      </c>
      <c r="D1886" s="1" t="str">
        <f xml:space="preserve"> TEXT(FilmaxData[[#This Row],[Show_Date]],"MMM")</f>
        <v>Jul</v>
      </c>
      <c r="E1886" s="1" t="str">
        <f xml:space="preserve"> TEXT(FilmaxData[[#This Row],[Show_Date]],"DDD")</f>
        <v>Mon</v>
      </c>
      <c r="F1886" t="s">
        <v>16</v>
      </c>
      <c r="G1886" t="s">
        <v>30</v>
      </c>
      <c r="H1886">
        <v>1</v>
      </c>
      <c r="I1886">
        <v>8</v>
      </c>
      <c r="J1886" t="s">
        <v>23</v>
      </c>
      <c r="K1886" t="s">
        <v>25</v>
      </c>
      <c r="L1886">
        <v>8</v>
      </c>
    </row>
    <row r="1887" spans="1:12" x14ac:dyDescent="0.3">
      <c r="A1887">
        <v>1664</v>
      </c>
      <c r="B1887" t="s">
        <v>32</v>
      </c>
      <c r="C1887" s="1">
        <v>45885</v>
      </c>
      <c r="D1887" s="1" t="str">
        <f xml:space="preserve"> TEXT(FilmaxData[[#This Row],[Show_Date]],"MMM")</f>
        <v>Aug</v>
      </c>
      <c r="E1887" s="1" t="str">
        <f xml:space="preserve"> TEXT(FilmaxData[[#This Row],[Show_Date]],"DDD")</f>
        <v>Sat</v>
      </c>
      <c r="F1887" t="s">
        <v>33</v>
      </c>
      <c r="G1887" t="s">
        <v>17</v>
      </c>
      <c r="H1887">
        <v>1</v>
      </c>
      <c r="I1887">
        <v>12</v>
      </c>
      <c r="J1887" t="s">
        <v>23</v>
      </c>
      <c r="K1887" t="s">
        <v>25</v>
      </c>
      <c r="L1887">
        <v>12</v>
      </c>
    </row>
    <row r="1888" spans="1:12" x14ac:dyDescent="0.3">
      <c r="A1888">
        <v>836</v>
      </c>
      <c r="B1888" t="s">
        <v>31</v>
      </c>
      <c r="C1888" s="1">
        <v>45871</v>
      </c>
      <c r="D1888" s="1" t="str">
        <f xml:space="preserve"> TEXT(FilmaxData[[#This Row],[Show_Date]],"MMM")</f>
        <v>Aug</v>
      </c>
      <c r="E1888" s="1" t="str">
        <f xml:space="preserve"> TEXT(FilmaxData[[#This Row],[Show_Date]],"DDD")</f>
        <v>Sat</v>
      </c>
      <c r="F1888" t="s">
        <v>11</v>
      </c>
      <c r="G1888" t="s">
        <v>29</v>
      </c>
      <c r="H1888">
        <v>4</v>
      </c>
      <c r="I1888">
        <v>30</v>
      </c>
      <c r="J1888" t="s">
        <v>21</v>
      </c>
      <c r="K1888" t="s">
        <v>14</v>
      </c>
      <c r="L1888">
        <v>120</v>
      </c>
    </row>
    <row r="1889" spans="1:12" x14ac:dyDescent="0.3">
      <c r="A1889">
        <v>1447</v>
      </c>
      <c r="B1889" t="s">
        <v>19</v>
      </c>
      <c r="C1889" s="1">
        <v>45918</v>
      </c>
      <c r="D1889" s="1" t="str">
        <f xml:space="preserve"> TEXT(FilmaxData[[#This Row],[Show_Date]],"MMM")</f>
        <v>Sep</v>
      </c>
      <c r="E1889" s="1" t="str">
        <f xml:space="preserve"> TEXT(FilmaxData[[#This Row],[Show_Date]],"DDD")</f>
        <v>Thu</v>
      </c>
      <c r="F1889" t="s">
        <v>11</v>
      </c>
      <c r="G1889" t="s">
        <v>22</v>
      </c>
      <c r="H1889">
        <v>1</v>
      </c>
      <c r="I1889">
        <v>20</v>
      </c>
      <c r="J1889" t="s">
        <v>23</v>
      </c>
      <c r="K1889" t="s">
        <v>14</v>
      </c>
      <c r="L1889">
        <v>20</v>
      </c>
    </row>
    <row r="1890" spans="1:12" x14ac:dyDescent="0.3">
      <c r="A1890">
        <v>756</v>
      </c>
      <c r="B1890" t="s">
        <v>10</v>
      </c>
      <c r="C1890" s="1">
        <v>45886</v>
      </c>
      <c r="D1890" s="1" t="str">
        <f xml:space="preserve"> TEXT(FilmaxData[[#This Row],[Show_Date]],"MMM")</f>
        <v>Aug</v>
      </c>
      <c r="E1890" s="1" t="str">
        <f xml:space="preserve"> TEXT(FilmaxData[[#This Row],[Show_Date]],"DDD")</f>
        <v>Sun</v>
      </c>
      <c r="F1890" t="s">
        <v>11</v>
      </c>
      <c r="G1890" t="s">
        <v>17</v>
      </c>
      <c r="H1890">
        <v>2</v>
      </c>
      <c r="I1890">
        <v>12</v>
      </c>
      <c r="J1890" t="s">
        <v>21</v>
      </c>
      <c r="K1890" t="s">
        <v>14</v>
      </c>
      <c r="L1890">
        <v>24</v>
      </c>
    </row>
    <row r="1891" spans="1:12" x14ac:dyDescent="0.3">
      <c r="A1891">
        <v>1560</v>
      </c>
      <c r="B1891" t="s">
        <v>32</v>
      </c>
      <c r="C1891" s="1">
        <v>45850</v>
      </c>
      <c r="D1891" s="1" t="str">
        <f xml:space="preserve"> TEXT(FilmaxData[[#This Row],[Show_Date]],"MMM")</f>
        <v>Jul</v>
      </c>
      <c r="E1891" s="1" t="str">
        <f xml:space="preserve"> TEXT(FilmaxData[[#This Row],[Show_Date]],"DDD")</f>
        <v>Sat</v>
      </c>
      <c r="F1891" t="s">
        <v>20</v>
      </c>
      <c r="G1891" t="s">
        <v>17</v>
      </c>
      <c r="H1891">
        <v>4</v>
      </c>
      <c r="I1891">
        <v>12</v>
      </c>
      <c r="J1891" t="s">
        <v>21</v>
      </c>
      <c r="K1891" t="s">
        <v>25</v>
      </c>
      <c r="L1891">
        <v>48</v>
      </c>
    </row>
    <row r="1892" spans="1:12" x14ac:dyDescent="0.3">
      <c r="A1892">
        <v>1757</v>
      </c>
      <c r="B1892" t="s">
        <v>24</v>
      </c>
      <c r="C1892" s="1">
        <v>45878</v>
      </c>
      <c r="D1892" s="1" t="str">
        <f xml:space="preserve"> TEXT(FilmaxData[[#This Row],[Show_Date]],"MMM")</f>
        <v>Aug</v>
      </c>
      <c r="E1892" s="1" t="str">
        <f xml:space="preserve"> TEXT(FilmaxData[[#This Row],[Show_Date]],"DDD")</f>
        <v>Sat</v>
      </c>
      <c r="F1892" t="s">
        <v>11</v>
      </c>
      <c r="G1892" t="s">
        <v>17</v>
      </c>
      <c r="H1892">
        <v>3</v>
      </c>
      <c r="I1892">
        <v>12</v>
      </c>
      <c r="J1892" t="s">
        <v>23</v>
      </c>
      <c r="K1892" t="s">
        <v>25</v>
      </c>
      <c r="L1892">
        <v>36</v>
      </c>
    </row>
    <row r="1893" spans="1:12" x14ac:dyDescent="0.3">
      <c r="A1893">
        <v>1508</v>
      </c>
      <c r="B1893" t="s">
        <v>26</v>
      </c>
      <c r="C1893" s="1">
        <v>45928</v>
      </c>
      <c r="D1893" s="1" t="str">
        <f xml:space="preserve"> TEXT(FilmaxData[[#This Row],[Show_Date]],"MMM")</f>
        <v>Sep</v>
      </c>
      <c r="E1893" s="1" t="str">
        <f xml:space="preserve"> TEXT(FilmaxData[[#This Row],[Show_Date]],"DDD")</f>
        <v>Sun</v>
      </c>
      <c r="F1893" t="s">
        <v>33</v>
      </c>
      <c r="G1893" t="s">
        <v>17</v>
      </c>
      <c r="H1893">
        <v>2</v>
      </c>
      <c r="I1893">
        <v>12</v>
      </c>
      <c r="J1893" t="s">
        <v>21</v>
      </c>
      <c r="K1893" t="s">
        <v>25</v>
      </c>
      <c r="L1893">
        <v>24</v>
      </c>
    </row>
    <row r="1894" spans="1:12" x14ac:dyDescent="0.3">
      <c r="A1894">
        <v>711</v>
      </c>
      <c r="B1894" t="s">
        <v>28</v>
      </c>
      <c r="C1894" s="1">
        <v>45871</v>
      </c>
      <c r="D1894" s="1" t="str">
        <f xml:space="preserve"> TEXT(FilmaxData[[#This Row],[Show_Date]],"MMM")</f>
        <v>Aug</v>
      </c>
      <c r="E1894" s="1" t="str">
        <f xml:space="preserve"> TEXT(FilmaxData[[#This Row],[Show_Date]],"DDD")</f>
        <v>Sat</v>
      </c>
      <c r="F1894" t="s">
        <v>20</v>
      </c>
      <c r="G1894" t="s">
        <v>30</v>
      </c>
      <c r="H1894">
        <v>4</v>
      </c>
      <c r="I1894">
        <v>8</v>
      </c>
      <c r="J1894" t="s">
        <v>21</v>
      </c>
      <c r="K1894" t="s">
        <v>25</v>
      </c>
      <c r="L1894">
        <v>32</v>
      </c>
    </row>
    <row r="1895" spans="1:12" x14ac:dyDescent="0.3">
      <c r="A1895">
        <v>190</v>
      </c>
      <c r="B1895" t="s">
        <v>10</v>
      </c>
      <c r="C1895" s="1">
        <v>45872</v>
      </c>
      <c r="D1895" s="1" t="str">
        <f xml:space="preserve"> TEXT(FilmaxData[[#This Row],[Show_Date]],"MMM")</f>
        <v>Aug</v>
      </c>
      <c r="E1895" s="1" t="str">
        <f xml:space="preserve"> TEXT(FilmaxData[[#This Row],[Show_Date]],"DDD")</f>
        <v>Sun</v>
      </c>
      <c r="F1895" t="s">
        <v>11</v>
      </c>
      <c r="G1895" t="s">
        <v>30</v>
      </c>
      <c r="H1895">
        <v>3</v>
      </c>
      <c r="I1895">
        <v>8</v>
      </c>
      <c r="J1895" t="s">
        <v>21</v>
      </c>
      <c r="K1895" t="s">
        <v>25</v>
      </c>
      <c r="L1895">
        <v>24</v>
      </c>
    </row>
    <row r="1896" spans="1:12" x14ac:dyDescent="0.3">
      <c r="A1896">
        <v>762</v>
      </c>
      <c r="B1896" t="s">
        <v>26</v>
      </c>
      <c r="C1896" s="1">
        <v>45914</v>
      </c>
      <c r="D1896" s="1" t="str">
        <f xml:space="preserve"> TEXT(FilmaxData[[#This Row],[Show_Date]],"MMM")</f>
        <v>Sep</v>
      </c>
      <c r="E1896" s="1" t="str">
        <f xml:space="preserve"> TEXT(FilmaxData[[#This Row],[Show_Date]],"DDD")</f>
        <v>Sun</v>
      </c>
      <c r="F1896" t="s">
        <v>33</v>
      </c>
      <c r="G1896" t="s">
        <v>17</v>
      </c>
      <c r="H1896">
        <v>4</v>
      </c>
      <c r="I1896">
        <v>12</v>
      </c>
      <c r="J1896" t="s">
        <v>23</v>
      </c>
      <c r="K1896" t="s">
        <v>14</v>
      </c>
      <c r="L1896">
        <v>48</v>
      </c>
    </row>
    <row r="1897" spans="1:12" x14ac:dyDescent="0.3">
      <c r="A1897">
        <v>683</v>
      </c>
      <c r="B1897" t="s">
        <v>28</v>
      </c>
      <c r="C1897" s="1">
        <v>45913</v>
      </c>
      <c r="D1897" s="1" t="str">
        <f xml:space="preserve"> TEXT(FilmaxData[[#This Row],[Show_Date]],"MMM")</f>
        <v>Sep</v>
      </c>
      <c r="E1897" s="1" t="str">
        <f xml:space="preserve"> TEXT(FilmaxData[[#This Row],[Show_Date]],"DDD")</f>
        <v>Sat</v>
      </c>
      <c r="F1897" t="s">
        <v>16</v>
      </c>
      <c r="G1897" t="s">
        <v>17</v>
      </c>
      <c r="H1897">
        <v>1</v>
      </c>
      <c r="I1897">
        <v>12</v>
      </c>
      <c r="J1897" t="s">
        <v>23</v>
      </c>
      <c r="K1897" t="s">
        <v>25</v>
      </c>
      <c r="L1897">
        <v>12</v>
      </c>
    </row>
    <row r="1898" spans="1:12" x14ac:dyDescent="0.3">
      <c r="A1898">
        <v>478</v>
      </c>
      <c r="B1898" t="s">
        <v>19</v>
      </c>
      <c r="C1898" s="1">
        <v>45914</v>
      </c>
      <c r="D1898" s="1" t="str">
        <f xml:space="preserve"> TEXT(FilmaxData[[#This Row],[Show_Date]],"MMM")</f>
        <v>Sep</v>
      </c>
      <c r="E1898" s="1" t="str">
        <f xml:space="preserve"> TEXT(FilmaxData[[#This Row],[Show_Date]],"DDD")</f>
        <v>Sun</v>
      </c>
      <c r="F1898" t="s">
        <v>16</v>
      </c>
      <c r="G1898" t="s">
        <v>30</v>
      </c>
      <c r="H1898">
        <v>5</v>
      </c>
      <c r="I1898">
        <v>8</v>
      </c>
      <c r="J1898" t="s">
        <v>21</v>
      </c>
      <c r="K1898" t="s">
        <v>27</v>
      </c>
      <c r="L1898">
        <v>40</v>
      </c>
    </row>
    <row r="1899" spans="1:12" x14ac:dyDescent="0.3">
      <c r="A1899">
        <v>839</v>
      </c>
      <c r="B1899" t="s">
        <v>31</v>
      </c>
      <c r="C1899" s="1">
        <v>45852</v>
      </c>
      <c r="D1899" s="1" t="str">
        <f xml:space="preserve"> TEXT(FilmaxData[[#This Row],[Show_Date]],"MMM")</f>
        <v>Jul</v>
      </c>
      <c r="E1899" s="1" t="str">
        <f xml:space="preserve"> TEXT(FilmaxData[[#This Row],[Show_Date]],"DDD")</f>
        <v>Mon</v>
      </c>
      <c r="F1899" t="s">
        <v>33</v>
      </c>
      <c r="G1899" t="s">
        <v>30</v>
      </c>
      <c r="H1899">
        <v>5</v>
      </c>
      <c r="I1899">
        <v>8</v>
      </c>
      <c r="J1899" t="s">
        <v>21</v>
      </c>
      <c r="K1899" t="s">
        <v>25</v>
      </c>
      <c r="L1899">
        <v>40</v>
      </c>
    </row>
    <row r="1900" spans="1:12" x14ac:dyDescent="0.3">
      <c r="A1900">
        <v>1884</v>
      </c>
      <c r="B1900" t="s">
        <v>15</v>
      </c>
      <c r="C1900" s="1">
        <v>45892</v>
      </c>
      <c r="D1900" s="1" t="str">
        <f xml:space="preserve"> TEXT(FilmaxData[[#This Row],[Show_Date]],"MMM")</f>
        <v>Aug</v>
      </c>
      <c r="E1900" s="1" t="str">
        <f xml:space="preserve"> TEXT(FilmaxData[[#This Row],[Show_Date]],"DDD")</f>
        <v>Sat</v>
      </c>
      <c r="F1900" t="s">
        <v>16</v>
      </c>
      <c r="G1900" t="s">
        <v>17</v>
      </c>
      <c r="H1900">
        <v>2</v>
      </c>
      <c r="I1900">
        <v>12</v>
      </c>
      <c r="J1900" t="s">
        <v>23</v>
      </c>
      <c r="K1900" t="s">
        <v>27</v>
      </c>
      <c r="L1900">
        <v>24</v>
      </c>
    </row>
    <row r="1901" spans="1:12" x14ac:dyDescent="0.3">
      <c r="A1901">
        <v>95</v>
      </c>
      <c r="B1901" t="s">
        <v>10</v>
      </c>
      <c r="C1901" s="1">
        <v>45893</v>
      </c>
      <c r="D1901" s="1" t="str">
        <f xml:space="preserve"> TEXT(FilmaxData[[#This Row],[Show_Date]],"MMM")</f>
        <v>Aug</v>
      </c>
      <c r="E1901" s="1" t="str">
        <f xml:space="preserve"> TEXT(FilmaxData[[#This Row],[Show_Date]],"DDD")</f>
        <v>Sun</v>
      </c>
      <c r="F1901" t="s">
        <v>11</v>
      </c>
      <c r="G1901" t="s">
        <v>17</v>
      </c>
      <c r="H1901">
        <v>2</v>
      </c>
      <c r="I1901">
        <v>12</v>
      </c>
      <c r="J1901" t="s">
        <v>13</v>
      </c>
      <c r="K1901" t="s">
        <v>27</v>
      </c>
      <c r="L1901">
        <v>24</v>
      </c>
    </row>
    <row r="1902" spans="1:12" x14ac:dyDescent="0.3">
      <c r="A1902">
        <v>450</v>
      </c>
      <c r="B1902" t="s">
        <v>10</v>
      </c>
      <c r="C1902" s="1">
        <v>45916</v>
      </c>
      <c r="D1902" s="1" t="str">
        <f xml:space="preserve"> TEXT(FilmaxData[[#This Row],[Show_Date]],"MMM")</f>
        <v>Sep</v>
      </c>
      <c r="E1902" s="1" t="str">
        <f xml:space="preserve"> TEXT(FilmaxData[[#This Row],[Show_Date]],"DDD")</f>
        <v>Tue</v>
      </c>
      <c r="F1902" t="s">
        <v>33</v>
      </c>
      <c r="G1902" t="s">
        <v>17</v>
      </c>
      <c r="H1902">
        <v>1</v>
      </c>
      <c r="I1902">
        <v>12</v>
      </c>
      <c r="J1902" t="s">
        <v>23</v>
      </c>
      <c r="K1902" t="s">
        <v>25</v>
      </c>
      <c r="L1902">
        <v>12</v>
      </c>
    </row>
    <row r="1903" spans="1:12" x14ac:dyDescent="0.3">
      <c r="A1903">
        <v>208</v>
      </c>
      <c r="B1903" t="s">
        <v>31</v>
      </c>
      <c r="C1903" s="1">
        <v>45877</v>
      </c>
      <c r="D1903" s="1" t="str">
        <f xml:space="preserve"> TEXT(FilmaxData[[#This Row],[Show_Date]],"MMM")</f>
        <v>Aug</v>
      </c>
      <c r="E1903" s="1" t="str">
        <f xml:space="preserve"> TEXT(FilmaxData[[#This Row],[Show_Date]],"DDD")</f>
        <v>Fri</v>
      </c>
      <c r="F1903" t="s">
        <v>16</v>
      </c>
      <c r="G1903" t="s">
        <v>22</v>
      </c>
      <c r="H1903">
        <v>4</v>
      </c>
      <c r="I1903">
        <v>20</v>
      </c>
      <c r="J1903" t="s">
        <v>23</v>
      </c>
      <c r="K1903" t="s">
        <v>27</v>
      </c>
      <c r="L1903">
        <v>80</v>
      </c>
    </row>
    <row r="1904" spans="1:12" x14ac:dyDescent="0.3">
      <c r="A1904">
        <v>255</v>
      </c>
      <c r="B1904" t="s">
        <v>24</v>
      </c>
      <c r="C1904" s="1">
        <v>45858</v>
      </c>
      <c r="D1904" s="1" t="str">
        <f xml:space="preserve"> TEXT(FilmaxData[[#This Row],[Show_Date]],"MMM")</f>
        <v>Jul</v>
      </c>
      <c r="E1904" s="1" t="str">
        <f xml:space="preserve"> TEXT(FilmaxData[[#This Row],[Show_Date]],"DDD")</f>
        <v>Sun</v>
      </c>
      <c r="F1904" t="s">
        <v>16</v>
      </c>
      <c r="G1904" t="s">
        <v>22</v>
      </c>
      <c r="H1904">
        <v>5</v>
      </c>
      <c r="I1904">
        <v>20</v>
      </c>
      <c r="J1904" t="s">
        <v>13</v>
      </c>
      <c r="K1904" t="s">
        <v>18</v>
      </c>
      <c r="L1904">
        <v>100</v>
      </c>
    </row>
    <row r="1905" spans="1:12" x14ac:dyDescent="0.3">
      <c r="A1905">
        <v>1972</v>
      </c>
      <c r="B1905" t="s">
        <v>15</v>
      </c>
      <c r="C1905" s="1">
        <v>45915</v>
      </c>
      <c r="D1905" s="1" t="str">
        <f xml:space="preserve"> TEXT(FilmaxData[[#This Row],[Show_Date]],"MMM")</f>
        <v>Sep</v>
      </c>
      <c r="E1905" s="1" t="str">
        <f xml:space="preserve"> TEXT(FilmaxData[[#This Row],[Show_Date]],"DDD")</f>
        <v>Mon</v>
      </c>
      <c r="F1905" t="s">
        <v>20</v>
      </c>
      <c r="G1905" t="s">
        <v>12</v>
      </c>
      <c r="H1905">
        <v>4</v>
      </c>
      <c r="I1905">
        <v>25</v>
      </c>
      <c r="J1905" t="s">
        <v>23</v>
      </c>
      <c r="K1905" t="s">
        <v>14</v>
      </c>
      <c r="L1905">
        <v>100</v>
      </c>
    </row>
    <row r="1906" spans="1:12" x14ac:dyDescent="0.3">
      <c r="A1906">
        <v>643</v>
      </c>
      <c r="B1906" t="s">
        <v>19</v>
      </c>
      <c r="C1906" s="1">
        <v>45865</v>
      </c>
      <c r="D1906" s="1" t="str">
        <f xml:space="preserve"> TEXT(FilmaxData[[#This Row],[Show_Date]],"MMM")</f>
        <v>Jul</v>
      </c>
      <c r="E1906" s="1" t="str">
        <f xml:space="preserve"> TEXT(FilmaxData[[#This Row],[Show_Date]],"DDD")</f>
        <v>Sun</v>
      </c>
      <c r="F1906" t="s">
        <v>33</v>
      </c>
      <c r="G1906" t="s">
        <v>30</v>
      </c>
      <c r="H1906">
        <v>3</v>
      </c>
      <c r="I1906">
        <v>8</v>
      </c>
      <c r="J1906" t="s">
        <v>13</v>
      </c>
      <c r="K1906" t="s">
        <v>18</v>
      </c>
      <c r="L1906">
        <v>24</v>
      </c>
    </row>
    <row r="1907" spans="1:12" x14ac:dyDescent="0.3">
      <c r="A1907">
        <v>550</v>
      </c>
      <c r="B1907" t="s">
        <v>28</v>
      </c>
      <c r="C1907" s="1">
        <v>45890</v>
      </c>
      <c r="D1907" s="1" t="str">
        <f xml:space="preserve"> TEXT(FilmaxData[[#This Row],[Show_Date]],"MMM")</f>
        <v>Aug</v>
      </c>
      <c r="E1907" s="1" t="str">
        <f xml:space="preserve"> TEXT(FilmaxData[[#This Row],[Show_Date]],"DDD")</f>
        <v>Thu</v>
      </c>
      <c r="F1907" t="s">
        <v>11</v>
      </c>
      <c r="G1907" t="s">
        <v>17</v>
      </c>
      <c r="H1907">
        <v>5</v>
      </c>
      <c r="I1907">
        <v>12</v>
      </c>
      <c r="J1907" t="s">
        <v>13</v>
      </c>
      <c r="K1907" t="s">
        <v>14</v>
      </c>
      <c r="L1907">
        <v>60</v>
      </c>
    </row>
    <row r="1908" spans="1:12" x14ac:dyDescent="0.3">
      <c r="A1908">
        <v>367</v>
      </c>
      <c r="B1908" t="s">
        <v>10</v>
      </c>
      <c r="C1908" s="1">
        <v>45844</v>
      </c>
      <c r="D1908" s="1" t="str">
        <f xml:space="preserve"> TEXT(FilmaxData[[#This Row],[Show_Date]],"MMM")</f>
        <v>Jul</v>
      </c>
      <c r="E1908" s="1" t="str">
        <f xml:space="preserve"> TEXT(FilmaxData[[#This Row],[Show_Date]],"DDD")</f>
        <v>Sun</v>
      </c>
      <c r="F1908" t="s">
        <v>20</v>
      </c>
      <c r="G1908" t="s">
        <v>17</v>
      </c>
      <c r="H1908">
        <v>3</v>
      </c>
      <c r="I1908">
        <v>12</v>
      </c>
      <c r="J1908" t="s">
        <v>21</v>
      </c>
      <c r="K1908" t="s">
        <v>18</v>
      </c>
      <c r="L1908">
        <v>36</v>
      </c>
    </row>
    <row r="1909" spans="1:12" x14ac:dyDescent="0.3">
      <c r="A1909">
        <v>1487</v>
      </c>
      <c r="B1909" t="s">
        <v>28</v>
      </c>
      <c r="C1909" s="1">
        <v>45893</v>
      </c>
      <c r="D1909" s="1" t="str">
        <f xml:space="preserve"> TEXT(FilmaxData[[#This Row],[Show_Date]],"MMM")</f>
        <v>Aug</v>
      </c>
      <c r="E1909" s="1" t="str">
        <f xml:space="preserve"> TEXT(FilmaxData[[#This Row],[Show_Date]],"DDD")</f>
        <v>Sun</v>
      </c>
      <c r="F1909" t="s">
        <v>20</v>
      </c>
      <c r="G1909" t="s">
        <v>17</v>
      </c>
      <c r="H1909">
        <v>2</v>
      </c>
      <c r="I1909">
        <v>12</v>
      </c>
      <c r="J1909" t="s">
        <v>23</v>
      </c>
      <c r="K1909" t="s">
        <v>27</v>
      </c>
      <c r="L1909">
        <v>24</v>
      </c>
    </row>
    <row r="1910" spans="1:12" x14ac:dyDescent="0.3">
      <c r="A1910">
        <v>666</v>
      </c>
      <c r="B1910" t="s">
        <v>15</v>
      </c>
      <c r="C1910" s="1">
        <v>45885</v>
      </c>
      <c r="D1910" s="1" t="str">
        <f xml:space="preserve"> TEXT(FilmaxData[[#This Row],[Show_Date]],"MMM")</f>
        <v>Aug</v>
      </c>
      <c r="E1910" s="1" t="str">
        <f xml:space="preserve"> TEXT(FilmaxData[[#This Row],[Show_Date]],"DDD")</f>
        <v>Sat</v>
      </c>
      <c r="F1910" t="s">
        <v>33</v>
      </c>
      <c r="G1910" t="s">
        <v>17</v>
      </c>
      <c r="H1910">
        <v>3</v>
      </c>
      <c r="I1910">
        <v>12</v>
      </c>
      <c r="J1910" t="s">
        <v>23</v>
      </c>
      <c r="K1910" t="s">
        <v>18</v>
      </c>
      <c r="L1910">
        <v>36</v>
      </c>
    </row>
    <row r="1911" spans="1:12" x14ac:dyDescent="0.3">
      <c r="A1911">
        <v>903</v>
      </c>
      <c r="B1911" t="s">
        <v>10</v>
      </c>
      <c r="C1911" s="1">
        <v>45839</v>
      </c>
      <c r="D1911" s="1" t="str">
        <f xml:space="preserve"> TEXT(FilmaxData[[#This Row],[Show_Date]],"MMM")</f>
        <v>Jul</v>
      </c>
      <c r="E1911" s="1" t="str">
        <f xml:space="preserve"> TEXT(FilmaxData[[#This Row],[Show_Date]],"DDD")</f>
        <v>Tue</v>
      </c>
      <c r="F1911" t="s">
        <v>33</v>
      </c>
      <c r="G1911" t="s">
        <v>17</v>
      </c>
      <c r="H1911">
        <v>1</v>
      </c>
      <c r="I1911">
        <v>12</v>
      </c>
      <c r="J1911" t="s">
        <v>21</v>
      </c>
      <c r="K1911" t="s">
        <v>14</v>
      </c>
      <c r="L1911">
        <v>12</v>
      </c>
    </row>
    <row r="1912" spans="1:12" x14ac:dyDescent="0.3">
      <c r="A1912">
        <v>659</v>
      </c>
      <c r="B1912" t="s">
        <v>31</v>
      </c>
      <c r="C1912" s="1">
        <v>45851</v>
      </c>
      <c r="D1912" s="1" t="str">
        <f xml:space="preserve"> TEXT(FilmaxData[[#This Row],[Show_Date]],"MMM")</f>
        <v>Jul</v>
      </c>
      <c r="E1912" s="1" t="str">
        <f xml:space="preserve"> TEXT(FilmaxData[[#This Row],[Show_Date]],"DDD")</f>
        <v>Sun</v>
      </c>
      <c r="F1912" t="s">
        <v>11</v>
      </c>
      <c r="G1912" t="s">
        <v>17</v>
      </c>
      <c r="H1912">
        <v>4</v>
      </c>
      <c r="I1912">
        <v>12</v>
      </c>
      <c r="J1912" t="s">
        <v>13</v>
      </c>
      <c r="K1912" t="s">
        <v>27</v>
      </c>
      <c r="L1912">
        <v>48</v>
      </c>
    </row>
    <row r="1913" spans="1:12" x14ac:dyDescent="0.3">
      <c r="A1913">
        <v>676</v>
      </c>
      <c r="B1913" t="s">
        <v>15</v>
      </c>
      <c r="C1913" s="1">
        <v>45909</v>
      </c>
      <c r="D1913" s="1" t="str">
        <f xml:space="preserve"> TEXT(FilmaxData[[#This Row],[Show_Date]],"MMM")</f>
        <v>Sep</v>
      </c>
      <c r="E1913" s="1" t="str">
        <f xml:space="preserve"> TEXT(FilmaxData[[#This Row],[Show_Date]],"DDD")</f>
        <v>Tue</v>
      </c>
      <c r="F1913" t="s">
        <v>33</v>
      </c>
      <c r="G1913" t="s">
        <v>17</v>
      </c>
      <c r="H1913">
        <v>2</v>
      </c>
      <c r="I1913">
        <v>12</v>
      </c>
      <c r="J1913" t="s">
        <v>21</v>
      </c>
      <c r="K1913" t="s">
        <v>18</v>
      </c>
      <c r="L1913">
        <v>24</v>
      </c>
    </row>
    <row r="1914" spans="1:12" x14ac:dyDescent="0.3">
      <c r="A1914">
        <v>1794</v>
      </c>
      <c r="B1914" t="s">
        <v>28</v>
      </c>
      <c r="C1914" s="1">
        <v>45878</v>
      </c>
      <c r="D1914" s="1" t="str">
        <f xml:space="preserve"> TEXT(FilmaxData[[#This Row],[Show_Date]],"MMM")</f>
        <v>Aug</v>
      </c>
      <c r="E1914" s="1" t="str">
        <f xml:space="preserve"> TEXT(FilmaxData[[#This Row],[Show_Date]],"DDD")</f>
        <v>Sat</v>
      </c>
      <c r="F1914" t="s">
        <v>11</v>
      </c>
      <c r="G1914" t="s">
        <v>30</v>
      </c>
      <c r="H1914">
        <v>4</v>
      </c>
      <c r="I1914">
        <v>8</v>
      </c>
      <c r="J1914" t="s">
        <v>21</v>
      </c>
      <c r="K1914" t="s">
        <v>14</v>
      </c>
      <c r="L1914">
        <v>32</v>
      </c>
    </row>
    <row r="1915" spans="1:12" x14ac:dyDescent="0.3">
      <c r="A1915">
        <v>1693</v>
      </c>
      <c r="B1915" t="s">
        <v>31</v>
      </c>
      <c r="C1915" s="1">
        <v>45921</v>
      </c>
      <c r="D1915" s="1" t="str">
        <f xml:space="preserve"> TEXT(FilmaxData[[#This Row],[Show_Date]],"MMM")</f>
        <v>Sep</v>
      </c>
      <c r="E1915" s="1" t="str">
        <f xml:space="preserve"> TEXT(FilmaxData[[#This Row],[Show_Date]],"DDD")</f>
        <v>Sun</v>
      </c>
      <c r="F1915" t="s">
        <v>33</v>
      </c>
      <c r="G1915" t="s">
        <v>30</v>
      </c>
      <c r="H1915">
        <v>1</v>
      </c>
      <c r="I1915">
        <v>8</v>
      </c>
      <c r="J1915" t="s">
        <v>23</v>
      </c>
      <c r="K1915" t="s">
        <v>27</v>
      </c>
      <c r="L1915">
        <v>8</v>
      </c>
    </row>
    <row r="1916" spans="1:12" x14ac:dyDescent="0.3">
      <c r="A1916">
        <v>1427</v>
      </c>
      <c r="B1916" t="s">
        <v>28</v>
      </c>
      <c r="C1916" s="1">
        <v>45895</v>
      </c>
      <c r="D1916" s="1" t="str">
        <f xml:space="preserve"> TEXT(FilmaxData[[#This Row],[Show_Date]],"MMM")</f>
        <v>Aug</v>
      </c>
      <c r="E1916" s="1" t="str">
        <f xml:space="preserve"> TEXT(FilmaxData[[#This Row],[Show_Date]],"DDD")</f>
        <v>Tue</v>
      </c>
      <c r="F1916" t="s">
        <v>20</v>
      </c>
      <c r="G1916" t="s">
        <v>12</v>
      </c>
      <c r="H1916">
        <v>2</v>
      </c>
      <c r="I1916">
        <v>25</v>
      </c>
      <c r="J1916" t="s">
        <v>23</v>
      </c>
      <c r="K1916" t="s">
        <v>25</v>
      </c>
      <c r="L1916">
        <v>50</v>
      </c>
    </row>
    <row r="1917" spans="1:12" x14ac:dyDescent="0.3">
      <c r="A1917">
        <v>1335</v>
      </c>
      <c r="B1917" t="s">
        <v>31</v>
      </c>
      <c r="C1917" s="1">
        <v>45921</v>
      </c>
      <c r="D1917" s="1" t="str">
        <f xml:space="preserve"> TEXT(FilmaxData[[#This Row],[Show_Date]],"MMM")</f>
        <v>Sep</v>
      </c>
      <c r="E1917" s="1" t="str">
        <f xml:space="preserve"> TEXT(FilmaxData[[#This Row],[Show_Date]],"DDD")</f>
        <v>Sun</v>
      </c>
      <c r="F1917" t="s">
        <v>11</v>
      </c>
      <c r="G1917" t="s">
        <v>22</v>
      </c>
      <c r="H1917">
        <v>1</v>
      </c>
      <c r="I1917">
        <v>20</v>
      </c>
      <c r="J1917" t="s">
        <v>13</v>
      </c>
      <c r="K1917" t="s">
        <v>14</v>
      </c>
      <c r="L1917">
        <v>20</v>
      </c>
    </row>
    <row r="1918" spans="1:12" x14ac:dyDescent="0.3">
      <c r="A1918">
        <v>970</v>
      </c>
      <c r="B1918" t="s">
        <v>32</v>
      </c>
      <c r="C1918" s="1">
        <v>45858</v>
      </c>
      <c r="D1918" s="1" t="str">
        <f xml:space="preserve"> TEXT(FilmaxData[[#This Row],[Show_Date]],"MMM")</f>
        <v>Jul</v>
      </c>
      <c r="E1918" s="1" t="str">
        <f xml:space="preserve"> TEXT(FilmaxData[[#This Row],[Show_Date]],"DDD")</f>
        <v>Sun</v>
      </c>
      <c r="F1918" t="s">
        <v>33</v>
      </c>
      <c r="G1918" t="s">
        <v>17</v>
      </c>
      <c r="H1918">
        <v>3</v>
      </c>
      <c r="I1918">
        <v>12</v>
      </c>
      <c r="J1918" t="s">
        <v>23</v>
      </c>
      <c r="K1918" t="s">
        <v>27</v>
      </c>
      <c r="L1918">
        <v>36</v>
      </c>
    </row>
    <row r="1919" spans="1:12" x14ac:dyDescent="0.3">
      <c r="A1919">
        <v>494</v>
      </c>
      <c r="B1919" t="s">
        <v>10</v>
      </c>
      <c r="C1919" s="1">
        <v>45845</v>
      </c>
      <c r="D1919" s="1" t="str">
        <f xml:space="preserve"> TEXT(FilmaxData[[#This Row],[Show_Date]],"MMM")</f>
        <v>Jul</v>
      </c>
      <c r="E1919" s="1" t="str">
        <f xml:space="preserve"> TEXT(FilmaxData[[#This Row],[Show_Date]],"DDD")</f>
        <v>Mon</v>
      </c>
      <c r="F1919" t="s">
        <v>16</v>
      </c>
      <c r="G1919" t="s">
        <v>17</v>
      </c>
      <c r="H1919">
        <v>1</v>
      </c>
      <c r="I1919">
        <v>12</v>
      </c>
      <c r="J1919" t="s">
        <v>13</v>
      </c>
      <c r="K1919" t="s">
        <v>25</v>
      </c>
      <c r="L1919">
        <v>12</v>
      </c>
    </row>
    <row r="1920" spans="1:12" x14ac:dyDescent="0.3">
      <c r="A1920">
        <v>172</v>
      </c>
      <c r="B1920" t="s">
        <v>15</v>
      </c>
      <c r="C1920" s="1">
        <v>45921</v>
      </c>
      <c r="D1920" s="1" t="str">
        <f xml:space="preserve"> TEXT(FilmaxData[[#This Row],[Show_Date]],"MMM")</f>
        <v>Sep</v>
      </c>
      <c r="E1920" s="1" t="str">
        <f xml:space="preserve"> TEXT(FilmaxData[[#This Row],[Show_Date]],"DDD")</f>
        <v>Sun</v>
      </c>
      <c r="F1920" t="s">
        <v>20</v>
      </c>
      <c r="G1920" t="s">
        <v>17</v>
      </c>
      <c r="H1920">
        <v>5</v>
      </c>
      <c r="I1920">
        <v>12</v>
      </c>
      <c r="J1920" t="s">
        <v>23</v>
      </c>
      <c r="K1920" t="s">
        <v>25</v>
      </c>
      <c r="L1920">
        <v>60</v>
      </c>
    </row>
    <row r="1921" spans="1:12" x14ac:dyDescent="0.3">
      <c r="A1921">
        <v>158</v>
      </c>
      <c r="B1921" t="s">
        <v>26</v>
      </c>
      <c r="C1921" s="1">
        <v>45922</v>
      </c>
      <c r="D1921" s="1" t="str">
        <f xml:space="preserve"> TEXT(FilmaxData[[#This Row],[Show_Date]],"MMM")</f>
        <v>Sep</v>
      </c>
      <c r="E1921" s="1" t="str">
        <f xml:space="preserve"> TEXT(FilmaxData[[#This Row],[Show_Date]],"DDD")</f>
        <v>Mon</v>
      </c>
      <c r="F1921" t="s">
        <v>11</v>
      </c>
      <c r="G1921" t="s">
        <v>17</v>
      </c>
      <c r="H1921">
        <v>5</v>
      </c>
      <c r="I1921">
        <v>12</v>
      </c>
      <c r="J1921" t="s">
        <v>13</v>
      </c>
      <c r="K1921" t="s">
        <v>18</v>
      </c>
      <c r="L1921">
        <v>60</v>
      </c>
    </row>
    <row r="1922" spans="1:12" x14ac:dyDescent="0.3">
      <c r="A1922">
        <v>685</v>
      </c>
      <c r="B1922" t="s">
        <v>24</v>
      </c>
      <c r="C1922" s="1">
        <v>45908</v>
      </c>
      <c r="D1922" s="1" t="str">
        <f xml:space="preserve"> TEXT(FilmaxData[[#This Row],[Show_Date]],"MMM")</f>
        <v>Sep</v>
      </c>
      <c r="E1922" s="1" t="str">
        <f xml:space="preserve"> TEXT(FilmaxData[[#This Row],[Show_Date]],"DDD")</f>
        <v>Mon</v>
      </c>
      <c r="F1922" t="s">
        <v>20</v>
      </c>
      <c r="G1922" t="s">
        <v>17</v>
      </c>
      <c r="H1922">
        <v>2</v>
      </c>
      <c r="I1922">
        <v>12</v>
      </c>
      <c r="J1922" t="s">
        <v>23</v>
      </c>
      <c r="K1922" t="s">
        <v>25</v>
      </c>
      <c r="L1922">
        <v>24</v>
      </c>
    </row>
    <row r="1923" spans="1:12" x14ac:dyDescent="0.3">
      <c r="A1923">
        <v>1772</v>
      </c>
      <c r="B1923" t="s">
        <v>32</v>
      </c>
      <c r="C1923" s="1">
        <v>45928</v>
      </c>
      <c r="D1923" s="1" t="str">
        <f xml:space="preserve"> TEXT(FilmaxData[[#This Row],[Show_Date]],"MMM")</f>
        <v>Sep</v>
      </c>
      <c r="E1923" s="1" t="str">
        <f xml:space="preserve"> TEXT(FilmaxData[[#This Row],[Show_Date]],"DDD")</f>
        <v>Sun</v>
      </c>
      <c r="F1923" t="s">
        <v>20</v>
      </c>
      <c r="G1923" t="s">
        <v>29</v>
      </c>
      <c r="H1923">
        <v>5</v>
      </c>
      <c r="I1923">
        <v>30</v>
      </c>
      <c r="J1923" t="s">
        <v>13</v>
      </c>
      <c r="K1923" t="s">
        <v>27</v>
      </c>
      <c r="L1923">
        <v>150</v>
      </c>
    </row>
    <row r="1924" spans="1:12" x14ac:dyDescent="0.3">
      <c r="A1924">
        <v>1464</v>
      </c>
      <c r="B1924" t="s">
        <v>32</v>
      </c>
      <c r="C1924" s="1">
        <v>45899</v>
      </c>
      <c r="D1924" s="1" t="str">
        <f xml:space="preserve"> TEXT(FilmaxData[[#This Row],[Show_Date]],"MMM")</f>
        <v>Aug</v>
      </c>
      <c r="E1924" s="1" t="str">
        <f xml:space="preserve"> TEXT(FilmaxData[[#This Row],[Show_Date]],"DDD")</f>
        <v>Sat</v>
      </c>
      <c r="F1924" t="s">
        <v>16</v>
      </c>
      <c r="G1924" t="s">
        <v>12</v>
      </c>
      <c r="H1924">
        <v>5</v>
      </c>
      <c r="I1924">
        <v>25</v>
      </c>
      <c r="J1924" t="s">
        <v>13</v>
      </c>
      <c r="K1924" t="s">
        <v>14</v>
      </c>
      <c r="L1924">
        <v>125</v>
      </c>
    </row>
    <row r="1925" spans="1:12" x14ac:dyDescent="0.3">
      <c r="A1925">
        <v>497</v>
      </c>
      <c r="B1925" t="s">
        <v>32</v>
      </c>
      <c r="C1925" s="1">
        <v>45921</v>
      </c>
      <c r="D1925" s="1" t="str">
        <f xml:space="preserve"> TEXT(FilmaxData[[#This Row],[Show_Date]],"MMM")</f>
        <v>Sep</v>
      </c>
      <c r="E1925" s="1" t="str">
        <f xml:space="preserve"> TEXT(FilmaxData[[#This Row],[Show_Date]],"DDD")</f>
        <v>Sun</v>
      </c>
      <c r="F1925" t="s">
        <v>16</v>
      </c>
      <c r="G1925" t="s">
        <v>12</v>
      </c>
      <c r="H1925">
        <v>1</v>
      </c>
      <c r="I1925">
        <v>25</v>
      </c>
      <c r="J1925" t="s">
        <v>21</v>
      </c>
      <c r="K1925" t="s">
        <v>18</v>
      </c>
      <c r="L1925">
        <v>25</v>
      </c>
    </row>
    <row r="1926" spans="1:12" x14ac:dyDescent="0.3">
      <c r="A1926">
        <v>913</v>
      </c>
      <c r="B1926" t="s">
        <v>15</v>
      </c>
      <c r="C1926" s="1">
        <v>45914</v>
      </c>
      <c r="D1926" s="1" t="str">
        <f xml:space="preserve"> TEXT(FilmaxData[[#This Row],[Show_Date]],"MMM")</f>
        <v>Sep</v>
      </c>
      <c r="E1926" s="1" t="str">
        <f xml:space="preserve"> TEXT(FilmaxData[[#This Row],[Show_Date]],"DDD")</f>
        <v>Sun</v>
      </c>
      <c r="F1926" t="s">
        <v>20</v>
      </c>
      <c r="G1926" t="s">
        <v>30</v>
      </c>
      <c r="H1926">
        <v>1</v>
      </c>
      <c r="I1926">
        <v>8</v>
      </c>
      <c r="J1926" t="s">
        <v>23</v>
      </c>
      <c r="K1926" t="s">
        <v>27</v>
      </c>
      <c r="L1926">
        <v>8</v>
      </c>
    </row>
    <row r="1927" spans="1:12" x14ac:dyDescent="0.3">
      <c r="A1927">
        <v>1457</v>
      </c>
      <c r="B1927" t="s">
        <v>10</v>
      </c>
      <c r="C1927" s="1">
        <v>45894</v>
      </c>
      <c r="D1927" s="1" t="str">
        <f xml:space="preserve"> TEXT(FilmaxData[[#This Row],[Show_Date]],"MMM")</f>
        <v>Aug</v>
      </c>
      <c r="E1927" s="1" t="str">
        <f xml:space="preserve"> TEXT(FilmaxData[[#This Row],[Show_Date]],"DDD")</f>
        <v>Mon</v>
      </c>
      <c r="F1927" t="s">
        <v>33</v>
      </c>
      <c r="G1927" t="s">
        <v>12</v>
      </c>
      <c r="H1927">
        <v>5</v>
      </c>
      <c r="I1927">
        <v>25</v>
      </c>
      <c r="J1927" t="s">
        <v>23</v>
      </c>
      <c r="K1927" t="s">
        <v>14</v>
      </c>
      <c r="L1927">
        <v>125</v>
      </c>
    </row>
    <row r="1928" spans="1:12" x14ac:dyDescent="0.3">
      <c r="A1928">
        <v>1129</v>
      </c>
      <c r="B1928" t="s">
        <v>10</v>
      </c>
      <c r="C1928" s="1">
        <v>45913</v>
      </c>
      <c r="D1928" s="1" t="str">
        <f xml:space="preserve"> TEXT(FilmaxData[[#This Row],[Show_Date]],"MMM")</f>
        <v>Sep</v>
      </c>
      <c r="E1928" s="1" t="str">
        <f xml:space="preserve"> TEXT(FilmaxData[[#This Row],[Show_Date]],"DDD")</f>
        <v>Sat</v>
      </c>
      <c r="F1928" t="s">
        <v>11</v>
      </c>
      <c r="G1928" t="s">
        <v>29</v>
      </c>
      <c r="H1928">
        <v>5</v>
      </c>
      <c r="I1928">
        <v>30</v>
      </c>
      <c r="J1928" t="s">
        <v>23</v>
      </c>
      <c r="K1928" t="s">
        <v>14</v>
      </c>
      <c r="L1928">
        <v>150</v>
      </c>
    </row>
    <row r="1929" spans="1:12" x14ac:dyDescent="0.3">
      <c r="A1929">
        <v>1718</v>
      </c>
      <c r="B1929" t="s">
        <v>32</v>
      </c>
      <c r="C1929" s="1">
        <v>45883</v>
      </c>
      <c r="D1929" s="1" t="str">
        <f xml:space="preserve"> TEXT(FilmaxData[[#This Row],[Show_Date]],"MMM")</f>
        <v>Aug</v>
      </c>
      <c r="E1929" s="1" t="str">
        <f xml:space="preserve"> TEXT(FilmaxData[[#This Row],[Show_Date]],"DDD")</f>
        <v>Thu</v>
      </c>
      <c r="F1929" t="s">
        <v>20</v>
      </c>
      <c r="G1929" t="s">
        <v>17</v>
      </c>
      <c r="H1929">
        <v>3</v>
      </c>
      <c r="I1929">
        <v>12</v>
      </c>
      <c r="J1929" t="s">
        <v>23</v>
      </c>
      <c r="K1929" t="s">
        <v>14</v>
      </c>
      <c r="L1929">
        <v>36</v>
      </c>
    </row>
    <row r="1930" spans="1:12" x14ac:dyDescent="0.3">
      <c r="A1930">
        <v>266</v>
      </c>
      <c r="B1930" t="s">
        <v>26</v>
      </c>
      <c r="C1930" s="1">
        <v>45865</v>
      </c>
      <c r="D1930" s="1" t="str">
        <f xml:space="preserve"> TEXT(FilmaxData[[#This Row],[Show_Date]],"MMM")</f>
        <v>Jul</v>
      </c>
      <c r="E1930" s="1" t="str">
        <f xml:space="preserve"> TEXT(FilmaxData[[#This Row],[Show_Date]],"DDD")</f>
        <v>Sun</v>
      </c>
      <c r="F1930" t="s">
        <v>33</v>
      </c>
      <c r="G1930" t="s">
        <v>12</v>
      </c>
      <c r="H1930">
        <v>4</v>
      </c>
      <c r="I1930">
        <v>25</v>
      </c>
      <c r="J1930" t="s">
        <v>23</v>
      </c>
      <c r="K1930" t="s">
        <v>14</v>
      </c>
      <c r="L1930">
        <v>100</v>
      </c>
    </row>
    <row r="1931" spans="1:12" x14ac:dyDescent="0.3">
      <c r="A1931">
        <v>240</v>
      </c>
      <c r="B1931" t="s">
        <v>19</v>
      </c>
      <c r="C1931" s="1">
        <v>45857</v>
      </c>
      <c r="D1931" s="1" t="str">
        <f xml:space="preserve"> TEXT(FilmaxData[[#This Row],[Show_Date]],"MMM")</f>
        <v>Jul</v>
      </c>
      <c r="E1931" s="1" t="str">
        <f xml:space="preserve"> TEXT(FilmaxData[[#This Row],[Show_Date]],"DDD")</f>
        <v>Sat</v>
      </c>
      <c r="F1931" t="s">
        <v>33</v>
      </c>
      <c r="G1931" t="s">
        <v>17</v>
      </c>
      <c r="H1931">
        <v>5</v>
      </c>
      <c r="I1931">
        <v>12</v>
      </c>
      <c r="J1931" t="s">
        <v>13</v>
      </c>
      <c r="K1931" t="s">
        <v>14</v>
      </c>
      <c r="L1931">
        <v>60</v>
      </c>
    </row>
    <row r="1932" spans="1:12" x14ac:dyDescent="0.3">
      <c r="A1932">
        <v>151</v>
      </c>
      <c r="B1932" t="s">
        <v>32</v>
      </c>
      <c r="C1932" s="1">
        <v>45880</v>
      </c>
      <c r="D1932" s="1" t="str">
        <f xml:space="preserve"> TEXT(FilmaxData[[#This Row],[Show_Date]],"MMM")</f>
        <v>Aug</v>
      </c>
      <c r="E1932" s="1" t="str">
        <f xml:space="preserve"> TEXT(FilmaxData[[#This Row],[Show_Date]],"DDD")</f>
        <v>Mon</v>
      </c>
      <c r="F1932" t="s">
        <v>33</v>
      </c>
      <c r="G1932" t="s">
        <v>17</v>
      </c>
      <c r="H1932">
        <v>2</v>
      </c>
      <c r="I1932">
        <v>12</v>
      </c>
      <c r="J1932" t="s">
        <v>23</v>
      </c>
      <c r="K1932" t="s">
        <v>18</v>
      </c>
      <c r="L1932">
        <v>24</v>
      </c>
    </row>
    <row r="1933" spans="1:12" x14ac:dyDescent="0.3">
      <c r="A1933">
        <v>1304</v>
      </c>
      <c r="B1933" t="s">
        <v>10</v>
      </c>
      <c r="C1933" s="1">
        <v>45869</v>
      </c>
      <c r="D1933" s="1" t="str">
        <f xml:space="preserve"> TEXT(FilmaxData[[#This Row],[Show_Date]],"MMM")</f>
        <v>Jul</v>
      </c>
      <c r="E1933" s="1" t="str">
        <f xml:space="preserve"> TEXT(FilmaxData[[#This Row],[Show_Date]],"DDD")</f>
        <v>Thu</v>
      </c>
      <c r="F1933" t="s">
        <v>11</v>
      </c>
      <c r="G1933" t="s">
        <v>17</v>
      </c>
      <c r="H1933">
        <v>1</v>
      </c>
      <c r="I1933">
        <v>12</v>
      </c>
      <c r="J1933" t="s">
        <v>21</v>
      </c>
      <c r="K1933" t="s">
        <v>14</v>
      </c>
      <c r="L1933">
        <v>12</v>
      </c>
    </row>
    <row r="1934" spans="1:12" x14ac:dyDescent="0.3">
      <c r="A1934">
        <v>464</v>
      </c>
      <c r="B1934" t="s">
        <v>24</v>
      </c>
      <c r="C1934" s="1">
        <v>45913</v>
      </c>
      <c r="D1934" s="1" t="str">
        <f xml:space="preserve"> TEXT(FilmaxData[[#This Row],[Show_Date]],"MMM")</f>
        <v>Sep</v>
      </c>
      <c r="E1934" s="1" t="str">
        <f xml:space="preserve"> TEXT(FilmaxData[[#This Row],[Show_Date]],"DDD")</f>
        <v>Sat</v>
      </c>
      <c r="F1934" t="s">
        <v>20</v>
      </c>
      <c r="G1934" t="s">
        <v>12</v>
      </c>
      <c r="H1934">
        <v>3</v>
      </c>
      <c r="I1934">
        <v>25</v>
      </c>
      <c r="J1934" t="s">
        <v>21</v>
      </c>
      <c r="K1934" t="s">
        <v>14</v>
      </c>
      <c r="L1934">
        <v>75</v>
      </c>
    </row>
    <row r="1935" spans="1:12" x14ac:dyDescent="0.3">
      <c r="A1935">
        <v>1743</v>
      </c>
      <c r="B1935" t="s">
        <v>26</v>
      </c>
      <c r="C1935" s="1">
        <v>45843</v>
      </c>
      <c r="D1935" s="1" t="str">
        <f xml:space="preserve"> TEXT(FilmaxData[[#This Row],[Show_Date]],"MMM")</f>
        <v>Jul</v>
      </c>
      <c r="E1935" s="1" t="str">
        <f xml:space="preserve"> TEXT(FilmaxData[[#This Row],[Show_Date]],"DDD")</f>
        <v>Sat</v>
      </c>
      <c r="F1935" t="s">
        <v>11</v>
      </c>
      <c r="G1935" t="s">
        <v>30</v>
      </c>
      <c r="H1935">
        <v>3</v>
      </c>
      <c r="I1935">
        <v>8</v>
      </c>
      <c r="J1935" t="s">
        <v>13</v>
      </c>
      <c r="K1935" t="s">
        <v>14</v>
      </c>
      <c r="L1935">
        <v>24</v>
      </c>
    </row>
    <row r="1936" spans="1:12" x14ac:dyDescent="0.3">
      <c r="A1936">
        <v>966</v>
      </c>
      <c r="B1936" t="s">
        <v>24</v>
      </c>
      <c r="C1936" s="1">
        <v>45892</v>
      </c>
      <c r="D1936" s="1" t="str">
        <f xml:space="preserve"> TEXT(FilmaxData[[#This Row],[Show_Date]],"MMM")</f>
        <v>Aug</v>
      </c>
      <c r="E1936" s="1" t="str">
        <f xml:space="preserve"> TEXT(FilmaxData[[#This Row],[Show_Date]],"DDD")</f>
        <v>Sat</v>
      </c>
      <c r="F1936" t="s">
        <v>11</v>
      </c>
      <c r="G1936" t="s">
        <v>30</v>
      </c>
      <c r="H1936">
        <v>3</v>
      </c>
      <c r="I1936">
        <v>8</v>
      </c>
      <c r="J1936" t="s">
        <v>21</v>
      </c>
      <c r="K1936" t="s">
        <v>14</v>
      </c>
      <c r="L1936">
        <v>24</v>
      </c>
    </row>
    <row r="1937" spans="1:12" x14ac:dyDescent="0.3">
      <c r="A1937">
        <v>445</v>
      </c>
      <c r="B1937" t="s">
        <v>31</v>
      </c>
      <c r="C1937" s="1">
        <v>45890</v>
      </c>
      <c r="D1937" s="1" t="str">
        <f xml:space="preserve"> TEXT(FilmaxData[[#This Row],[Show_Date]],"MMM")</f>
        <v>Aug</v>
      </c>
      <c r="E1937" s="1" t="str">
        <f xml:space="preserve"> TEXT(FilmaxData[[#This Row],[Show_Date]],"DDD")</f>
        <v>Thu</v>
      </c>
      <c r="F1937" t="s">
        <v>16</v>
      </c>
      <c r="G1937" t="s">
        <v>17</v>
      </c>
      <c r="H1937">
        <v>5</v>
      </c>
      <c r="I1937">
        <v>12</v>
      </c>
      <c r="J1937" t="s">
        <v>21</v>
      </c>
      <c r="K1937" t="s">
        <v>14</v>
      </c>
      <c r="L1937">
        <v>60</v>
      </c>
    </row>
    <row r="1938" spans="1:12" x14ac:dyDescent="0.3">
      <c r="A1938">
        <v>29</v>
      </c>
      <c r="B1938" t="s">
        <v>19</v>
      </c>
      <c r="C1938" s="1">
        <v>45877</v>
      </c>
      <c r="D1938" s="1" t="str">
        <f xml:space="preserve"> TEXT(FilmaxData[[#This Row],[Show_Date]],"MMM")</f>
        <v>Aug</v>
      </c>
      <c r="E1938" s="1" t="str">
        <f xml:space="preserve"> TEXT(FilmaxData[[#This Row],[Show_Date]],"DDD")</f>
        <v>Fri</v>
      </c>
      <c r="F1938" t="s">
        <v>20</v>
      </c>
      <c r="G1938" t="s">
        <v>17</v>
      </c>
      <c r="H1938">
        <v>4</v>
      </c>
      <c r="I1938">
        <v>12</v>
      </c>
      <c r="J1938" t="s">
        <v>13</v>
      </c>
      <c r="K1938" t="s">
        <v>18</v>
      </c>
      <c r="L1938">
        <v>48</v>
      </c>
    </row>
    <row r="1939" spans="1:12" x14ac:dyDescent="0.3">
      <c r="A1939">
        <v>205</v>
      </c>
      <c r="B1939" t="s">
        <v>31</v>
      </c>
      <c r="C1939" s="1">
        <v>45909</v>
      </c>
      <c r="D1939" s="1" t="str">
        <f xml:space="preserve"> TEXT(FilmaxData[[#This Row],[Show_Date]],"MMM")</f>
        <v>Sep</v>
      </c>
      <c r="E1939" s="1" t="str">
        <f xml:space="preserve"> TEXT(FilmaxData[[#This Row],[Show_Date]],"DDD")</f>
        <v>Tue</v>
      </c>
      <c r="F1939" t="s">
        <v>33</v>
      </c>
      <c r="G1939" t="s">
        <v>30</v>
      </c>
      <c r="H1939">
        <v>2</v>
      </c>
      <c r="I1939">
        <v>8</v>
      </c>
      <c r="J1939" t="s">
        <v>21</v>
      </c>
      <c r="K1939" t="s">
        <v>25</v>
      </c>
      <c r="L1939">
        <v>16</v>
      </c>
    </row>
    <row r="1940" spans="1:12" x14ac:dyDescent="0.3">
      <c r="A1940">
        <v>127</v>
      </c>
      <c r="B1940" t="s">
        <v>26</v>
      </c>
      <c r="C1940" s="1">
        <v>45906</v>
      </c>
      <c r="D1940" s="1" t="str">
        <f xml:space="preserve"> TEXT(FilmaxData[[#This Row],[Show_Date]],"MMM")</f>
        <v>Sep</v>
      </c>
      <c r="E1940" s="1" t="str">
        <f xml:space="preserve"> TEXT(FilmaxData[[#This Row],[Show_Date]],"DDD")</f>
        <v>Sat</v>
      </c>
      <c r="F1940" t="s">
        <v>33</v>
      </c>
      <c r="G1940" t="s">
        <v>12</v>
      </c>
      <c r="H1940">
        <v>4</v>
      </c>
      <c r="I1940">
        <v>25</v>
      </c>
      <c r="J1940" t="s">
        <v>13</v>
      </c>
      <c r="K1940" t="s">
        <v>25</v>
      </c>
      <c r="L1940">
        <v>100</v>
      </c>
    </row>
    <row r="1941" spans="1:12" x14ac:dyDescent="0.3">
      <c r="A1941">
        <v>531</v>
      </c>
      <c r="B1941" t="s">
        <v>24</v>
      </c>
      <c r="C1941" s="1">
        <v>45864</v>
      </c>
      <c r="D1941" s="1" t="str">
        <f xml:space="preserve"> TEXT(FilmaxData[[#This Row],[Show_Date]],"MMM")</f>
        <v>Jul</v>
      </c>
      <c r="E1941" s="1" t="str">
        <f xml:space="preserve"> TEXT(FilmaxData[[#This Row],[Show_Date]],"DDD")</f>
        <v>Sat</v>
      </c>
      <c r="F1941" t="s">
        <v>20</v>
      </c>
      <c r="G1941" t="s">
        <v>30</v>
      </c>
      <c r="H1941">
        <v>4</v>
      </c>
      <c r="I1941">
        <v>8</v>
      </c>
      <c r="J1941" t="s">
        <v>21</v>
      </c>
      <c r="K1941" t="s">
        <v>25</v>
      </c>
      <c r="L1941">
        <v>32</v>
      </c>
    </row>
    <row r="1942" spans="1:12" x14ac:dyDescent="0.3">
      <c r="A1942">
        <v>439</v>
      </c>
      <c r="B1942" t="s">
        <v>28</v>
      </c>
      <c r="C1942" s="1">
        <v>45864</v>
      </c>
      <c r="D1942" s="1" t="str">
        <f xml:space="preserve"> TEXT(FilmaxData[[#This Row],[Show_Date]],"MMM")</f>
        <v>Jul</v>
      </c>
      <c r="E1942" s="1" t="str">
        <f xml:space="preserve"> TEXT(FilmaxData[[#This Row],[Show_Date]],"DDD")</f>
        <v>Sat</v>
      </c>
      <c r="F1942" t="s">
        <v>11</v>
      </c>
      <c r="G1942" t="s">
        <v>12</v>
      </c>
      <c r="H1942">
        <v>4</v>
      </c>
      <c r="I1942">
        <v>25</v>
      </c>
      <c r="J1942" t="s">
        <v>23</v>
      </c>
      <c r="K1942" t="s">
        <v>18</v>
      </c>
      <c r="L1942">
        <v>100</v>
      </c>
    </row>
    <row r="1943" spans="1:12" x14ac:dyDescent="0.3">
      <c r="A1943">
        <v>673</v>
      </c>
      <c r="B1943" t="s">
        <v>10</v>
      </c>
      <c r="C1943" s="1">
        <v>45889</v>
      </c>
      <c r="D1943" s="1" t="str">
        <f xml:space="preserve"> TEXT(FilmaxData[[#This Row],[Show_Date]],"MMM")</f>
        <v>Aug</v>
      </c>
      <c r="E1943" s="1" t="str">
        <f xml:space="preserve"> TEXT(FilmaxData[[#This Row],[Show_Date]],"DDD")</f>
        <v>Wed</v>
      </c>
      <c r="F1943" t="s">
        <v>20</v>
      </c>
      <c r="G1943" t="s">
        <v>30</v>
      </c>
      <c r="H1943">
        <v>1</v>
      </c>
      <c r="I1943">
        <v>8</v>
      </c>
      <c r="J1943" t="s">
        <v>23</v>
      </c>
      <c r="K1943" t="s">
        <v>27</v>
      </c>
      <c r="L1943">
        <v>8</v>
      </c>
    </row>
    <row r="1944" spans="1:12" x14ac:dyDescent="0.3">
      <c r="A1944">
        <v>902</v>
      </c>
      <c r="B1944" t="s">
        <v>31</v>
      </c>
      <c r="C1944" s="1">
        <v>45919</v>
      </c>
      <c r="D1944" s="1" t="str">
        <f xml:space="preserve"> TEXT(FilmaxData[[#This Row],[Show_Date]],"MMM")</f>
        <v>Sep</v>
      </c>
      <c r="E1944" s="1" t="str">
        <f xml:space="preserve"> TEXT(FilmaxData[[#This Row],[Show_Date]],"DDD")</f>
        <v>Fri</v>
      </c>
      <c r="F1944" t="s">
        <v>20</v>
      </c>
      <c r="G1944" t="s">
        <v>30</v>
      </c>
      <c r="H1944">
        <v>2</v>
      </c>
      <c r="I1944">
        <v>8</v>
      </c>
      <c r="J1944" t="s">
        <v>23</v>
      </c>
      <c r="K1944" t="s">
        <v>18</v>
      </c>
      <c r="L1944">
        <v>16</v>
      </c>
    </row>
    <row r="1945" spans="1:12" x14ac:dyDescent="0.3">
      <c r="A1945">
        <v>1615</v>
      </c>
      <c r="B1945" t="s">
        <v>10</v>
      </c>
      <c r="C1945" s="1">
        <v>45925</v>
      </c>
      <c r="D1945" s="1" t="str">
        <f xml:space="preserve"> TEXT(FilmaxData[[#This Row],[Show_Date]],"MMM")</f>
        <v>Sep</v>
      </c>
      <c r="E1945" s="1" t="str">
        <f xml:space="preserve"> TEXT(FilmaxData[[#This Row],[Show_Date]],"DDD")</f>
        <v>Thu</v>
      </c>
      <c r="F1945" t="s">
        <v>16</v>
      </c>
      <c r="G1945" t="s">
        <v>17</v>
      </c>
      <c r="H1945">
        <v>5</v>
      </c>
      <c r="I1945">
        <v>12</v>
      </c>
      <c r="J1945" t="s">
        <v>13</v>
      </c>
      <c r="K1945" t="s">
        <v>18</v>
      </c>
      <c r="L1945">
        <v>60</v>
      </c>
    </row>
    <row r="1946" spans="1:12" x14ac:dyDescent="0.3">
      <c r="A1946">
        <v>1912</v>
      </c>
      <c r="B1946" t="s">
        <v>10</v>
      </c>
      <c r="C1946" s="1">
        <v>45843</v>
      </c>
      <c r="D1946" s="1" t="str">
        <f xml:space="preserve"> TEXT(FilmaxData[[#This Row],[Show_Date]],"MMM")</f>
        <v>Jul</v>
      </c>
      <c r="E1946" s="1" t="str">
        <f xml:space="preserve"> TEXT(FilmaxData[[#This Row],[Show_Date]],"DDD")</f>
        <v>Sat</v>
      </c>
      <c r="F1946" t="s">
        <v>20</v>
      </c>
      <c r="G1946" t="s">
        <v>17</v>
      </c>
      <c r="H1946">
        <v>1</v>
      </c>
      <c r="I1946">
        <v>12</v>
      </c>
      <c r="J1946" t="s">
        <v>21</v>
      </c>
      <c r="K1946" t="s">
        <v>27</v>
      </c>
      <c r="L1946">
        <v>12</v>
      </c>
    </row>
    <row r="1947" spans="1:12" x14ac:dyDescent="0.3">
      <c r="A1947">
        <v>1020</v>
      </c>
      <c r="B1947" t="s">
        <v>15</v>
      </c>
      <c r="C1947" s="1">
        <v>45873</v>
      </c>
      <c r="D1947" s="1" t="str">
        <f xml:space="preserve"> TEXT(FilmaxData[[#This Row],[Show_Date]],"MMM")</f>
        <v>Aug</v>
      </c>
      <c r="E1947" s="1" t="str">
        <f xml:space="preserve"> TEXT(FilmaxData[[#This Row],[Show_Date]],"DDD")</f>
        <v>Mon</v>
      </c>
      <c r="F1947" t="s">
        <v>11</v>
      </c>
      <c r="G1947" t="s">
        <v>30</v>
      </c>
      <c r="H1947">
        <v>4</v>
      </c>
      <c r="I1947">
        <v>8</v>
      </c>
      <c r="J1947" t="s">
        <v>23</v>
      </c>
      <c r="K1947" t="s">
        <v>18</v>
      </c>
      <c r="L1947">
        <v>32</v>
      </c>
    </row>
    <row r="1948" spans="1:12" x14ac:dyDescent="0.3">
      <c r="A1948">
        <v>1645</v>
      </c>
      <c r="B1948" t="s">
        <v>24</v>
      </c>
      <c r="C1948" s="1">
        <v>45871</v>
      </c>
      <c r="D1948" s="1" t="str">
        <f xml:space="preserve"> TEXT(FilmaxData[[#This Row],[Show_Date]],"MMM")</f>
        <v>Aug</v>
      </c>
      <c r="E1948" s="1" t="str">
        <f xml:space="preserve"> TEXT(FilmaxData[[#This Row],[Show_Date]],"DDD")</f>
        <v>Sat</v>
      </c>
      <c r="F1948" t="s">
        <v>20</v>
      </c>
      <c r="G1948" t="s">
        <v>30</v>
      </c>
      <c r="H1948">
        <v>4</v>
      </c>
      <c r="I1948">
        <v>8</v>
      </c>
      <c r="J1948" t="s">
        <v>23</v>
      </c>
      <c r="K1948" t="s">
        <v>14</v>
      </c>
      <c r="L1948">
        <v>32</v>
      </c>
    </row>
    <row r="1949" spans="1:12" x14ac:dyDescent="0.3">
      <c r="A1949">
        <v>1495</v>
      </c>
      <c r="B1949" t="s">
        <v>10</v>
      </c>
      <c r="C1949" s="1">
        <v>45845</v>
      </c>
      <c r="D1949" s="1" t="str">
        <f xml:space="preserve"> TEXT(FilmaxData[[#This Row],[Show_Date]],"MMM")</f>
        <v>Jul</v>
      </c>
      <c r="E1949" s="1" t="str">
        <f xml:space="preserve"> TEXT(FilmaxData[[#This Row],[Show_Date]],"DDD")</f>
        <v>Mon</v>
      </c>
      <c r="F1949" t="s">
        <v>11</v>
      </c>
      <c r="G1949" t="s">
        <v>30</v>
      </c>
      <c r="H1949">
        <v>3</v>
      </c>
      <c r="I1949">
        <v>8</v>
      </c>
      <c r="J1949" t="s">
        <v>21</v>
      </c>
      <c r="K1949" t="s">
        <v>25</v>
      </c>
      <c r="L1949">
        <v>24</v>
      </c>
    </row>
    <row r="1950" spans="1:12" x14ac:dyDescent="0.3">
      <c r="A1950">
        <v>709</v>
      </c>
      <c r="B1950" t="s">
        <v>19</v>
      </c>
      <c r="C1950" s="1">
        <v>45914</v>
      </c>
      <c r="D1950" s="1" t="str">
        <f xml:space="preserve"> TEXT(FilmaxData[[#This Row],[Show_Date]],"MMM")</f>
        <v>Sep</v>
      </c>
      <c r="E1950" s="1" t="str">
        <f xml:space="preserve"> TEXT(FilmaxData[[#This Row],[Show_Date]],"DDD")</f>
        <v>Sun</v>
      </c>
      <c r="F1950" t="s">
        <v>16</v>
      </c>
      <c r="G1950" t="s">
        <v>17</v>
      </c>
      <c r="H1950">
        <v>5</v>
      </c>
      <c r="I1950">
        <v>12</v>
      </c>
      <c r="J1950" t="s">
        <v>13</v>
      </c>
      <c r="K1950" t="s">
        <v>14</v>
      </c>
      <c r="L1950">
        <v>60</v>
      </c>
    </row>
    <row r="1951" spans="1:12" x14ac:dyDescent="0.3">
      <c r="A1951">
        <v>356</v>
      </c>
      <c r="B1951" t="s">
        <v>28</v>
      </c>
      <c r="C1951" s="1">
        <v>45913</v>
      </c>
      <c r="D1951" s="1" t="str">
        <f xml:space="preserve"> TEXT(FilmaxData[[#This Row],[Show_Date]],"MMM")</f>
        <v>Sep</v>
      </c>
      <c r="E1951" s="1" t="str">
        <f xml:space="preserve"> TEXT(FilmaxData[[#This Row],[Show_Date]],"DDD")</f>
        <v>Sat</v>
      </c>
      <c r="F1951" t="s">
        <v>11</v>
      </c>
      <c r="G1951" t="s">
        <v>17</v>
      </c>
      <c r="H1951">
        <v>2</v>
      </c>
      <c r="I1951">
        <v>12</v>
      </c>
      <c r="J1951" t="s">
        <v>21</v>
      </c>
      <c r="K1951" t="s">
        <v>27</v>
      </c>
      <c r="L1951">
        <v>24</v>
      </c>
    </row>
    <row r="1952" spans="1:12" x14ac:dyDescent="0.3">
      <c r="A1952">
        <v>1166</v>
      </c>
      <c r="B1952" t="s">
        <v>26</v>
      </c>
      <c r="C1952" s="1">
        <v>45857</v>
      </c>
      <c r="D1952" s="1" t="str">
        <f xml:space="preserve"> TEXT(FilmaxData[[#This Row],[Show_Date]],"MMM")</f>
        <v>Jul</v>
      </c>
      <c r="E1952" s="1" t="str">
        <f xml:space="preserve"> TEXT(FilmaxData[[#This Row],[Show_Date]],"DDD")</f>
        <v>Sat</v>
      </c>
      <c r="F1952" t="s">
        <v>33</v>
      </c>
      <c r="G1952" t="s">
        <v>17</v>
      </c>
      <c r="H1952">
        <v>2</v>
      </c>
      <c r="I1952">
        <v>12</v>
      </c>
      <c r="J1952" t="s">
        <v>23</v>
      </c>
      <c r="K1952" t="s">
        <v>25</v>
      </c>
      <c r="L1952">
        <v>24</v>
      </c>
    </row>
    <row r="1953" spans="1:12" x14ac:dyDescent="0.3">
      <c r="A1953">
        <v>468</v>
      </c>
      <c r="B1953" t="s">
        <v>24</v>
      </c>
      <c r="C1953" s="1">
        <v>45849</v>
      </c>
      <c r="D1953" s="1" t="str">
        <f xml:space="preserve"> TEXT(FilmaxData[[#This Row],[Show_Date]],"MMM")</f>
        <v>Jul</v>
      </c>
      <c r="E1953" s="1" t="str">
        <f xml:space="preserve"> TEXT(FilmaxData[[#This Row],[Show_Date]],"DDD")</f>
        <v>Fri</v>
      </c>
      <c r="F1953" t="s">
        <v>33</v>
      </c>
      <c r="G1953" t="s">
        <v>17</v>
      </c>
      <c r="H1953">
        <v>5</v>
      </c>
      <c r="I1953">
        <v>12</v>
      </c>
      <c r="J1953" t="s">
        <v>23</v>
      </c>
      <c r="K1953" t="s">
        <v>14</v>
      </c>
      <c r="L1953">
        <v>60</v>
      </c>
    </row>
    <row r="1954" spans="1:12" x14ac:dyDescent="0.3">
      <c r="A1954">
        <v>1971</v>
      </c>
      <c r="B1954" t="s">
        <v>24</v>
      </c>
      <c r="C1954" s="1">
        <v>45916</v>
      </c>
      <c r="D1954" s="1" t="str">
        <f xml:space="preserve"> TEXT(FilmaxData[[#This Row],[Show_Date]],"MMM")</f>
        <v>Sep</v>
      </c>
      <c r="E1954" s="1" t="str">
        <f xml:space="preserve"> TEXT(FilmaxData[[#This Row],[Show_Date]],"DDD")</f>
        <v>Tue</v>
      </c>
      <c r="F1954" t="s">
        <v>16</v>
      </c>
      <c r="G1954" t="s">
        <v>29</v>
      </c>
      <c r="H1954">
        <v>3</v>
      </c>
      <c r="I1954">
        <v>30</v>
      </c>
      <c r="J1954" t="s">
        <v>21</v>
      </c>
      <c r="K1954" t="s">
        <v>14</v>
      </c>
      <c r="L1954">
        <v>90</v>
      </c>
    </row>
    <row r="1955" spans="1:12" x14ac:dyDescent="0.3">
      <c r="A1955">
        <v>1704</v>
      </c>
      <c r="B1955" t="s">
        <v>32</v>
      </c>
      <c r="C1955" s="1">
        <v>45885</v>
      </c>
      <c r="D1955" s="1" t="str">
        <f xml:space="preserve"> TEXT(FilmaxData[[#This Row],[Show_Date]],"MMM")</f>
        <v>Aug</v>
      </c>
      <c r="E1955" s="1" t="str">
        <f xml:space="preserve"> TEXT(FilmaxData[[#This Row],[Show_Date]],"DDD")</f>
        <v>Sat</v>
      </c>
      <c r="F1955" t="s">
        <v>20</v>
      </c>
      <c r="G1955" t="s">
        <v>22</v>
      </c>
      <c r="H1955">
        <v>4</v>
      </c>
      <c r="I1955">
        <v>20</v>
      </c>
      <c r="J1955" t="s">
        <v>23</v>
      </c>
      <c r="K1955" t="s">
        <v>14</v>
      </c>
      <c r="L1955">
        <v>80</v>
      </c>
    </row>
    <row r="1956" spans="1:12" x14ac:dyDescent="0.3">
      <c r="A1956">
        <v>623</v>
      </c>
      <c r="B1956" t="s">
        <v>28</v>
      </c>
      <c r="C1956" s="1">
        <v>45844</v>
      </c>
      <c r="D1956" s="1" t="str">
        <f xml:space="preserve"> TEXT(FilmaxData[[#This Row],[Show_Date]],"MMM")</f>
        <v>Jul</v>
      </c>
      <c r="E1956" s="1" t="str">
        <f xml:space="preserve"> TEXT(FilmaxData[[#This Row],[Show_Date]],"DDD")</f>
        <v>Sun</v>
      </c>
      <c r="F1956" t="s">
        <v>16</v>
      </c>
      <c r="G1956" t="s">
        <v>17</v>
      </c>
      <c r="H1956">
        <v>5</v>
      </c>
      <c r="I1956">
        <v>12</v>
      </c>
      <c r="J1956" t="s">
        <v>23</v>
      </c>
      <c r="K1956" t="s">
        <v>14</v>
      </c>
      <c r="L1956">
        <v>60</v>
      </c>
    </row>
    <row r="1957" spans="1:12" x14ac:dyDescent="0.3">
      <c r="A1957">
        <v>757</v>
      </c>
      <c r="B1957" t="s">
        <v>26</v>
      </c>
      <c r="C1957" s="1">
        <v>45899</v>
      </c>
      <c r="D1957" s="1" t="str">
        <f xml:space="preserve"> TEXT(FilmaxData[[#This Row],[Show_Date]],"MMM")</f>
        <v>Aug</v>
      </c>
      <c r="E1957" s="1" t="str">
        <f xml:space="preserve"> TEXT(FilmaxData[[#This Row],[Show_Date]],"DDD")</f>
        <v>Sat</v>
      </c>
      <c r="F1957" t="s">
        <v>33</v>
      </c>
      <c r="G1957" t="s">
        <v>17</v>
      </c>
      <c r="H1957">
        <v>3</v>
      </c>
      <c r="I1957">
        <v>12</v>
      </c>
      <c r="J1957" t="s">
        <v>13</v>
      </c>
      <c r="K1957" t="s">
        <v>14</v>
      </c>
      <c r="L1957">
        <v>36</v>
      </c>
    </row>
    <row r="1958" spans="1:12" x14ac:dyDescent="0.3">
      <c r="A1958">
        <v>1691</v>
      </c>
      <c r="B1958" t="s">
        <v>10</v>
      </c>
      <c r="C1958" s="1">
        <v>45850</v>
      </c>
      <c r="D1958" s="1" t="str">
        <f xml:space="preserve"> TEXT(FilmaxData[[#This Row],[Show_Date]],"MMM")</f>
        <v>Jul</v>
      </c>
      <c r="E1958" s="1" t="str">
        <f xml:space="preserve"> TEXT(FilmaxData[[#This Row],[Show_Date]],"DDD")</f>
        <v>Sat</v>
      </c>
      <c r="F1958" t="s">
        <v>20</v>
      </c>
      <c r="G1958" t="s">
        <v>22</v>
      </c>
      <c r="H1958">
        <v>4</v>
      </c>
      <c r="I1958">
        <v>20</v>
      </c>
      <c r="J1958" t="s">
        <v>23</v>
      </c>
      <c r="K1958" t="s">
        <v>27</v>
      </c>
      <c r="L1958">
        <v>80</v>
      </c>
    </row>
    <row r="1959" spans="1:12" x14ac:dyDescent="0.3">
      <c r="A1959">
        <v>882</v>
      </c>
      <c r="B1959" t="s">
        <v>10</v>
      </c>
      <c r="C1959" s="1">
        <v>45843</v>
      </c>
      <c r="D1959" s="1" t="str">
        <f xml:space="preserve"> TEXT(FilmaxData[[#This Row],[Show_Date]],"MMM")</f>
        <v>Jul</v>
      </c>
      <c r="E1959" s="1" t="str">
        <f xml:space="preserve"> TEXT(FilmaxData[[#This Row],[Show_Date]],"DDD")</f>
        <v>Sat</v>
      </c>
      <c r="F1959" t="s">
        <v>33</v>
      </c>
      <c r="G1959" t="s">
        <v>22</v>
      </c>
      <c r="H1959">
        <v>1</v>
      </c>
      <c r="I1959">
        <v>20</v>
      </c>
      <c r="J1959" t="s">
        <v>21</v>
      </c>
      <c r="K1959" t="s">
        <v>14</v>
      </c>
      <c r="L1959">
        <v>20</v>
      </c>
    </row>
    <row r="1960" spans="1:12" x14ac:dyDescent="0.3">
      <c r="A1960">
        <v>641</v>
      </c>
      <c r="B1960" t="s">
        <v>10</v>
      </c>
      <c r="C1960" s="1">
        <v>45927</v>
      </c>
      <c r="D1960" s="1" t="str">
        <f xml:space="preserve"> TEXT(FilmaxData[[#This Row],[Show_Date]],"MMM")</f>
        <v>Sep</v>
      </c>
      <c r="E1960" s="1" t="str">
        <f xml:space="preserve"> TEXT(FilmaxData[[#This Row],[Show_Date]],"DDD")</f>
        <v>Sat</v>
      </c>
      <c r="F1960" t="s">
        <v>11</v>
      </c>
      <c r="G1960" t="s">
        <v>17</v>
      </c>
      <c r="H1960">
        <v>3</v>
      </c>
      <c r="I1960">
        <v>12</v>
      </c>
      <c r="J1960" t="s">
        <v>23</v>
      </c>
      <c r="K1960" t="s">
        <v>14</v>
      </c>
      <c r="L1960">
        <v>36</v>
      </c>
    </row>
    <row r="1961" spans="1:12" x14ac:dyDescent="0.3">
      <c r="A1961">
        <v>1091</v>
      </c>
      <c r="B1961" t="s">
        <v>31</v>
      </c>
      <c r="C1961" s="1">
        <v>45871</v>
      </c>
      <c r="D1961" s="1" t="str">
        <f xml:space="preserve"> TEXT(FilmaxData[[#This Row],[Show_Date]],"MMM")</f>
        <v>Aug</v>
      </c>
      <c r="E1961" s="1" t="str">
        <f xml:space="preserve"> TEXT(FilmaxData[[#This Row],[Show_Date]],"DDD")</f>
        <v>Sat</v>
      </c>
      <c r="F1961" t="s">
        <v>16</v>
      </c>
      <c r="G1961" t="s">
        <v>17</v>
      </c>
      <c r="H1961">
        <v>2</v>
      </c>
      <c r="I1961">
        <v>12</v>
      </c>
      <c r="J1961" t="s">
        <v>23</v>
      </c>
      <c r="K1961" t="s">
        <v>18</v>
      </c>
      <c r="L1961">
        <v>24</v>
      </c>
    </row>
    <row r="1962" spans="1:12" x14ac:dyDescent="0.3">
      <c r="A1962">
        <v>36</v>
      </c>
      <c r="B1962" t="s">
        <v>15</v>
      </c>
      <c r="C1962" s="1">
        <v>45914</v>
      </c>
      <c r="D1962" s="1" t="str">
        <f xml:space="preserve"> TEXT(FilmaxData[[#This Row],[Show_Date]],"MMM")</f>
        <v>Sep</v>
      </c>
      <c r="E1962" s="1" t="str">
        <f xml:space="preserve"> TEXT(FilmaxData[[#This Row],[Show_Date]],"DDD")</f>
        <v>Sun</v>
      </c>
      <c r="F1962" t="s">
        <v>20</v>
      </c>
      <c r="G1962" t="s">
        <v>17</v>
      </c>
      <c r="H1962">
        <v>3</v>
      </c>
      <c r="I1962">
        <v>12</v>
      </c>
      <c r="J1962" t="s">
        <v>21</v>
      </c>
      <c r="K1962" t="s">
        <v>27</v>
      </c>
      <c r="L1962">
        <v>36</v>
      </c>
    </row>
    <row r="1963" spans="1:12" x14ac:dyDescent="0.3">
      <c r="A1963">
        <v>81</v>
      </c>
      <c r="B1963" t="s">
        <v>28</v>
      </c>
      <c r="C1963" s="1">
        <v>45908</v>
      </c>
      <c r="D1963" s="1" t="str">
        <f xml:space="preserve"> TEXT(FilmaxData[[#This Row],[Show_Date]],"MMM")</f>
        <v>Sep</v>
      </c>
      <c r="E1963" s="1" t="str">
        <f xml:space="preserve"> TEXT(FilmaxData[[#This Row],[Show_Date]],"DDD")</f>
        <v>Mon</v>
      </c>
      <c r="F1963" t="s">
        <v>33</v>
      </c>
      <c r="G1963" t="s">
        <v>17</v>
      </c>
      <c r="H1963">
        <v>2</v>
      </c>
      <c r="I1963">
        <v>12</v>
      </c>
      <c r="J1963" t="s">
        <v>23</v>
      </c>
      <c r="K1963" t="s">
        <v>27</v>
      </c>
      <c r="L1963">
        <v>24</v>
      </c>
    </row>
    <row r="1964" spans="1:12" x14ac:dyDescent="0.3">
      <c r="A1964">
        <v>1075</v>
      </c>
      <c r="B1964" t="s">
        <v>24</v>
      </c>
      <c r="C1964" s="1">
        <v>45857</v>
      </c>
      <c r="D1964" s="1" t="str">
        <f xml:space="preserve"> TEXT(FilmaxData[[#This Row],[Show_Date]],"MMM")</f>
        <v>Jul</v>
      </c>
      <c r="E1964" s="1" t="str">
        <f xml:space="preserve"> TEXT(FilmaxData[[#This Row],[Show_Date]],"DDD")</f>
        <v>Sat</v>
      </c>
      <c r="F1964" t="s">
        <v>11</v>
      </c>
      <c r="G1964" t="s">
        <v>12</v>
      </c>
      <c r="H1964">
        <v>2</v>
      </c>
      <c r="I1964">
        <v>25</v>
      </c>
      <c r="J1964" t="s">
        <v>23</v>
      </c>
      <c r="K1964" t="s">
        <v>18</v>
      </c>
      <c r="L1964">
        <v>50</v>
      </c>
    </row>
    <row r="1965" spans="1:12" x14ac:dyDescent="0.3">
      <c r="A1965">
        <v>1911</v>
      </c>
      <c r="B1965" t="s">
        <v>31</v>
      </c>
      <c r="C1965" s="1">
        <v>45900</v>
      </c>
      <c r="D1965" s="1" t="str">
        <f xml:space="preserve"> TEXT(FilmaxData[[#This Row],[Show_Date]],"MMM")</f>
        <v>Aug</v>
      </c>
      <c r="E1965" s="1" t="str">
        <f xml:space="preserve"> TEXT(FilmaxData[[#This Row],[Show_Date]],"DDD")</f>
        <v>Sun</v>
      </c>
      <c r="F1965" t="s">
        <v>16</v>
      </c>
      <c r="G1965" t="s">
        <v>17</v>
      </c>
      <c r="H1965">
        <v>5</v>
      </c>
      <c r="I1965">
        <v>12</v>
      </c>
      <c r="J1965" t="s">
        <v>23</v>
      </c>
      <c r="K1965" t="s">
        <v>25</v>
      </c>
      <c r="L1965">
        <v>60</v>
      </c>
    </row>
    <row r="1966" spans="1:12" x14ac:dyDescent="0.3">
      <c r="A1966">
        <v>916</v>
      </c>
      <c r="B1966" t="s">
        <v>10</v>
      </c>
      <c r="C1966" s="1">
        <v>45899</v>
      </c>
      <c r="D1966" s="1" t="str">
        <f xml:space="preserve"> TEXT(FilmaxData[[#This Row],[Show_Date]],"MMM")</f>
        <v>Aug</v>
      </c>
      <c r="E1966" s="1" t="str">
        <f xml:space="preserve"> TEXT(FilmaxData[[#This Row],[Show_Date]],"DDD")</f>
        <v>Sat</v>
      </c>
      <c r="F1966" t="s">
        <v>33</v>
      </c>
      <c r="G1966" t="s">
        <v>30</v>
      </c>
      <c r="H1966">
        <v>5</v>
      </c>
      <c r="I1966">
        <v>8</v>
      </c>
      <c r="J1966" t="s">
        <v>13</v>
      </c>
      <c r="K1966" t="s">
        <v>14</v>
      </c>
      <c r="L1966">
        <v>40</v>
      </c>
    </row>
    <row r="1967" spans="1:12" x14ac:dyDescent="0.3">
      <c r="A1967">
        <v>1910</v>
      </c>
      <c r="B1967" t="s">
        <v>15</v>
      </c>
      <c r="C1967" s="1">
        <v>45885</v>
      </c>
      <c r="D1967" s="1" t="str">
        <f xml:space="preserve"> TEXT(FilmaxData[[#This Row],[Show_Date]],"MMM")</f>
        <v>Aug</v>
      </c>
      <c r="E1967" s="1" t="str">
        <f xml:space="preserve"> TEXT(FilmaxData[[#This Row],[Show_Date]],"DDD")</f>
        <v>Sat</v>
      </c>
      <c r="F1967" t="s">
        <v>33</v>
      </c>
      <c r="G1967" t="s">
        <v>17</v>
      </c>
      <c r="H1967">
        <v>5</v>
      </c>
      <c r="I1967">
        <v>12</v>
      </c>
      <c r="J1967" t="s">
        <v>23</v>
      </c>
      <c r="K1967" t="s">
        <v>18</v>
      </c>
      <c r="L1967">
        <v>60</v>
      </c>
    </row>
    <row r="1968" spans="1:12" x14ac:dyDescent="0.3">
      <c r="A1968">
        <v>416</v>
      </c>
      <c r="B1968" t="s">
        <v>24</v>
      </c>
      <c r="C1968" s="1">
        <v>45906</v>
      </c>
      <c r="D1968" s="1" t="str">
        <f xml:space="preserve"> TEXT(FilmaxData[[#This Row],[Show_Date]],"MMM")</f>
        <v>Sep</v>
      </c>
      <c r="E1968" s="1" t="str">
        <f xml:space="preserve"> TEXT(FilmaxData[[#This Row],[Show_Date]],"DDD")</f>
        <v>Sat</v>
      </c>
      <c r="F1968" t="s">
        <v>20</v>
      </c>
      <c r="G1968" t="s">
        <v>29</v>
      </c>
      <c r="H1968">
        <v>1</v>
      </c>
      <c r="I1968">
        <v>30</v>
      </c>
      <c r="J1968" t="s">
        <v>21</v>
      </c>
      <c r="K1968" t="s">
        <v>25</v>
      </c>
      <c r="L1968">
        <v>30</v>
      </c>
    </row>
    <row r="1969" spans="1:12" x14ac:dyDescent="0.3">
      <c r="A1969">
        <v>1375</v>
      </c>
      <c r="B1969" t="s">
        <v>32</v>
      </c>
      <c r="C1969" s="1">
        <v>45843</v>
      </c>
      <c r="D1969" s="1" t="str">
        <f xml:space="preserve"> TEXT(FilmaxData[[#This Row],[Show_Date]],"MMM")</f>
        <v>Jul</v>
      </c>
      <c r="E1969" s="1" t="str">
        <f xml:space="preserve"> TEXT(FilmaxData[[#This Row],[Show_Date]],"DDD")</f>
        <v>Sat</v>
      </c>
      <c r="F1969" t="s">
        <v>20</v>
      </c>
      <c r="G1969" t="s">
        <v>22</v>
      </c>
      <c r="H1969">
        <v>5</v>
      </c>
      <c r="I1969">
        <v>20</v>
      </c>
      <c r="J1969" t="s">
        <v>23</v>
      </c>
      <c r="K1969" t="s">
        <v>27</v>
      </c>
      <c r="L1969">
        <v>100</v>
      </c>
    </row>
    <row r="1970" spans="1:12" x14ac:dyDescent="0.3">
      <c r="A1970">
        <v>396</v>
      </c>
      <c r="B1970" t="s">
        <v>31</v>
      </c>
      <c r="C1970" s="1">
        <v>45926</v>
      </c>
      <c r="D1970" s="1" t="str">
        <f xml:space="preserve"> TEXT(FilmaxData[[#This Row],[Show_Date]],"MMM")</f>
        <v>Sep</v>
      </c>
      <c r="E1970" s="1" t="str">
        <f xml:space="preserve"> TEXT(FilmaxData[[#This Row],[Show_Date]],"DDD")</f>
        <v>Fri</v>
      </c>
      <c r="F1970" t="s">
        <v>16</v>
      </c>
      <c r="G1970" t="s">
        <v>17</v>
      </c>
      <c r="H1970">
        <v>2</v>
      </c>
      <c r="I1970">
        <v>12</v>
      </c>
      <c r="J1970" t="s">
        <v>13</v>
      </c>
      <c r="K1970" t="s">
        <v>18</v>
      </c>
      <c r="L1970">
        <v>24</v>
      </c>
    </row>
    <row r="1971" spans="1:12" x14ac:dyDescent="0.3">
      <c r="A1971">
        <v>1863</v>
      </c>
      <c r="B1971" t="s">
        <v>32</v>
      </c>
      <c r="C1971" s="1">
        <v>45850</v>
      </c>
      <c r="D1971" s="1" t="str">
        <f xml:space="preserve"> TEXT(FilmaxData[[#This Row],[Show_Date]],"MMM")</f>
        <v>Jul</v>
      </c>
      <c r="E1971" s="1" t="str">
        <f xml:space="preserve"> TEXT(FilmaxData[[#This Row],[Show_Date]],"DDD")</f>
        <v>Sat</v>
      </c>
      <c r="F1971" t="s">
        <v>11</v>
      </c>
      <c r="G1971" t="s">
        <v>17</v>
      </c>
      <c r="H1971">
        <v>2</v>
      </c>
      <c r="I1971">
        <v>12</v>
      </c>
      <c r="J1971" t="s">
        <v>13</v>
      </c>
      <c r="K1971" t="s">
        <v>18</v>
      </c>
      <c r="L1971">
        <v>24</v>
      </c>
    </row>
    <row r="1972" spans="1:12" x14ac:dyDescent="0.3">
      <c r="A1972">
        <v>1505</v>
      </c>
      <c r="B1972" t="s">
        <v>28</v>
      </c>
      <c r="C1972" s="1">
        <v>45875</v>
      </c>
      <c r="D1972" s="1" t="str">
        <f xml:space="preserve"> TEXT(FilmaxData[[#This Row],[Show_Date]],"MMM")</f>
        <v>Aug</v>
      </c>
      <c r="E1972" s="1" t="str">
        <f xml:space="preserve"> TEXT(FilmaxData[[#This Row],[Show_Date]],"DDD")</f>
        <v>Wed</v>
      </c>
      <c r="F1972" t="s">
        <v>33</v>
      </c>
      <c r="G1972" t="s">
        <v>22</v>
      </c>
      <c r="H1972">
        <v>4</v>
      </c>
      <c r="I1972">
        <v>20</v>
      </c>
      <c r="J1972" t="s">
        <v>21</v>
      </c>
      <c r="K1972" t="s">
        <v>25</v>
      </c>
      <c r="L1972">
        <v>80</v>
      </c>
    </row>
    <row r="1973" spans="1:12" x14ac:dyDescent="0.3">
      <c r="A1973">
        <v>1894</v>
      </c>
      <c r="B1973" t="s">
        <v>32</v>
      </c>
      <c r="C1973" s="1">
        <v>45857</v>
      </c>
      <c r="D1973" s="1" t="str">
        <f xml:space="preserve"> TEXT(FilmaxData[[#This Row],[Show_Date]],"MMM")</f>
        <v>Jul</v>
      </c>
      <c r="E1973" s="1" t="str">
        <f xml:space="preserve"> TEXT(FilmaxData[[#This Row],[Show_Date]],"DDD")</f>
        <v>Sat</v>
      </c>
      <c r="F1973" t="s">
        <v>33</v>
      </c>
      <c r="G1973" t="s">
        <v>17</v>
      </c>
      <c r="H1973">
        <v>4</v>
      </c>
      <c r="I1973">
        <v>12</v>
      </c>
      <c r="J1973" t="s">
        <v>23</v>
      </c>
      <c r="K1973" t="s">
        <v>25</v>
      </c>
      <c r="L1973">
        <v>48</v>
      </c>
    </row>
    <row r="1974" spans="1:12" x14ac:dyDescent="0.3">
      <c r="A1974">
        <v>1780</v>
      </c>
      <c r="B1974" t="s">
        <v>19</v>
      </c>
      <c r="C1974" s="1">
        <v>45887</v>
      </c>
      <c r="D1974" s="1" t="str">
        <f xml:space="preserve"> TEXT(FilmaxData[[#This Row],[Show_Date]],"MMM")</f>
        <v>Aug</v>
      </c>
      <c r="E1974" s="1" t="str">
        <f xml:space="preserve"> TEXT(FilmaxData[[#This Row],[Show_Date]],"DDD")</f>
        <v>Mon</v>
      </c>
      <c r="F1974" t="s">
        <v>16</v>
      </c>
      <c r="G1974" t="s">
        <v>22</v>
      </c>
      <c r="H1974">
        <v>4</v>
      </c>
      <c r="I1974">
        <v>20</v>
      </c>
      <c r="J1974" t="s">
        <v>13</v>
      </c>
      <c r="K1974" t="s">
        <v>25</v>
      </c>
      <c r="L1974">
        <v>80</v>
      </c>
    </row>
    <row r="1975" spans="1:12" x14ac:dyDescent="0.3">
      <c r="A1975">
        <v>349</v>
      </c>
      <c r="B1975" t="s">
        <v>19</v>
      </c>
      <c r="C1975" s="1">
        <v>45914</v>
      </c>
      <c r="D1975" s="1" t="str">
        <f xml:space="preserve"> TEXT(FilmaxData[[#This Row],[Show_Date]],"MMM")</f>
        <v>Sep</v>
      </c>
      <c r="E1975" s="1" t="str">
        <f xml:space="preserve"> TEXT(FilmaxData[[#This Row],[Show_Date]],"DDD")</f>
        <v>Sun</v>
      </c>
      <c r="F1975" t="s">
        <v>16</v>
      </c>
      <c r="G1975" t="s">
        <v>12</v>
      </c>
      <c r="H1975">
        <v>3</v>
      </c>
      <c r="I1975">
        <v>25</v>
      </c>
      <c r="J1975" t="s">
        <v>13</v>
      </c>
      <c r="K1975" t="s">
        <v>25</v>
      </c>
      <c r="L1975">
        <v>75</v>
      </c>
    </row>
    <row r="1976" spans="1:12" x14ac:dyDescent="0.3">
      <c r="A1976">
        <v>1991</v>
      </c>
      <c r="B1976" t="s">
        <v>31</v>
      </c>
      <c r="C1976" s="1">
        <v>45874</v>
      </c>
      <c r="D1976" s="1" t="str">
        <f xml:space="preserve"> TEXT(FilmaxData[[#This Row],[Show_Date]],"MMM")</f>
        <v>Aug</v>
      </c>
      <c r="E1976" s="1" t="str">
        <f xml:space="preserve"> TEXT(FilmaxData[[#This Row],[Show_Date]],"DDD")</f>
        <v>Tue</v>
      </c>
      <c r="F1976" t="s">
        <v>16</v>
      </c>
      <c r="G1976" t="s">
        <v>17</v>
      </c>
      <c r="H1976">
        <v>5</v>
      </c>
      <c r="I1976">
        <v>12</v>
      </c>
      <c r="J1976" t="s">
        <v>21</v>
      </c>
      <c r="K1976" t="s">
        <v>14</v>
      </c>
      <c r="L1976">
        <v>60</v>
      </c>
    </row>
    <row r="1977" spans="1:12" x14ac:dyDescent="0.3">
      <c r="A1977">
        <v>429</v>
      </c>
      <c r="B1977" t="s">
        <v>24</v>
      </c>
      <c r="C1977" s="1">
        <v>45902</v>
      </c>
      <c r="D1977" s="1" t="str">
        <f xml:space="preserve"> TEXT(FilmaxData[[#This Row],[Show_Date]],"MMM")</f>
        <v>Sep</v>
      </c>
      <c r="E1977" s="1" t="str">
        <f xml:space="preserve"> TEXT(FilmaxData[[#This Row],[Show_Date]],"DDD")</f>
        <v>Tue</v>
      </c>
      <c r="F1977" t="s">
        <v>33</v>
      </c>
      <c r="G1977" t="s">
        <v>17</v>
      </c>
      <c r="H1977">
        <v>3</v>
      </c>
      <c r="I1977">
        <v>12</v>
      </c>
      <c r="J1977" t="s">
        <v>21</v>
      </c>
      <c r="K1977" t="s">
        <v>25</v>
      </c>
      <c r="L1977">
        <v>36</v>
      </c>
    </row>
    <row r="1978" spans="1:12" x14ac:dyDescent="0.3">
      <c r="A1978">
        <v>1879</v>
      </c>
      <c r="B1978" t="s">
        <v>31</v>
      </c>
      <c r="C1978" s="1">
        <v>45844</v>
      </c>
      <c r="D1978" s="1" t="str">
        <f xml:space="preserve"> TEXT(FilmaxData[[#This Row],[Show_Date]],"MMM")</f>
        <v>Jul</v>
      </c>
      <c r="E1978" s="1" t="str">
        <f xml:space="preserve"> TEXT(FilmaxData[[#This Row],[Show_Date]],"DDD")</f>
        <v>Sun</v>
      </c>
      <c r="F1978" t="s">
        <v>20</v>
      </c>
      <c r="G1978" t="s">
        <v>12</v>
      </c>
      <c r="H1978">
        <v>3</v>
      </c>
      <c r="I1978">
        <v>25</v>
      </c>
      <c r="J1978" t="s">
        <v>23</v>
      </c>
      <c r="K1978" t="s">
        <v>14</v>
      </c>
      <c r="L1978">
        <v>75</v>
      </c>
    </row>
    <row r="1979" spans="1:12" x14ac:dyDescent="0.3">
      <c r="A1979">
        <v>538</v>
      </c>
      <c r="B1979" t="s">
        <v>28</v>
      </c>
      <c r="C1979" s="1">
        <v>45871</v>
      </c>
      <c r="D1979" s="1" t="str">
        <f xml:space="preserve"> TEXT(FilmaxData[[#This Row],[Show_Date]],"MMM")</f>
        <v>Aug</v>
      </c>
      <c r="E1979" s="1" t="str">
        <f xml:space="preserve"> TEXT(FilmaxData[[#This Row],[Show_Date]],"DDD")</f>
        <v>Sat</v>
      </c>
      <c r="F1979" t="s">
        <v>20</v>
      </c>
      <c r="G1979" t="s">
        <v>17</v>
      </c>
      <c r="H1979">
        <v>5</v>
      </c>
      <c r="I1979">
        <v>12</v>
      </c>
      <c r="J1979" t="s">
        <v>21</v>
      </c>
      <c r="K1979" t="s">
        <v>25</v>
      </c>
      <c r="L1979">
        <v>60</v>
      </c>
    </row>
    <row r="1980" spans="1:12" x14ac:dyDescent="0.3">
      <c r="A1980">
        <v>413</v>
      </c>
      <c r="B1980" t="s">
        <v>10</v>
      </c>
      <c r="C1980" s="1">
        <v>45854</v>
      </c>
      <c r="D1980" s="1" t="str">
        <f xml:space="preserve"> TEXT(FilmaxData[[#This Row],[Show_Date]],"MMM")</f>
        <v>Jul</v>
      </c>
      <c r="E1980" s="1" t="str">
        <f xml:space="preserve"> TEXT(FilmaxData[[#This Row],[Show_Date]],"DDD")</f>
        <v>Wed</v>
      </c>
      <c r="F1980" t="s">
        <v>20</v>
      </c>
      <c r="G1980" t="s">
        <v>17</v>
      </c>
      <c r="H1980">
        <v>5</v>
      </c>
      <c r="I1980">
        <v>12</v>
      </c>
      <c r="J1980" t="s">
        <v>13</v>
      </c>
      <c r="K1980" t="s">
        <v>25</v>
      </c>
      <c r="L1980">
        <v>60</v>
      </c>
    </row>
    <row r="1981" spans="1:12" x14ac:dyDescent="0.3">
      <c r="A1981">
        <v>713</v>
      </c>
      <c r="B1981" t="s">
        <v>24</v>
      </c>
      <c r="C1981" s="1">
        <v>45851</v>
      </c>
      <c r="D1981" s="1" t="str">
        <f xml:space="preserve"> TEXT(FilmaxData[[#This Row],[Show_Date]],"MMM")</f>
        <v>Jul</v>
      </c>
      <c r="E1981" s="1" t="str">
        <f xml:space="preserve"> TEXT(FilmaxData[[#This Row],[Show_Date]],"DDD")</f>
        <v>Sun</v>
      </c>
      <c r="F1981" t="s">
        <v>20</v>
      </c>
      <c r="G1981" t="s">
        <v>17</v>
      </c>
      <c r="H1981">
        <v>5</v>
      </c>
      <c r="I1981">
        <v>12</v>
      </c>
      <c r="J1981" t="s">
        <v>23</v>
      </c>
      <c r="K1981" t="s">
        <v>14</v>
      </c>
      <c r="L1981">
        <v>60</v>
      </c>
    </row>
    <row r="1982" spans="1:12" x14ac:dyDescent="0.3">
      <c r="A1982">
        <v>1120</v>
      </c>
      <c r="B1982" t="s">
        <v>10</v>
      </c>
      <c r="C1982" s="1">
        <v>45867</v>
      </c>
      <c r="D1982" s="1" t="str">
        <f xml:space="preserve"> TEXT(FilmaxData[[#This Row],[Show_Date]],"MMM")</f>
        <v>Jul</v>
      </c>
      <c r="E1982" s="1" t="str">
        <f xml:space="preserve"> TEXT(FilmaxData[[#This Row],[Show_Date]],"DDD")</f>
        <v>Tue</v>
      </c>
      <c r="F1982" t="s">
        <v>16</v>
      </c>
      <c r="G1982" t="s">
        <v>17</v>
      </c>
      <c r="H1982">
        <v>5</v>
      </c>
      <c r="I1982">
        <v>12</v>
      </c>
      <c r="J1982" t="s">
        <v>21</v>
      </c>
      <c r="K1982" t="s">
        <v>14</v>
      </c>
      <c r="L1982">
        <v>60</v>
      </c>
    </row>
    <row r="1983" spans="1:12" x14ac:dyDescent="0.3">
      <c r="A1983">
        <v>561</v>
      </c>
      <c r="B1983" t="s">
        <v>31</v>
      </c>
      <c r="C1983" s="1">
        <v>45921</v>
      </c>
      <c r="D1983" s="1" t="str">
        <f xml:space="preserve"> TEXT(FilmaxData[[#This Row],[Show_Date]],"MMM")</f>
        <v>Sep</v>
      </c>
      <c r="E1983" s="1" t="str">
        <f xml:space="preserve"> TEXT(FilmaxData[[#This Row],[Show_Date]],"DDD")</f>
        <v>Sun</v>
      </c>
      <c r="F1983" t="s">
        <v>20</v>
      </c>
      <c r="G1983" t="s">
        <v>30</v>
      </c>
      <c r="H1983">
        <v>1</v>
      </c>
      <c r="I1983">
        <v>8</v>
      </c>
      <c r="J1983" t="s">
        <v>21</v>
      </c>
      <c r="K1983" t="s">
        <v>25</v>
      </c>
      <c r="L1983">
        <v>8</v>
      </c>
    </row>
    <row r="1984" spans="1:12" x14ac:dyDescent="0.3">
      <c r="A1984">
        <v>1</v>
      </c>
      <c r="B1984" t="s">
        <v>28</v>
      </c>
      <c r="C1984" s="1">
        <v>45905</v>
      </c>
      <c r="D1984" s="1" t="str">
        <f xml:space="preserve"> TEXT(FilmaxData[[#This Row],[Show_Date]],"MMM")</f>
        <v>Sep</v>
      </c>
      <c r="E1984" s="1" t="str">
        <f xml:space="preserve"> TEXT(FilmaxData[[#This Row],[Show_Date]],"DDD")</f>
        <v>Fri</v>
      </c>
      <c r="F1984" t="s">
        <v>11</v>
      </c>
      <c r="G1984" t="s">
        <v>17</v>
      </c>
      <c r="H1984">
        <v>2</v>
      </c>
      <c r="I1984">
        <v>12</v>
      </c>
      <c r="J1984" t="s">
        <v>21</v>
      </c>
      <c r="K1984" t="s">
        <v>18</v>
      </c>
      <c r="L1984">
        <v>24</v>
      </c>
    </row>
    <row r="1985" spans="1:12" x14ac:dyDescent="0.3">
      <c r="A1985">
        <v>647</v>
      </c>
      <c r="B1985" t="s">
        <v>15</v>
      </c>
      <c r="C1985" s="1">
        <v>45921</v>
      </c>
      <c r="D1985" s="1" t="str">
        <f xml:space="preserve"> TEXT(FilmaxData[[#This Row],[Show_Date]],"MMM")</f>
        <v>Sep</v>
      </c>
      <c r="E1985" s="1" t="str">
        <f xml:space="preserve"> TEXT(FilmaxData[[#This Row],[Show_Date]],"DDD")</f>
        <v>Sun</v>
      </c>
      <c r="F1985" t="s">
        <v>20</v>
      </c>
      <c r="G1985" t="s">
        <v>29</v>
      </c>
      <c r="H1985">
        <v>3</v>
      </c>
      <c r="I1985">
        <v>30</v>
      </c>
      <c r="J1985" t="s">
        <v>13</v>
      </c>
      <c r="K1985" t="s">
        <v>27</v>
      </c>
      <c r="L1985">
        <v>90</v>
      </c>
    </row>
    <row r="1986" spans="1:12" x14ac:dyDescent="0.3">
      <c r="A1986">
        <v>1793</v>
      </c>
      <c r="B1986" t="s">
        <v>28</v>
      </c>
      <c r="C1986" s="1">
        <v>45899</v>
      </c>
      <c r="D1986" s="1" t="str">
        <f xml:space="preserve"> TEXT(FilmaxData[[#This Row],[Show_Date]],"MMM")</f>
        <v>Aug</v>
      </c>
      <c r="E1986" s="1" t="str">
        <f xml:space="preserve"> TEXT(FilmaxData[[#This Row],[Show_Date]],"DDD")</f>
        <v>Sat</v>
      </c>
      <c r="F1986" t="s">
        <v>11</v>
      </c>
      <c r="G1986" t="s">
        <v>12</v>
      </c>
      <c r="H1986">
        <v>3</v>
      </c>
      <c r="I1986">
        <v>25</v>
      </c>
      <c r="J1986" t="s">
        <v>13</v>
      </c>
      <c r="K1986" t="s">
        <v>14</v>
      </c>
      <c r="L1986">
        <v>75</v>
      </c>
    </row>
    <row r="1987" spans="1:12" x14ac:dyDescent="0.3">
      <c r="A1987">
        <v>1551</v>
      </c>
      <c r="B1987" t="s">
        <v>15</v>
      </c>
      <c r="C1987" s="1">
        <v>45841</v>
      </c>
      <c r="D1987" s="1" t="str">
        <f xml:space="preserve"> TEXT(FilmaxData[[#This Row],[Show_Date]],"MMM")</f>
        <v>Jul</v>
      </c>
      <c r="E1987" s="1" t="str">
        <f xml:space="preserve"> TEXT(FilmaxData[[#This Row],[Show_Date]],"DDD")</f>
        <v>Thu</v>
      </c>
      <c r="F1987" t="s">
        <v>33</v>
      </c>
      <c r="G1987" t="s">
        <v>22</v>
      </c>
      <c r="H1987">
        <v>2</v>
      </c>
      <c r="I1987">
        <v>20</v>
      </c>
      <c r="J1987" t="s">
        <v>21</v>
      </c>
      <c r="K1987" t="s">
        <v>25</v>
      </c>
      <c r="L1987">
        <v>40</v>
      </c>
    </row>
    <row r="1988" spans="1:12" x14ac:dyDescent="0.3">
      <c r="A1988">
        <v>195</v>
      </c>
      <c r="B1988" t="s">
        <v>28</v>
      </c>
      <c r="C1988" s="1">
        <v>45892</v>
      </c>
      <c r="D1988" s="1" t="str">
        <f xml:space="preserve"> TEXT(FilmaxData[[#This Row],[Show_Date]],"MMM")</f>
        <v>Aug</v>
      </c>
      <c r="E1988" s="1" t="str">
        <f xml:space="preserve"> TEXT(FilmaxData[[#This Row],[Show_Date]],"DDD")</f>
        <v>Sat</v>
      </c>
      <c r="F1988" t="s">
        <v>33</v>
      </c>
      <c r="G1988" t="s">
        <v>17</v>
      </c>
      <c r="H1988">
        <v>4</v>
      </c>
      <c r="I1988">
        <v>12</v>
      </c>
      <c r="J1988" t="s">
        <v>21</v>
      </c>
      <c r="K1988" t="s">
        <v>14</v>
      </c>
      <c r="L1988">
        <v>48</v>
      </c>
    </row>
    <row r="1989" spans="1:12" x14ac:dyDescent="0.3">
      <c r="A1989">
        <v>139</v>
      </c>
      <c r="B1989" t="s">
        <v>28</v>
      </c>
      <c r="C1989" s="1">
        <v>45842</v>
      </c>
      <c r="D1989" s="1" t="str">
        <f xml:space="preserve"> TEXT(FilmaxData[[#This Row],[Show_Date]],"MMM")</f>
        <v>Jul</v>
      </c>
      <c r="E1989" s="1" t="str">
        <f xml:space="preserve"> TEXT(FilmaxData[[#This Row],[Show_Date]],"DDD")</f>
        <v>Fri</v>
      </c>
      <c r="F1989" t="s">
        <v>20</v>
      </c>
      <c r="G1989" t="s">
        <v>17</v>
      </c>
      <c r="H1989">
        <v>4</v>
      </c>
      <c r="I1989">
        <v>12</v>
      </c>
      <c r="J1989" t="s">
        <v>21</v>
      </c>
      <c r="K1989" t="s">
        <v>27</v>
      </c>
      <c r="L1989">
        <v>48</v>
      </c>
    </row>
    <row r="1990" spans="1:12" x14ac:dyDescent="0.3">
      <c r="A1990">
        <v>1062</v>
      </c>
      <c r="B1990" t="s">
        <v>15</v>
      </c>
      <c r="C1990" s="1">
        <v>45872</v>
      </c>
      <c r="D1990" s="1" t="str">
        <f xml:space="preserve"> TEXT(FilmaxData[[#This Row],[Show_Date]],"MMM")</f>
        <v>Aug</v>
      </c>
      <c r="E1990" s="1" t="str">
        <f xml:space="preserve"> TEXT(FilmaxData[[#This Row],[Show_Date]],"DDD")</f>
        <v>Sun</v>
      </c>
      <c r="F1990" t="s">
        <v>20</v>
      </c>
      <c r="G1990" t="s">
        <v>17</v>
      </c>
      <c r="H1990">
        <v>1</v>
      </c>
      <c r="I1990">
        <v>12</v>
      </c>
      <c r="J1990" t="s">
        <v>21</v>
      </c>
      <c r="K1990" t="s">
        <v>14</v>
      </c>
      <c r="L1990">
        <v>12</v>
      </c>
    </row>
    <row r="1991" spans="1:12" x14ac:dyDescent="0.3">
      <c r="A1991">
        <v>1720</v>
      </c>
      <c r="B1991" t="s">
        <v>24</v>
      </c>
      <c r="C1991" s="1">
        <v>45853</v>
      </c>
      <c r="D1991" s="1" t="str">
        <f xml:space="preserve"> TEXT(FilmaxData[[#This Row],[Show_Date]],"MMM")</f>
        <v>Jul</v>
      </c>
      <c r="E1991" s="1" t="str">
        <f xml:space="preserve"> TEXT(FilmaxData[[#This Row],[Show_Date]],"DDD")</f>
        <v>Tue</v>
      </c>
      <c r="F1991" t="s">
        <v>20</v>
      </c>
      <c r="G1991" t="s">
        <v>17</v>
      </c>
      <c r="H1991">
        <v>1</v>
      </c>
      <c r="I1991">
        <v>12</v>
      </c>
      <c r="J1991" t="s">
        <v>21</v>
      </c>
      <c r="K1991" t="s">
        <v>14</v>
      </c>
      <c r="L1991">
        <v>12</v>
      </c>
    </row>
    <row r="1992" spans="1:12" x14ac:dyDescent="0.3">
      <c r="A1992">
        <v>235</v>
      </c>
      <c r="B1992" t="s">
        <v>31</v>
      </c>
      <c r="C1992" s="1">
        <v>45856</v>
      </c>
      <c r="D1992" s="1" t="str">
        <f xml:space="preserve"> TEXT(FilmaxData[[#This Row],[Show_Date]],"MMM")</f>
        <v>Jul</v>
      </c>
      <c r="E1992" s="1" t="str">
        <f xml:space="preserve"> TEXT(FilmaxData[[#This Row],[Show_Date]],"DDD")</f>
        <v>Fri</v>
      </c>
      <c r="F1992" t="s">
        <v>33</v>
      </c>
      <c r="G1992" t="s">
        <v>30</v>
      </c>
      <c r="H1992">
        <v>5</v>
      </c>
      <c r="I1992">
        <v>8</v>
      </c>
      <c r="J1992" t="s">
        <v>21</v>
      </c>
      <c r="K1992" t="s">
        <v>25</v>
      </c>
      <c r="L1992">
        <v>40</v>
      </c>
    </row>
    <row r="1993" spans="1:12" x14ac:dyDescent="0.3">
      <c r="A1993">
        <v>1488</v>
      </c>
      <c r="B1993" t="s">
        <v>24</v>
      </c>
      <c r="C1993" s="1">
        <v>45923</v>
      </c>
      <c r="D1993" s="1" t="str">
        <f xml:space="preserve"> TEXT(FilmaxData[[#This Row],[Show_Date]],"MMM")</f>
        <v>Sep</v>
      </c>
      <c r="E1993" s="1" t="str">
        <f xml:space="preserve"> TEXT(FilmaxData[[#This Row],[Show_Date]],"DDD")</f>
        <v>Tue</v>
      </c>
      <c r="F1993" t="s">
        <v>11</v>
      </c>
      <c r="G1993" t="s">
        <v>17</v>
      </c>
      <c r="H1993">
        <v>4</v>
      </c>
      <c r="I1993">
        <v>12</v>
      </c>
      <c r="J1993" t="s">
        <v>21</v>
      </c>
      <c r="K1993" t="s">
        <v>18</v>
      </c>
      <c r="L1993">
        <v>48</v>
      </c>
    </row>
    <row r="1994" spans="1:12" x14ac:dyDescent="0.3">
      <c r="A1994">
        <v>303</v>
      </c>
      <c r="B1994" t="s">
        <v>32</v>
      </c>
      <c r="C1994" s="1">
        <v>45866</v>
      </c>
      <c r="D1994" s="1" t="str">
        <f xml:space="preserve"> TEXT(FilmaxData[[#This Row],[Show_Date]],"MMM")</f>
        <v>Jul</v>
      </c>
      <c r="E1994" s="1" t="str">
        <f xml:space="preserve"> TEXT(FilmaxData[[#This Row],[Show_Date]],"DDD")</f>
        <v>Mon</v>
      </c>
      <c r="F1994" t="s">
        <v>11</v>
      </c>
      <c r="G1994" t="s">
        <v>12</v>
      </c>
      <c r="H1994">
        <v>5</v>
      </c>
      <c r="I1994">
        <v>25</v>
      </c>
      <c r="J1994" t="s">
        <v>23</v>
      </c>
      <c r="K1994" t="s">
        <v>18</v>
      </c>
      <c r="L1994">
        <v>125</v>
      </c>
    </row>
    <row r="1995" spans="1:12" x14ac:dyDescent="0.3">
      <c r="A1995">
        <v>604</v>
      </c>
      <c r="B1995" t="s">
        <v>10</v>
      </c>
      <c r="C1995" s="1">
        <v>45872</v>
      </c>
      <c r="D1995" s="1" t="str">
        <f xml:space="preserve"> TEXT(FilmaxData[[#This Row],[Show_Date]],"MMM")</f>
        <v>Aug</v>
      </c>
      <c r="E1995" s="1" t="str">
        <f xml:space="preserve"> TEXT(FilmaxData[[#This Row],[Show_Date]],"DDD")</f>
        <v>Sun</v>
      </c>
      <c r="F1995" t="s">
        <v>33</v>
      </c>
      <c r="G1995" t="s">
        <v>17</v>
      </c>
      <c r="H1995">
        <v>1</v>
      </c>
      <c r="I1995">
        <v>12</v>
      </c>
      <c r="J1995" t="s">
        <v>13</v>
      </c>
      <c r="K1995" t="s">
        <v>25</v>
      </c>
      <c r="L1995">
        <v>12</v>
      </c>
    </row>
    <row r="1996" spans="1:12" x14ac:dyDescent="0.3">
      <c r="A1996">
        <v>1751</v>
      </c>
      <c r="B1996" t="s">
        <v>31</v>
      </c>
      <c r="C1996" s="1">
        <v>45928</v>
      </c>
      <c r="D1996" s="1" t="str">
        <f xml:space="preserve"> TEXT(FilmaxData[[#This Row],[Show_Date]],"MMM")</f>
        <v>Sep</v>
      </c>
      <c r="E1996" s="1" t="str">
        <f xml:space="preserve"> TEXT(FilmaxData[[#This Row],[Show_Date]],"DDD")</f>
        <v>Sun</v>
      </c>
      <c r="F1996" t="s">
        <v>11</v>
      </c>
      <c r="G1996" t="s">
        <v>22</v>
      </c>
      <c r="H1996">
        <v>2</v>
      </c>
      <c r="I1996">
        <v>20</v>
      </c>
      <c r="J1996" t="s">
        <v>21</v>
      </c>
      <c r="K1996" t="s">
        <v>18</v>
      </c>
      <c r="L1996">
        <v>40</v>
      </c>
    </row>
    <row r="1997" spans="1:12" x14ac:dyDescent="0.3">
      <c r="A1997">
        <v>503</v>
      </c>
      <c r="B1997" t="s">
        <v>15</v>
      </c>
      <c r="C1997" s="1">
        <v>45880</v>
      </c>
      <c r="D1997" s="1" t="str">
        <f xml:space="preserve"> TEXT(FilmaxData[[#This Row],[Show_Date]],"MMM")</f>
        <v>Aug</v>
      </c>
      <c r="E1997" s="1" t="str">
        <f xml:space="preserve"> TEXT(FilmaxData[[#This Row],[Show_Date]],"DDD")</f>
        <v>Mon</v>
      </c>
      <c r="F1997" t="s">
        <v>33</v>
      </c>
      <c r="G1997" t="s">
        <v>12</v>
      </c>
      <c r="H1997">
        <v>1</v>
      </c>
      <c r="I1997">
        <v>25</v>
      </c>
      <c r="J1997" t="s">
        <v>21</v>
      </c>
      <c r="K1997" t="s">
        <v>18</v>
      </c>
      <c r="L1997">
        <v>25</v>
      </c>
    </row>
    <row r="1998" spans="1:12" x14ac:dyDescent="0.3">
      <c r="A1998">
        <v>1433</v>
      </c>
      <c r="B1998" t="s">
        <v>10</v>
      </c>
      <c r="C1998" s="1">
        <v>45903</v>
      </c>
      <c r="D1998" s="1" t="str">
        <f xml:space="preserve"> TEXT(FilmaxData[[#This Row],[Show_Date]],"MMM")</f>
        <v>Sep</v>
      </c>
      <c r="E1998" s="1" t="str">
        <f xml:space="preserve"> TEXT(FilmaxData[[#This Row],[Show_Date]],"DDD")</f>
        <v>Wed</v>
      </c>
      <c r="F1998" t="s">
        <v>33</v>
      </c>
      <c r="G1998" t="s">
        <v>30</v>
      </c>
      <c r="H1998">
        <v>5</v>
      </c>
      <c r="I1998">
        <v>8</v>
      </c>
      <c r="J1998" t="s">
        <v>13</v>
      </c>
      <c r="K1998" t="s">
        <v>27</v>
      </c>
      <c r="L1998">
        <v>40</v>
      </c>
    </row>
    <row r="1999" spans="1:12" x14ac:dyDescent="0.3">
      <c r="A1999">
        <v>1872</v>
      </c>
      <c r="B1999" t="s">
        <v>15</v>
      </c>
      <c r="C1999" s="1">
        <v>45872</v>
      </c>
      <c r="D1999" s="1" t="str">
        <f xml:space="preserve"> TEXT(FilmaxData[[#This Row],[Show_Date]],"MMM")</f>
        <v>Aug</v>
      </c>
      <c r="E1999" s="1" t="str">
        <f xml:space="preserve"> TEXT(FilmaxData[[#This Row],[Show_Date]],"DDD")</f>
        <v>Sun</v>
      </c>
      <c r="F1999" t="s">
        <v>11</v>
      </c>
      <c r="G1999" t="s">
        <v>17</v>
      </c>
      <c r="H1999">
        <v>4</v>
      </c>
      <c r="I1999">
        <v>12</v>
      </c>
      <c r="J1999" t="s">
        <v>21</v>
      </c>
      <c r="K1999" t="s">
        <v>18</v>
      </c>
      <c r="L1999">
        <v>48</v>
      </c>
    </row>
    <row r="2000" spans="1:12" x14ac:dyDescent="0.3">
      <c r="A2000">
        <v>600</v>
      </c>
      <c r="B2000" t="s">
        <v>10</v>
      </c>
      <c r="C2000" s="1">
        <v>45906</v>
      </c>
      <c r="D2000" s="1" t="str">
        <f xml:space="preserve"> TEXT(FilmaxData[[#This Row],[Show_Date]],"MMM")</f>
        <v>Sep</v>
      </c>
      <c r="E2000" s="1" t="str">
        <f xml:space="preserve"> TEXT(FilmaxData[[#This Row],[Show_Date]],"DDD")</f>
        <v>Sat</v>
      </c>
      <c r="F2000" t="s">
        <v>11</v>
      </c>
      <c r="G2000" t="s">
        <v>17</v>
      </c>
      <c r="H2000">
        <v>3</v>
      </c>
      <c r="I2000">
        <v>12</v>
      </c>
      <c r="J2000" t="s">
        <v>23</v>
      </c>
      <c r="K2000" t="s">
        <v>18</v>
      </c>
      <c r="L2000">
        <v>36</v>
      </c>
    </row>
    <row r="2001" spans="1:12" x14ac:dyDescent="0.3">
      <c r="A2001">
        <v>1885</v>
      </c>
      <c r="B2001" t="s">
        <v>24</v>
      </c>
      <c r="C2001" s="1">
        <v>45891</v>
      </c>
      <c r="D2001" s="1" t="str">
        <f xml:space="preserve"> TEXT(FilmaxData[[#This Row],[Show_Date]],"MMM")</f>
        <v>Aug</v>
      </c>
      <c r="E2001" s="1" t="str">
        <f xml:space="preserve"> TEXT(FilmaxData[[#This Row],[Show_Date]],"DDD")</f>
        <v>Fri</v>
      </c>
      <c r="F2001" t="s">
        <v>20</v>
      </c>
      <c r="G2001" t="s">
        <v>22</v>
      </c>
      <c r="H2001">
        <v>2</v>
      </c>
      <c r="I2001">
        <v>20</v>
      </c>
      <c r="J2001" t="s">
        <v>21</v>
      </c>
      <c r="K2001" t="s">
        <v>18</v>
      </c>
      <c r="L2001">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A79F-110C-4E1A-9364-D57E57E8467F}">
  <dimension ref="A3:M50"/>
  <sheetViews>
    <sheetView workbookViewId="0">
      <selection activeCell="D4" sqref="D4"/>
    </sheetView>
  </sheetViews>
  <sheetFormatPr defaultRowHeight="14.4" x14ac:dyDescent="0.3"/>
  <cols>
    <col min="1" max="1" width="12.5546875" bestFit="1" customWidth="1"/>
    <col min="2" max="2" width="20.21875" bestFit="1" customWidth="1"/>
    <col min="3" max="3" width="18.109375" bestFit="1" customWidth="1"/>
    <col min="4" max="4" width="20.21875" bestFit="1" customWidth="1"/>
    <col min="5" max="5" width="10.33203125" customWidth="1"/>
    <col min="6" max="6" width="10.6640625" customWidth="1"/>
    <col min="7" max="7" width="13.44140625" customWidth="1"/>
    <col min="8" max="8" width="12.5546875" bestFit="1" customWidth="1"/>
    <col min="9" max="9" width="20.21875" bestFit="1" customWidth="1"/>
    <col min="11" max="11" width="19.6640625" customWidth="1"/>
    <col min="12" max="12" width="15.33203125" customWidth="1"/>
    <col min="13" max="13" width="13.109375" customWidth="1"/>
  </cols>
  <sheetData>
    <row r="3" spans="1:13" x14ac:dyDescent="0.3">
      <c r="A3" s="6" t="s">
        <v>39</v>
      </c>
      <c r="H3" s="3" t="s">
        <v>36</v>
      </c>
      <c r="I3" t="s">
        <v>34</v>
      </c>
      <c r="K3" t="s">
        <v>52</v>
      </c>
      <c r="L3" t="s">
        <v>53</v>
      </c>
      <c r="M3" t="s">
        <v>51</v>
      </c>
    </row>
    <row r="4" spans="1:13" x14ac:dyDescent="0.3">
      <c r="A4" s="4" t="s">
        <v>34</v>
      </c>
      <c r="B4" s="5">
        <v>30089</v>
      </c>
      <c r="H4" s="4" t="s">
        <v>31</v>
      </c>
      <c r="I4">
        <v>2588</v>
      </c>
      <c r="K4" t="str" cm="1">
        <f t="array" ref="K4:L11">H4:I11</f>
        <v>The Flash</v>
      </c>
      <c r="L4">
        <v>2588</v>
      </c>
      <c r="M4">
        <v>1500</v>
      </c>
    </row>
    <row r="5" spans="1:13" x14ac:dyDescent="0.3">
      <c r="A5" s="4" t="s">
        <v>38</v>
      </c>
      <c r="B5" s="2">
        <v>638</v>
      </c>
      <c r="H5" s="4" t="s">
        <v>19</v>
      </c>
      <c r="I5">
        <v>3129</v>
      </c>
      <c r="K5" t="str">
        <v>John Wick 5</v>
      </c>
      <c r="L5">
        <v>3129</v>
      </c>
      <c r="M5">
        <v>1500</v>
      </c>
    </row>
    <row r="6" spans="1:13" x14ac:dyDescent="0.3">
      <c r="A6" s="4" t="s">
        <v>35</v>
      </c>
      <c r="B6" s="2">
        <v>1932</v>
      </c>
      <c r="H6" s="4" t="s">
        <v>28</v>
      </c>
      <c r="I6">
        <v>3271</v>
      </c>
      <c r="K6" t="str">
        <v>Fast X</v>
      </c>
      <c r="L6">
        <v>3271</v>
      </c>
      <c r="M6">
        <v>1500</v>
      </c>
    </row>
    <row r="7" spans="1:13" x14ac:dyDescent="0.3">
      <c r="H7" s="4" t="s">
        <v>15</v>
      </c>
      <c r="I7">
        <v>3316</v>
      </c>
      <c r="K7" t="str">
        <v>Oppenheimer</v>
      </c>
      <c r="L7">
        <v>3316</v>
      </c>
      <c r="M7">
        <v>1500</v>
      </c>
    </row>
    <row r="8" spans="1:13" x14ac:dyDescent="0.3">
      <c r="H8" s="4" t="s">
        <v>26</v>
      </c>
      <c r="I8">
        <v>3413</v>
      </c>
      <c r="K8" t="str">
        <v>Avatar 3</v>
      </c>
      <c r="L8">
        <v>3413</v>
      </c>
      <c r="M8">
        <v>1500</v>
      </c>
    </row>
    <row r="9" spans="1:13" x14ac:dyDescent="0.3">
      <c r="H9" s="4" t="s">
        <v>10</v>
      </c>
      <c r="I9">
        <v>4290</v>
      </c>
      <c r="K9" t="str">
        <v>Barbie</v>
      </c>
      <c r="L9">
        <v>4290</v>
      </c>
      <c r="M9">
        <v>1500</v>
      </c>
    </row>
    <row r="10" spans="1:13" x14ac:dyDescent="0.3">
      <c r="A10" s="3" t="s">
        <v>36</v>
      </c>
      <c r="B10" t="s">
        <v>38</v>
      </c>
      <c r="C10" t="s">
        <v>35</v>
      </c>
      <c r="D10" t="s">
        <v>34</v>
      </c>
      <c r="H10" s="4" t="s">
        <v>32</v>
      </c>
      <c r="I10">
        <v>4939</v>
      </c>
      <c r="K10" t="str">
        <v>Mission Impossible 8</v>
      </c>
      <c r="L10">
        <v>4939</v>
      </c>
      <c r="M10">
        <v>1500</v>
      </c>
    </row>
    <row r="11" spans="1:13" x14ac:dyDescent="0.3">
      <c r="A11" s="4" t="s">
        <v>41</v>
      </c>
      <c r="B11">
        <v>638</v>
      </c>
      <c r="C11">
        <v>1932</v>
      </c>
      <c r="D11">
        <v>30089</v>
      </c>
      <c r="H11" s="4" t="s">
        <v>24</v>
      </c>
      <c r="I11">
        <v>5143</v>
      </c>
      <c r="K11" t="str">
        <v>Guardians of the Galaxy Vol. 4</v>
      </c>
      <c r="L11">
        <v>5143</v>
      </c>
      <c r="M11">
        <v>1500</v>
      </c>
    </row>
    <row r="12" spans="1:13" x14ac:dyDescent="0.3">
      <c r="A12" s="4" t="s">
        <v>37</v>
      </c>
      <c r="B12">
        <v>638</v>
      </c>
      <c r="C12">
        <v>1932</v>
      </c>
      <c r="D12">
        <v>30089</v>
      </c>
      <c r="H12" s="4" t="s">
        <v>37</v>
      </c>
      <c r="I12">
        <v>30089</v>
      </c>
    </row>
    <row r="16" spans="1:13" x14ac:dyDescent="0.3">
      <c r="H16" s="6" t="s">
        <v>36</v>
      </c>
      <c r="I16" t="s">
        <v>34</v>
      </c>
      <c r="K16" t="s">
        <v>54</v>
      </c>
      <c r="L16" t="s">
        <v>50</v>
      </c>
    </row>
    <row r="17" spans="1:13" x14ac:dyDescent="0.3">
      <c r="H17" s="4" t="s">
        <v>18</v>
      </c>
      <c r="I17" s="5">
        <v>11341</v>
      </c>
      <c r="K17" t="str" cm="1">
        <f t="array" ref="K17:L20">H17:I20</f>
        <v>New York</v>
      </c>
      <c r="L17">
        <v>11341</v>
      </c>
    </row>
    <row r="18" spans="1:13" x14ac:dyDescent="0.3">
      <c r="A18" s="6" t="s">
        <v>36</v>
      </c>
      <c r="B18" t="s">
        <v>34</v>
      </c>
      <c r="D18" t="s">
        <v>42</v>
      </c>
      <c r="E18" t="s">
        <v>50</v>
      </c>
      <c r="F18" t="s">
        <v>51</v>
      </c>
      <c r="H18" s="4" t="s">
        <v>14</v>
      </c>
      <c r="I18" s="5">
        <v>6706</v>
      </c>
      <c r="K18" t="str">
        <v>California</v>
      </c>
      <c r="L18">
        <v>6706</v>
      </c>
    </row>
    <row r="19" spans="1:13" x14ac:dyDescent="0.3">
      <c r="A19" s="4" t="s">
        <v>43</v>
      </c>
      <c r="B19">
        <v>3715</v>
      </c>
      <c r="D19" t="str" cm="1">
        <f t="array" ref="D19:E25">A19:B25</f>
        <v>Mon</v>
      </c>
      <c r="E19">
        <v>3715</v>
      </c>
      <c r="F19">
        <v>1500</v>
      </c>
      <c r="H19" s="4" t="s">
        <v>27</v>
      </c>
      <c r="I19" s="5">
        <v>6227</v>
      </c>
      <c r="K19" t="str">
        <v>Florida</v>
      </c>
      <c r="L19">
        <v>6227</v>
      </c>
    </row>
    <row r="20" spans="1:13" x14ac:dyDescent="0.3">
      <c r="A20" s="4" t="s">
        <v>44</v>
      </c>
      <c r="B20">
        <v>3511</v>
      </c>
      <c r="D20" t="str">
        <v>Tue</v>
      </c>
      <c r="E20">
        <v>3511</v>
      </c>
      <c r="F20">
        <v>1500</v>
      </c>
      <c r="H20" s="4" t="s">
        <v>25</v>
      </c>
      <c r="I20" s="5">
        <v>5815</v>
      </c>
      <c r="K20" t="str">
        <v>Texas</v>
      </c>
      <c r="L20">
        <v>5815</v>
      </c>
    </row>
    <row r="21" spans="1:13" x14ac:dyDescent="0.3">
      <c r="A21" s="4" t="s">
        <v>45</v>
      </c>
      <c r="B21">
        <v>2567</v>
      </c>
      <c r="D21" t="str">
        <v>Wed</v>
      </c>
      <c r="E21">
        <v>2567</v>
      </c>
      <c r="F21">
        <v>1500</v>
      </c>
      <c r="H21" s="4" t="s">
        <v>37</v>
      </c>
      <c r="I21">
        <v>30089</v>
      </c>
    </row>
    <row r="22" spans="1:13" x14ac:dyDescent="0.3">
      <c r="A22" s="4" t="s">
        <v>46</v>
      </c>
      <c r="B22">
        <v>3450</v>
      </c>
      <c r="D22" t="str">
        <v>Thu</v>
      </c>
      <c r="E22">
        <v>3450</v>
      </c>
      <c r="F22">
        <v>1500</v>
      </c>
    </row>
    <row r="23" spans="1:13" x14ac:dyDescent="0.3">
      <c r="A23" s="4" t="s">
        <v>47</v>
      </c>
      <c r="B23">
        <v>3053</v>
      </c>
      <c r="D23" t="str">
        <v>Fri</v>
      </c>
      <c r="E23">
        <v>3053</v>
      </c>
      <c r="F23">
        <v>1500</v>
      </c>
    </row>
    <row r="24" spans="1:13" x14ac:dyDescent="0.3">
      <c r="A24" s="4" t="s">
        <v>48</v>
      </c>
      <c r="B24">
        <v>7180</v>
      </c>
      <c r="D24" t="str">
        <v>Sat</v>
      </c>
      <c r="E24">
        <v>7180</v>
      </c>
      <c r="F24">
        <v>1500</v>
      </c>
      <c r="M24" s="9">
        <f>MAX(L26:L30)*1.2</f>
        <v>0.47810163182558407</v>
      </c>
    </row>
    <row r="25" spans="1:13" x14ac:dyDescent="0.3">
      <c r="A25" s="4" t="s">
        <v>49</v>
      </c>
      <c r="B25">
        <v>6613</v>
      </c>
      <c r="D25" t="str">
        <v>Sun</v>
      </c>
      <c r="E25">
        <v>6613</v>
      </c>
      <c r="F25">
        <v>1500</v>
      </c>
      <c r="H25" s="3" t="s">
        <v>36</v>
      </c>
      <c r="I25" t="s">
        <v>34</v>
      </c>
      <c r="K25" t="s">
        <v>55</v>
      </c>
      <c r="L25" t="s">
        <v>56</v>
      </c>
      <c r="M25" t="s">
        <v>51</v>
      </c>
    </row>
    <row r="26" spans="1:13" x14ac:dyDescent="0.3">
      <c r="A26" s="4" t="s">
        <v>37</v>
      </c>
      <c r="B26">
        <v>30089</v>
      </c>
      <c r="H26" s="4" t="s">
        <v>17</v>
      </c>
      <c r="I26" s="8">
        <v>0.39841802652132008</v>
      </c>
      <c r="K26" t="str" cm="1">
        <f t="array" ref="K26:L30">H26:I30</f>
        <v>Regular</v>
      </c>
      <c r="L26" s="9">
        <v>0.39841802652132008</v>
      </c>
      <c r="M26" s="7">
        <f>$M$24-L26</f>
        <v>7.9683605304263994E-2</v>
      </c>
    </row>
    <row r="27" spans="1:13" x14ac:dyDescent="0.3">
      <c r="H27" s="4" t="s">
        <v>12</v>
      </c>
      <c r="I27" s="8">
        <v>0.22848881651101732</v>
      </c>
      <c r="K27" t="str">
        <v>VIP</v>
      </c>
      <c r="L27" s="9">
        <v>0.22848881651101732</v>
      </c>
      <c r="M27" s="7">
        <f t="shared" ref="M27:M30" si="0">$M$24-L27</f>
        <v>0.24961281531456675</v>
      </c>
    </row>
    <row r="28" spans="1:13" x14ac:dyDescent="0.3">
      <c r="H28" s="4" t="s">
        <v>29</v>
      </c>
      <c r="I28" s="8">
        <v>0.16850011632157932</v>
      </c>
      <c r="K28" t="str">
        <v>Family</v>
      </c>
      <c r="L28" s="9">
        <v>0.16850011632157932</v>
      </c>
      <c r="M28" s="7">
        <f t="shared" si="0"/>
        <v>0.30960151550400472</v>
      </c>
    </row>
    <row r="29" spans="1:13" x14ac:dyDescent="0.3">
      <c r="A29" s="3" t="s">
        <v>36</v>
      </c>
      <c r="B29" t="s">
        <v>38</v>
      </c>
      <c r="D29" t="s">
        <v>57</v>
      </c>
      <c r="E29" t="s">
        <v>58</v>
      </c>
      <c r="H29" s="4" t="s">
        <v>22</v>
      </c>
      <c r="I29" s="8">
        <v>0.12429791618199341</v>
      </c>
      <c r="K29" t="str">
        <v>Couple</v>
      </c>
      <c r="L29" s="9">
        <v>0.12429791618199341</v>
      </c>
      <c r="M29" s="7">
        <f t="shared" si="0"/>
        <v>0.35380371564359064</v>
      </c>
    </row>
    <row r="30" spans="1:13" x14ac:dyDescent="0.3">
      <c r="A30" s="4" t="s">
        <v>11</v>
      </c>
      <c r="B30">
        <v>305</v>
      </c>
      <c r="D30" t="str" cm="1">
        <f t="array" ref="D30:E33">A30:B33</f>
        <v>Evening</v>
      </c>
      <c r="E30">
        <v>305</v>
      </c>
      <c r="H30" s="4" t="s">
        <v>30</v>
      </c>
      <c r="I30" s="8">
        <v>8.0295124464089873E-2</v>
      </c>
      <c r="K30" t="str">
        <v>Student</v>
      </c>
      <c r="L30" s="9">
        <v>8.0295124464089873E-2</v>
      </c>
      <c r="M30" s="7">
        <f t="shared" si="0"/>
        <v>0.3978065073614942</v>
      </c>
    </row>
    <row r="31" spans="1:13" x14ac:dyDescent="0.3">
      <c r="A31" s="4" t="s">
        <v>16</v>
      </c>
      <c r="B31">
        <v>126</v>
      </c>
      <c r="D31" t="str">
        <v>Late Night</v>
      </c>
      <c r="E31">
        <v>126</v>
      </c>
      <c r="H31" s="4" t="s">
        <v>37</v>
      </c>
      <c r="I31" s="8">
        <v>1</v>
      </c>
    </row>
    <row r="32" spans="1:13" x14ac:dyDescent="0.3">
      <c r="A32" s="4" t="s">
        <v>33</v>
      </c>
      <c r="B32">
        <v>104</v>
      </c>
      <c r="D32" t="str">
        <v>Morning</v>
      </c>
      <c r="E32">
        <v>104</v>
      </c>
    </row>
    <row r="33" spans="1:9" x14ac:dyDescent="0.3">
      <c r="A33" s="4" t="s">
        <v>20</v>
      </c>
      <c r="B33">
        <v>103</v>
      </c>
      <c r="D33" t="str">
        <v>Afternoon</v>
      </c>
      <c r="E33">
        <v>103</v>
      </c>
    </row>
    <row r="34" spans="1:9" x14ac:dyDescent="0.3">
      <c r="A34" s="4" t="s">
        <v>37</v>
      </c>
      <c r="B34">
        <v>638</v>
      </c>
    </row>
    <row r="36" spans="1:9" x14ac:dyDescent="0.3">
      <c r="C36" s="11"/>
    </row>
    <row r="37" spans="1:9" x14ac:dyDescent="0.3">
      <c r="C37" t="s">
        <v>61</v>
      </c>
      <c r="D37" t="s">
        <v>62</v>
      </c>
      <c r="E37" t="s">
        <v>63</v>
      </c>
      <c r="F37" t="s">
        <v>64</v>
      </c>
    </row>
    <row r="38" spans="1:9" x14ac:dyDescent="0.3">
      <c r="B38" t="s">
        <v>50</v>
      </c>
      <c r="C38" s="15">
        <f>GETPIVOTDATA("Sum of Total_Revenue",$A$3)</f>
        <v>30089</v>
      </c>
      <c r="D38" t="e">
        <f>GETPIVOTDATA("Sum of Total_Revenue",$A$10,"Month","Sep")</f>
        <v>#REF!</v>
      </c>
      <c r="E38" t="e">
        <f>GETPIVOTDATA("Sum of Total_Revenue",$A$10,"Month","Aug")</f>
        <v>#REF!</v>
      </c>
      <c r="F38" s="9" t="e">
        <f>(D38-E38)/E38</f>
        <v>#REF!</v>
      </c>
      <c r="G38" t="str">
        <f>IFERROR(IF(F38&lt;0,"▼","▲")&amp;TEXT(ABS(F38),"0%")&amp;" MoM",G44)</f>
        <v>▲16% MoM</v>
      </c>
    </row>
    <row r="39" spans="1:9" x14ac:dyDescent="0.3">
      <c r="B39" t="s">
        <v>59</v>
      </c>
      <c r="C39" s="13">
        <f>GETPIVOTDATA("Count of Sales_ID",$A$3)</f>
        <v>638</v>
      </c>
      <c r="D39" t="e">
        <f>GETPIVOTDATA("Count of Sales_ID",$A$10,"Month","Sep")</f>
        <v>#REF!</v>
      </c>
      <c r="E39">
        <v>720</v>
      </c>
      <c r="F39" s="9" t="e">
        <f>(D39-E39)/E39</f>
        <v>#REF!</v>
      </c>
      <c r="G39" t="e">
        <f t="shared" ref="G39:G40" si="1">IF(F39&lt;0,"▼","▲")&amp;TEXT(ABS(F39),"0%")&amp;" MoM"</f>
        <v>#REF!</v>
      </c>
    </row>
    <row r="40" spans="1:9" x14ac:dyDescent="0.3">
      <c r="B40" t="s">
        <v>60</v>
      </c>
      <c r="C40" s="12">
        <f>GETPIVOTDATA("Sum of Tickets_Sold",$A$3)</f>
        <v>1932</v>
      </c>
      <c r="D40" t="e">
        <f>GETPIVOTDATA("Sum of Tickets_Sold",$A$10,"Month","Sep")</f>
        <v>#REF!</v>
      </c>
      <c r="E40">
        <v>2169</v>
      </c>
      <c r="F40" s="9" t="e">
        <f>(D40-E40)/E40</f>
        <v>#REF!</v>
      </c>
      <c r="G40" t="e">
        <f t="shared" si="1"/>
        <v>#REF!</v>
      </c>
    </row>
    <row r="41" spans="1:9" x14ac:dyDescent="0.3">
      <c r="I41" t="s">
        <v>67</v>
      </c>
    </row>
    <row r="43" spans="1:9" x14ac:dyDescent="0.3">
      <c r="C43" s="14"/>
      <c r="D43" t="s">
        <v>65</v>
      </c>
      <c r="E43" t="s">
        <v>66</v>
      </c>
      <c r="F43" t="s">
        <v>64</v>
      </c>
    </row>
    <row r="44" spans="1:9" x14ac:dyDescent="0.3">
      <c r="C44" t="s">
        <v>50</v>
      </c>
      <c r="D44">
        <v>34915</v>
      </c>
      <c r="E44">
        <v>30089</v>
      </c>
      <c r="F44" s="9">
        <f>(D44-E44)/E44</f>
        <v>0.16039084050649738</v>
      </c>
      <c r="G44" t="str">
        <f>IF(F44&lt;0,"▼","▲")&amp;TEXT(ABS(F44),"0%")&amp;" MoM"</f>
        <v>▲16% MoM</v>
      </c>
    </row>
    <row r="45" spans="1:9" x14ac:dyDescent="0.3">
      <c r="C45" t="s">
        <v>59</v>
      </c>
      <c r="D45">
        <v>720</v>
      </c>
      <c r="E45">
        <v>638</v>
      </c>
      <c r="F45" s="9">
        <f t="shared" ref="F45:F46" si="2">(D45-E45)/E45</f>
        <v>0.12852664576802508</v>
      </c>
      <c r="G45" t="str">
        <f t="shared" ref="G45:G46" si="3">IF(F45&lt;0,"▼","▲")&amp;TEXT(ABS(F45),"0%")&amp;" MoM"</f>
        <v>▲13% MoM</v>
      </c>
    </row>
    <row r="46" spans="1:9" x14ac:dyDescent="0.3">
      <c r="C46" t="s">
        <v>60</v>
      </c>
      <c r="D46">
        <v>2169</v>
      </c>
      <c r="E46">
        <v>1932</v>
      </c>
      <c r="F46" s="9">
        <f t="shared" si="2"/>
        <v>0.12267080745341614</v>
      </c>
      <c r="G46" t="str">
        <f t="shared" si="3"/>
        <v>▲12% MoM</v>
      </c>
    </row>
    <row r="50" spans="3:4" x14ac:dyDescent="0.3">
      <c r="C50" t="s">
        <v>68</v>
      </c>
      <c r="D50" s="16">
        <f ca="1">TODAY()</f>
        <v>46227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0C9E-6A88-445C-B598-71EB1A24F1EC}">
  <dimension ref="A1"/>
  <sheetViews>
    <sheetView workbookViewId="0">
      <selection activeCell="Q8" sqref="Q7:Q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E72D-D7AB-4C80-9286-D25D01555F66}">
  <dimension ref="A1"/>
  <sheetViews>
    <sheetView showGridLines="0" zoomScale="70" zoomScaleNormal="70" workbookViewId="0">
      <selection activeCell="R3" sqref="R3"/>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2E3F-F25D-4F63-A888-189450C4A7B1}">
  <dimension ref="A1"/>
  <sheetViews>
    <sheetView showGridLines="0" topLeftCell="G3" zoomScaleNormal="100" workbookViewId="0">
      <selection activeCell="E27" sqref="E27"/>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Data</vt:lpstr>
      <vt:lpstr>Analysis</vt:lpstr>
      <vt:lpstr>Sheet1</vt:lpstr>
      <vt:lpstr>Light Mode</vt:lpstr>
      <vt:lpstr>Dark Mode</vt:lpstr>
      <vt:lpstr>▼RevenueMoM</vt:lpstr>
      <vt:lpstr>Date</vt:lpstr>
      <vt:lpstr>Orders</vt:lpstr>
      <vt:lpstr>OrdersMoM</vt:lpstr>
      <vt:lpstr>Qty</vt:lpstr>
      <vt:lpstr>QtyMoM</vt:lpstr>
      <vt:lpstr>Revenue</vt:lpstr>
      <vt:lpstr>RevenueMoM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Emmanuel Sekyere</cp:lastModifiedBy>
  <dcterms:created xsi:type="dcterms:W3CDTF">2025-10-09T09:01:56Z</dcterms:created>
  <dcterms:modified xsi:type="dcterms:W3CDTF">2026-07-24T08:33:42Z</dcterms:modified>
</cp:coreProperties>
</file>